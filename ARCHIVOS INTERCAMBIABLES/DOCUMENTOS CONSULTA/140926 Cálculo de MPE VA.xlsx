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ttmx-my.sharepoint.com/personal/wc698j_mx_att_com/Documents/Documentos/MAR-100/Lista de Precios/Lista de Precios B2B/MPE/2026/Septiembre/"/>
    </mc:Choice>
  </mc:AlternateContent>
  <xr:revisionPtr revIDLastSave="20" documentId="8_{D14407FA-7E3C-44EE-AF8F-ECBEA0CAA0D5}" xr6:coauthVersionLast="47" xr6:coauthVersionMax="47" xr10:uidLastSave="{8E6A89FA-15A2-4E19-A4A9-91D214E7823D}"/>
  <bookViews>
    <workbookView xWindow="-110" yWindow="-110" windowWidth="19420" windowHeight="10300" xr2:uid="{00000000-000D-0000-FFFF-FFFF00000000}"/>
  </bookViews>
  <sheets>
    <sheet name="Calculadora MPE" sheetId="2" r:id="rId1"/>
    <sheet name="Master" sheetId="3" state="veryHidden" r:id="rId2"/>
    <sheet name="Borrador" sheetId="4" state="veryHidden" r:id="rId3"/>
    <sheet name="Catalogo" sheetId="1" state="veryHidden" r:id="rId4"/>
  </sheets>
  <definedNames>
    <definedName name="_xlnm._FilterDatabase" localSheetId="2" hidden="1">Borrador!$A$1:$H$1</definedName>
    <definedName name="_xlnm._FilterDatabase" localSheetId="3" hidden="1">Catalogo!$B$3:$AK$3</definedName>
    <definedName name="_xlnm._FilterDatabase" localSheetId="1" hidden="1">Master!$A$1:$I$838</definedName>
    <definedName name="Affix">Catalogo!$V$4:$V$74</definedName>
    <definedName name="Alcatel">Catalogo!$J$4:$J$23</definedName>
    <definedName name="Apple">Catalogo!$K$4:$K$162</definedName>
    <definedName name="BlackBerry">Catalogo!$L$4:$L$6</definedName>
    <definedName name="Blu">Catalogo!$M$4:$M$5</definedName>
    <definedName name="BMobile">Catalogo!$I$4</definedName>
    <definedName name="CAT">Catalogo!$N$4</definedName>
    <definedName name="GEOTAB">Catalogo!$O$4:$O$19</definedName>
    <definedName name="Google">Catalogo!$AI$4:$AI$10</definedName>
    <definedName name="Hisense">Catalogo!$P$4:$P$25</definedName>
    <definedName name="Honor">Catalogo!$AA$4:$AA$70</definedName>
    <definedName name="HTC">Catalogo!$Q$4:$Q$6</definedName>
    <definedName name="Huawei">Catalogo!$R$4:$R$113</definedName>
    <definedName name="Lanix">Catalogo!$S$4</definedName>
    <definedName name="Lenovo">Catalogo!$T$4:$T$6</definedName>
    <definedName name="LG">Catalogo!$U$4:$U$9</definedName>
    <definedName name="Marca" localSheetId="3">Catalogo!$G$3:$AH$3</definedName>
    <definedName name="Mes" localSheetId="2">Borrador!$B$1:$F$594</definedName>
    <definedName name="Mes" localSheetId="1">Master!$B$1:$E$590</definedName>
    <definedName name="Meses" localSheetId="2">#REF!</definedName>
    <definedName name="Meses">Catalogo!$AJ$4:$AJ$9</definedName>
    <definedName name="Motorola">Catalogo!$V$4:$V$111</definedName>
    <definedName name="Nokia">Catalogo!$AB$4:$AB$5</definedName>
    <definedName name="Nubia">Catalogo!$AG$4</definedName>
    <definedName name="Oppo">Catalogo!$AD$4:$AD$55</definedName>
    <definedName name="Quamtum">Catalogo!$AF$4:$AF$5</definedName>
    <definedName name="REALME">Catalogo!$AE$4:$AE$5</definedName>
    <definedName name="Samsung">Catalogo!$W$4:$W$190</definedName>
    <definedName name="Sony">Catalogo!$X$4:$X$11</definedName>
    <definedName name="UBIQO">Catalogo!$AH$4:$AH$8</definedName>
    <definedName name="VSN">Catalogo!$Y$4:$Y$7</definedName>
    <definedName name="Xiaomi">Catalogo!$AC$4:$AC$70</definedName>
    <definedName name="ZTE">Catalogo!$Z$4:$Z$25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2" l="1"/>
  <c r="I13" i="2" s="1"/>
  <c r="E7" i="2"/>
  <c r="H579" i="4" l="1"/>
  <c r="H565" i="4"/>
  <c r="H562" i="4"/>
  <c r="H559" i="4"/>
  <c r="H553" i="4"/>
  <c r="H550" i="4"/>
  <c r="H549" i="4"/>
  <c r="H548" i="4"/>
  <c r="H546" i="4"/>
  <c r="H544" i="4"/>
  <c r="H543" i="4"/>
  <c r="H542" i="4"/>
  <c r="H541" i="4"/>
  <c r="H540" i="4"/>
  <c r="H539" i="4"/>
  <c r="H538" i="4"/>
  <c r="H534" i="4"/>
  <c r="H530" i="4"/>
  <c r="H529" i="4"/>
  <c r="H526" i="4"/>
  <c r="H525" i="4"/>
  <c r="H524" i="4"/>
  <c r="H523" i="4"/>
  <c r="H506" i="4"/>
  <c r="H489" i="4"/>
  <c r="H488" i="4"/>
  <c r="H483" i="4"/>
  <c r="H476" i="4"/>
  <c r="H473" i="4"/>
  <c r="H467" i="4"/>
  <c r="H466" i="4"/>
  <c r="H457" i="4"/>
  <c r="H453" i="4"/>
  <c r="H452" i="4"/>
  <c r="H445" i="4"/>
  <c r="H444" i="4"/>
  <c r="H443" i="4"/>
  <c r="H442" i="4"/>
  <c r="H441" i="4"/>
  <c r="H440" i="4"/>
  <c r="H438" i="4"/>
  <c r="H433" i="4"/>
  <c r="H429" i="4"/>
  <c r="H426" i="4"/>
  <c r="H424" i="4"/>
  <c r="H423" i="4"/>
  <c r="H422" i="4"/>
  <c r="H421" i="4"/>
  <c r="H420" i="4"/>
  <c r="H418" i="4"/>
  <c r="H417" i="4"/>
  <c r="H416" i="4"/>
  <c r="H415" i="4"/>
  <c r="H414" i="4"/>
  <c r="H413" i="4"/>
  <c r="H412" i="4"/>
  <c r="H411" i="4"/>
  <c r="H410" i="4"/>
  <c r="H409" i="4"/>
  <c r="H408" i="4"/>
  <c r="H406" i="4"/>
  <c r="H403" i="4"/>
  <c r="H399" i="4"/>
  <c r="H397" i="4"/>
  <c r="H396" i="4"/>
  <c r="H395" i="4"/>
  <c r="H394" i="4"/>
  <c r="H393" i="4"/>
  <c r="H385" i="4"/>
  <c r="H384" i="4"/>
  <c r="H383" i="4"/>
  <c r="H382" i="4"/>
  <c r="H381" i="4"/>
  <c r="H380" i="4"/>
  <c r="H376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3" i="4"/>
  <c r="H342" i="4"/>
  <c r="H341" i="4"/>
  <c r="H340" i="4"/>
  <c r="H339" i="4"/>
  <c r="H338" i="4"/>
  <c r="H336" i="4"/>
  <c r="H335" i="4"/>
  <c r="H334" i="4"/>
  <c r="H333" i="4"/>
  <c r="H332" i="4"/>
  <c r="H331" i="4"/>
  <c r="H329" i="4"/>
  <c r="H328" i="4"/>
  <c r="H327" i="4"/>
  <c r="H326" i="4"/>
  <c r="H325" i="4"/>
  <c r="H324" i="4"/>
  <c r="H323" i="4"/>
  <c r="H322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6" i="4"/>
  <c r="H295" i="4"/>
  <c r="H292" i="4"/>
  <c r="H291" i="4"/>
  <c r="H290" i="4"/>
  <c r="H289" i="4"/>
  <c r="H288" i="4"/>
  <c r="H287" i="4"/>
  <c r="H286" i="4"/>
  <c r="H285" i="4"/>
  <c r="H283" i="4"/>
  <c r="H282" i="4"/>
  <c r="H281" i="4"/>
  <c r="H280" i="4"/>
  <c r="H279" i="4"/>
  <c r="H276" i="4"/>
  <c r="H275" i="4"/>
  <c r="H274" i="4"/>
  <c r="H273" i="4"/>
  <c r="H272" i="4"/>
  <c r="H271" i="4"/>
  <c r="H270" i="4"/>
  <c r="H268" i="4"/>
  <c r="H264" i="4"/>
  <c r="H262" i="4"/>
  <c r="H261" i="4"/>
  <c r="H260" i="4"/>
  <c r="H259" i="4"/>
  <c r="H258" i="4"/>
  <c r="H257" i="4"/>
  <c r="H256" i="4"/>
  <c r="H253" i="4"/>
  <c r="H252" i="4"/>
  <c r="H251" i="4"/>
  <c r="H250" i="4"/>
  <c r="H249" i="4"/>
  <c r="H248" i="4"/>
  <c r="H247" i="4"/>
  <c r="H244" i="4"/>
  <c r="H243" i="4"/>
  <c r="H242" i="4"/>
  <c r="H241" i="4"/>
  <c r="H239" i="4"/>
  <c r="H238" i="4"/>
  <c r="H237" i="4"/>
  <c r="H236" i="4"/>
  <c r="H235" i="4"/>
  <c r="H234" i="4"/>
  <c r="H232" i="4"/>
  <c r="H231" i="4"/>
  <c r="H229" i="4"/>
  <c r="H228" i="4"/>
  <c r="H227" i="4"/>
  <c r="H225" i="4"/>
  <c r="H223" i="4"/>
  <c r="H220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199" i="4"/>
  <c r="H198" i="4"/>
  <c r="H197" i="4"/>
  <c r="H196" i="4"/>
  <c r="H195" i="4"/>
  <c r="H194" i="4"/>
  <c r="H193" i="4"/>
  <c r="H192" i="4"/>
  <c r="H191" i="4"/>
  <c r="H178" i="4"/>
  <c r="H177" i="4"/>
  <c r="H175" i="4"/>
  <c r="H169" i="4"/>
  <c r="H165" i="4"/>
  <c r="H164" i="4"/>
  <c r="H162" i="4"/>
  <c r="H161" i="4"/>
  <c r="H159" i="4"/>
  <c r="H156" i="4"/>
  <c r="H154" i="4"/>
  <c r="H153" i="4"/>
  <c r="H148" i="4"/>
  <c r="H147" i="4"/>
  <c r="H146" i="4"/>
  <c r="H145" i="4"/>
  <c r="H144" i="4"/>
  <c r="H143" i="4"/>
  <c r="H141" i="4"/>
  <c r="H139" i="4"/>
  <c r="H137" i="4"/>
  <c r="H134" i="4"/>
  <c r="H133" i="4"/>
  <c r="H132" i="4"/>
  <c r="H131" i="4"/>
  <c r="H129" i="4"/>
  <c r="H127" i="4"/>
  <c r="H123" i="4"/>
  <c r="H121" i="4"/>
  <c r="H119" i="4"/>
  <c r="H117" i="4"/>
  <c r="H116" i="4"/>
  <c r="H114" i="4"/>
  <c r="H113" i="4"/>
  <c r="H112" i="4"/>
  <c r="H108" i="4"/>
  <c r="H107" i="4"/>
  <c r="H106" i="4"/>
  <c r="H100" i="4"/>
  <c r="H99" i="4"/>
  <c r="H98" i="4"/>
  <c r="H97" i="4"/>
  <c r="H93" i="4"/>
  <c r="H88" i="4"/>
  <c r="H87" i="4"/>
  <c r="H86" i="4"/>
  <c r="H84" i="4"/>
  <c r="H78" i="4"/>
  <c r="H65" i="4"/>
  <c r="H64" i="4"/>
  <c r="H63" i="4"/>
  <c r="H60" i="4"/>
  <c r="H55" i="4"/>
  <c r="H44" i="4"/>
  <c r="H36" i="4"/>
  <c r="H32" i="4"/>
  <c r="H29" i="4"/>
  <c r="H26" i="4"/>
  <c r="H23" i="4"/>
  <c r="H19" i="4"/>
  <c r="H18" i="4"/>
  <c r="H17" i="4"/>
  <c r="H16" i="4"/>
  <c r="H15" i="4"/>
  <c r="H14" i="4"/>
  <c r="H12" i="4"/>
  <c r="H9" i="4"/>
  <c r="H8" i="4"/>
  <c r="H7" i="4"/>
  <c r="H6" i="4"/>
  <c r="H5" i="4"/>
  <c r="H4" i="4"/>
  <c r="H2" i="4"/>
  <c r="D499" i="4"/>
  <c r="H499" i="4" s="1"/>
  <c r="D498" i="4"/>
  <c r="H498" i="4" s="1"/>
  <c r="D497" i="4"/>
  <c r="H497" i="4" s="1"/>
  <c r="D496" i="4"/>
  <c r="H496" i="4" s="1"/>
  <c r="D495" i="4"/>
  <c r="H495" i="4" s="1"/>
  <c r="D494" i="4"/>
  <c r="H494" i="4" s="1"/>
  <c r="D493" i="4"/>
  <c r="H493" i="4" s="1"/>
  <c r="D492" i="4"/>
  <c r="H492" i="4" s="1"/>
  <c r="D491" i="4"/>
  <c r="H491" i="4" s="1"/>
  <c r="D490" i="4"/>
  <c r="H490" i="4" s="1"/>
  <c r="D487" i="4"/>
  <c r="H487" i="4" s="1"/>
  <c r="D486" i="4"/>
  <c r="H486" i="4" s="1"/>
  <c r="D485" i="4"/>
  <c r="H485" i="4" s="1"/>
  <c r="D484" i="4"/>
  <c r="H484" i="4" s="1"/>
  <c r="D482" i="4"/>
  <c r="H482" i="4" s="1"/>
  <c r="D481" i="4"/>
  <c r="H481" i="4" s="1"/>
  <c r="D480" i="4"/>
  <c r="H480" i="4" s="1"/>
  <c r="D479" i="4"/>
  <c r="H479" i="4" s="1"/>
  <c r="D478" i="4"/>
  <c r="H478" i="4" s="1"/>
  <c r="D477" i="4"/>
  <c r="H477" i="4" s="1"/>
  <c r="D475" i="4"/>
  <c r="H475" i="4" s="1"/>
  <c r="D474" i="4"/>
  <c r="H474" i="4" s="1"/>
  <c r="D472" i="4"/>
  <c r="H472" i="4" s="1"/>
  <c r="D471" i="4"/>
  <c r="H471" i="4" s="1"/>
  <c r="D470" i="4"/>
  <c r="H470" i="4" s="1"/>
  <c r="D469" i="4"/>
  <c r="H469" i="4" s="1"/>
  <c r="D468" i="4"/>
  <c r="H468" i="4" s="1"/>
  <c r="D465" i="4"/>
  <c r="H465" i="4" s="1"/>
  <c r="D464" i="4"/>
  <c r="H464" i="4" s="1"/>
  <c r="D463" i="4"/>
  <c r="H463" i="4" s="1"/>
  <c r="D462" i="4"/>
  <c r="H462" i="4" s="1"/>
  <c r="D461" i="4"/>
  <c r="H461" i="4" s="1"/>
  <c r="D460" i="4"/>
  <c r="H460" i="4" s="1"/>
  <c r="D459" i="4"/>
  <c r="H459" i="4" s="1"/>
  <c r="D458" i="4"/>
  <c r="H458" i="4" s="1"/>
  <c r="D456" i="4"/>
  <c r="H456" i="4" s="1"/>
  <c r="D455" i="4"/>
  <c r="H455" i="4" s="1"/>
  <c r="D454" i="4"/>
  <c r="H454" i="4" s="1"/>
  <c r="D451" i="4"/>
  <c r="H451" i="4" s="1"/>
  <c r="D450" i="4"/>
  <c r="H450" i="4" s="1"/>
  <c r="D449" i="4"/>
  <c r="H449" i="4" s="1"/>
  <c r="D448" i="4"/>
  <c r="H448" i="4" s="1"/>
  <c r="D447" i="4"/>
  <c r="H447" i="4" s="1"/>
  <c r="D446" i="4"/>
  <c r="H446" i="4" s="1"/>
  <c r="D439" i="4"/>
  <c r="H439" i="4" s="1"/>
  <c r="D437" i="4"/>
  <c r="H437" i="4" s="1"/>
  <c r="D436" i="4"/>
  <c r="H436" i="4" s="1"/>
  <c r="D435" i="4"/>
  <c r="H435" i="4" s="1"/>
  <c r="D434" i="4"/>
  <c r="H434" i="4" s="1"/>
  <c r="D432" i="4"/>
  <c r="H432" i="4" s="1"/>
  <c r="D431" i="4"/>
  <c r="H431" i="4" s="1"/>
  <c r="D430" i="4"/>
  <c r="H430" i="4" s="1"/>
  <c r="D428" i="4"/>
  <c r="H428" i="4" s="1"/>
  <c r="D427" i="4"/>
  <c r="H427" i="4" s="1"/>
  <c r="D425" i="4"/>
  <c r="H425" i="4" s="1"/>
  <c r="D419" i="4"/>
  <c r="H419" i="4" s="1"/>
  <c r="D407" i="4"/>
  <c r="H407" i="4" s="1"/>
  <c r="D405" i="4"/>
  <c r="H405" i="4" s="1"/>
  <c r="D404" i="4"/>
  <c r="H404" i="4" s="1"/>
  <c r="D402" i="4"/>
  <c r="H402" i="4" s="1"/>
  <c r="D401" i="4"/>
  <c r="H401" i="4" s="1"/>
  <c r="D400" i="4"/>
  <c r="H400" i="4" s="1"/>
  <c r="D398" i="4"/>
  <c r="H398" i="4" s="1"/>
  <c r="D392" i="4"/>
  <c r="H392" i="4" s="1"/>
  <c r="D391" i="4"/>
  <c r="H391" i="4" s="1"/>
  <c r="D390" i="4"/>
  <c r="H390" i="4" s="1"/>
  <c r="D389" i="4"/>
  <c r="H389" i="4" s="1"/>
  <c r="D388" i="4"/>
  <c r="H388" i="4" s="1"/>
  <c r="D387" i="4"/>
  <c r="H387" i="4" s="1"/>
  <c r="D386" i="4"/>
  <c r="H386" i="4" s="1"/>
  <c r="D379" i="4"/>
  <c r="H379" i="4" s="1"/>
  <c r="D378" i="4"/>
  <c r="H378" i="4" s="1"/>
  <c r="D377" i="4"/>
  <c r="H377" i="4" s="1"/>
  <c r="D375" i="4"/>
  <c r="H375" i="4" s="1"/>
  <c r="D345" i="4"/>
  <c r="H345" i="4" s="1"/>
  <c r="D344" i="4"/>
  <c r="H344" i="4" s="1"/>
  <c r="D337" i="4"/>
  <c r="H337" i="4" s="1"/>
  <c r="D330" i="4"/>
  <c r="H330" i="4" s="1"/>
  <c r="D321" i="4"/>
  <c r="H321" i="4" s="1"/>
  <c r="D297" i="4"/>
  <c r="H297" i="4" s="1"/>
  <c r="D294" i="4"/>
  <c r="H294" i="4" s="1"/>
  <c r="D293" i="4"/>
  <c r="H293" i="4" s="1"/>
  <c r="D284" i="4"/>
  <c r="H284" i="4" s="1"/>
  <c r="D278" i="4"/>
  <c r="H278" i="4" s="1"/>
  <c r="D277" i="4"/>
  <c r="H277" i="4" s="1"/>
  <c r="D269" i="4"/>
  <c r="H269" i="4" s="1"/>
  <c r="D267" i="4"/>
  <c r="H267" i="4" s="1"/>
  <c r="D266" i="4"/>
  <c r="H266" i="4" s="1"/>
  <c r="D265" i="4"/>
  <c r="H265" i="4" s="1"/>
  <c r="D263" i="4"/>
  <c r="H263" i="4" s="1"/>
  <c r="D255" i="4"/>
  <c r="H255" i="4" s="1"/>
  <c r="D254" i="4"/>
  <c r="H254" i="4" s="1"/>
  <c r="D246" i="4"/>
  <c r="H246" i="4" s="1"/>
  <c r="D245" i="4"/>
  <c r="H245" i="4" s="1"/>
  <c r="D240" i="4"/>
  <c r="H240" i="4" s="1"/>
  <c r="D233" i="4"/>
  <c r="H233" i="4" s="1"/>
  <c r="D230" i="4"/>
  <c r="H230" i="4" s="1"/>
  <c r="D226" i="4"/>
  <c r="H226" i="4" s="1"/>
  <c r="D224" i="4"/>
  <c r="H224" i="4" s="1"/>
  <c r="D222" i="4"/>
  <c r="H222" i="4" s="1"/>
  <c r="D500" i="4"/>
  <c r="H500" i="4" s="1"/>
  <c r="D219" i="4"/>
  <c r="H219" i="4" s="1"/>
  <c r="D218" i="4"/>
  <c r="H218" i="4" s="1"/>
  <c r="D217" i="4"/>
  <c r="H217" i="4" s="1"/>
  <c r="D216" i="4"/>
  <c r="H216" i="4" s="1"/>
  <c r="D215" i="4"/>
  <c r="H215" i="4" s="1"/>
  <c r="D214" i="4"/>
  <c r="H214" i="4" s="1"/>
  <c r="D221" i="4"/>
  <c r="H221" i="4" s="1"/>
  <c r="D593" i="4"/>
  <c r="H593" i="4" s="1"/>
  <c r="D592" i="4"/>
  <c r="H592" i="4" s="1"/>
  <c r="D591" i="4"/>
  <c r="H591" i="4" s="1"/>
  <c r="D590" i="4"/>
  <c r="H590" i="4" s="1"/>
  <c r="D589" i="4"/>
  <c r="H589" i="4" s="1"/>
  <c r="D588" i="4"/>
  <c r="H588" i="4" s="1"/>
  <c r="D587" i="4"/>
  <c r="H587" i="4" s="1"/>
  <c r="D586" i="4"/>
  <c r="H586" i="4" s="1"/>
  <c r="D585" i="4"/>
  <c r="H585" i="4" s="1"/>
  <c r="D584" i="4"/>
  <c r="H584" i="4" s="1"/>
  <c r="D583" i="4"/>
  <c r="H583" i="4" s="1"/>
  <c r="D582" i="4"/>
  <c r="H582" i="4" s="1"/>
  <c r="D581" i="4"/>
  <c r="H581" i="4" s="1"/>
  <c r="D580" i="4"/>
  <c r="H580" i="4" s="1"/>
  <c r="D578" i="4"/>
  <c r="H578" i="4" s="1"/>
  <c r="D577" i="4"/>
  <c r="H577" i="4" s="1"/>
  <c r="D576" i="4"/>
  <c r="H576" i="4" s="1"/>
  <c r="D575" i="4"/>
  <c r="H575" i="4" s="1"/>
  <c r="D574" i="4"/>
  <c r="H574" i="4" s="1"/>
  <c r="D573" i="4"/>
  <c r="H573" i="4" s="1"/>
  <c r="D572" i="4"/>
  <c r="H572" i="4" s="1"/>
  <c r="D571" i="4"/>
  <c r="H571" i="4" s="1"/>
  <c r="D570" i="4"/>
  <c r="H570" i="4" s="1"/>
  <c r="D569" i="4"/>
  <c r="H569" i="4" s="1"/>
  <c r="D568" i="4"/>
  <c r="H568" i="4" s="1"/>
  <c r="D567" i="4"/>
  <c r="H567" i="4" s="1"/>
  <c r="D566" i="4"/>
  <c r="H566" i="4" s="1"/>
  <c r="D564" i="4"/>
  <c r="H564" i="4" s="1"/>
  <c r="D563" i="4"/>
  <c r="H563" i="4" s="1"/>
  <c r="D561" i="4"/>
  <c r="H561" i="4" s="1"/>
  <c r="D560" i="4"/>
  <c r="H560" i="4" s="1"/>
  <c r="D558" i="4"/>
  <c r="H558" i="4" s="1"/>
  <c r="D557" i="4"/>
  <c r="H557" i="4" s="1"/>
  <c r="D556" i="4"/>
  <c r="H556" i="4" s="1"/>
  <c r="D555" i="4"/>
  <c r="H555" i="4" s="1"/>
  <c r="D554" i="4"/>
  <c r="H554" i="4" s="1"/>
  <c r="D552" i="4"/>
  <c r="H552" i="4" s="1"/>
  <c r="D551" i="4"/>
  <c r="H551" i="4" s="1"/>
  <c r="D547" i="4"/>
  <c r="H547" i="4" s="1"/>
  <c r="D545" i="4"/>
  <c r="H545" i="4" s="1"/>
  <c r="D537" i="4"/>
  <c r="H537" i="4" s="1"/>
  <c r="D536" i="4"/>
  <c r="H536" i="4" s="1"/>
  <c r="D535" i="4"/>
  <c r="H535" i="4" s="1"/>
  <c r="D533" i="4"/>
  <c r="H533" i="4" s="1"/>
  <c r="D532" i="4"/>
  <c r="H532" i="4" s="1"/>
  <c r="D531" i="4"/>
  <c r="H531" i="4" s="1"/>
  <c r="D528" i="4"/>
  <c r="H528" i="4" s="1"/>
  <c r="D527" i="4"/>
  <c r="H527" i="4" s="1"/>
  <c r="D522" i="4"/>
  <c r="H522" i="4" s="1"/>
  <c r="D521" i="4"/>
  <c r="H521" i="4" s="1"/>
  <c r="D520" i="4"/>
  <c r="H520" i="4" s="1"/>
  <c r="D519" i="4"/>
  <c r="H519" i="4" s="1"/>
  <c r="D518" i="4"/>
  <c r="H518" i="4" s="1"/>
  <c r="D517" i="4"/>
  <c r="H517" i="4" s="1"/>
  <c r="D516" i="4"/>
  <c r="H516" i="4" s="1"/>
  <c r="D515" i="4"/>
  <c r="H515" i="4" s="1"/>
  <c r="D514" i="4"/>
  <c r="H514" i="4" s="1"/>
  <c r="D513" i="4"/>
  <c r="H513" i="4" s="1"/>
  <c r="D512" i="4"/>
  <c r="H512" i="4" s="1"/>
  <c r="D511" i="4"/>
  <c r="H511" i="4" s="1"/>
  <c r="D510" i="4"/>
  <c r="H510" i="4" s="1"/>
  <c r="D509" i="4"/>
  <c r="H509" i="4" s="1"/>
  <c r="D508" i="4"/>
  <c r="H508" i="4" s="1"/>
  <c r="D507" i="4"/>
  <c r="H507" i="4" s="1"/>
  <c r="D505" i="4"/>
  <c r="H505" i="4" s="1"/>
  <c r="D504" i="4"/>
  <c r="H504" i="4" s="1"/>
  <c r="D503" i="4"/>
  <c r="H503" i="4" s="1"/>
  <c r="D502" i="4"/>
  <c r="H502" i="4" s="1"/>
  <c r="D501" i="4"/>
  <c r="H501" i="4" s="1"/>
  <c r="D594" i="4"/>
  <c r="H594" i="4" s="1"/>
  <c r="D200" i="4"/>
  <c r="H200" i="4" s="1"/>
  <c r="D190" i="4"/>
  <c r="H190" i="4" s="1"/>
  <c r="D189" i="4"/>
  <c r="H189" i="4" s="1"/>
  <c r="D188" i="4"/>
  <c r="H188" i="4" s="1"/>
  <c r="D187" i="4"/>
  <c r="H187" i="4" s="1"/>
  <c r="D186" i="4"/>
  <c r="H186" i="4" s="1"/>
  <c r="D185" i="4"/>
  <c r="H185" i="4" s="1"/>
  <c r="D184" i="4"/>
  <c r="H184" i="4" s="1"/>
  <c r="D183" i="4"/>
  <c r="H183" i="4" s="1"/>
  <c r="D182" i="4"/>
  <c r="H182" i="4" s="1"/>
  <c r="D181" i="4"/>
  <c r="H181" i="4" s="1"/>
  <c r="D180" i="4"/>
  <c r="H180" i="4" s="1"/>
  <c r="D179" i="4"/>
  <c r="H179" i="4" s="1"/>
  <c r="D176" i="4"/>
  <c r="H176" i="4" s="1"/>
  <c r="D174" i="4"/>
  <c r="H174" i="4" s="1"/>
  <c r="D173" i="4"/>
  <c r="H173" i="4" s="1"/>
  <c r="D172" i="4"/>
  <c r="H172" i="4" s="1"/>
  <c r="D171" i="4"/>
  <c r="H171" i="4" s="1"/>
  <c r="D170" i="4"/>
  <c r="H170" i="4" s="1"/>
  <c r="D168" i="4"/>
  <c r="H168" i="4" s="1"/>
  <c r="D167" i="4"/>
  <c r="H167" i="4" s="1"/>
  <c r="D166" i="4"/>
  <c r="H166" i="4" s="1"/>
  <c r="D163" i="4"/>
  <c r="H163" i="4" s="1"/>
  <c r="D160" i="4"/>
  <c r="H160" i="4" s="1"/>
  <c r="D158" i="4"/>
  <c r="H158" i="4" s="1"/>
  <c r="D157" i="4"/>
  <c r="H157" i="4" s="1"/>
  <c r="D155" i="4"/>
  <c r="H155" i="4" s="1"/>
  <c r="D152" i="4"/>
  <c r="H152" i="4" s="1"/>
  <c r="D151" i="4"/>
  <c r="H151" i="4" s="1"/>
  <c r="D150" i="4"/>
  <c r="H150" i="4" s="1"/>
  <c r="D149" i="4"/>
  <c r="H149" i="4" s="1"/>
  <c r="D142" i="4"/>
  <c r="H142" i="4" s="1"/>
  <c r="D140" i="4"/>
  <c r="H140" i="4" s="1"/>
  <c r="D138" i="4"/>
  <c r="H138" i="4" s="1"/>
  <c r="D136" i="4"/>
  <c r="H136" i="4" s="1"/>
  <c r="D135" i="4"/>
  <c r="H135" i="4" s="1"/>
  <c r="D130" i="4"/>
  <c r="H130" i="4" s="1"/>
  <c r="D128" i="4"/>
  <c r="H128" i="4" s="1"/>
  <c r="D126" i="4"/>
  <c r="H126" i="4" s="1"/>
  <c r="D125" i="4"/>
  <c r="H125" i="4" s="1"/>
  <c r="D124" i="4"/>
  <c r="H124" i="4" s="1"/>
  <c r="D122" i="4"/>
  <c r="H122" i="4" s="1"/>
  <c r="D120" i="4"/>
  <c r="H120" i="4" s="1"/>
  <c r="D118" i="4"/>
  <c r="H118" i="4" s="1"/>
  <c r="D115" i="4"/>
  <c r="H115" i="4" s="1"/>
  <c r="D111" i="4"/>
  <c r="H111" i="4" s="1"/>
  <c r="D110" i="4"/>
  <c r="H110" i="4" s="1"/>
  <c r="D109" i="4"/>
  <c r="H109" i="4" s="1"/>
  <c r="D105" i="4"/>
  <c r="H105" i="4" s="1"/>
  <c r="D104" i="4"/>
  <c r="H104" i="4" s="1"/>
  <c r="D103" i="4"/>
  <c r="H103" i="4" s="1"/>
  <c r="D102" i="4"/>
  <c r="H102" i="4" s="1"/>
  <c r="D101" i="4"/>
  <c r="H101" i="4" s="1"/>
  <c r="D96" i="4"/>
  <c r="H96" i="4" s="1"/>
  <c r="D95" i="4"/>
  <c r="H95" i="4" s="1"/>
  <c r="D94" i="4"/>
  <c r="H94" i="4" s="1"/>
  <c r="D92" i="4"/>
  <c r="H92" i="4" s="1"/>
  <c r="D91" i="4"/>
  <c r="H91" i="4" s="1"/>
  <c r="D90" i="4"/>
  <c r="H90" i="4" s="1"/>
  <c r="D89" i="4"/>
  <c r="H89" i="4" s="1"/>
  <c r="D85" i="4"/>
  <c r="H85" i="4" s="1"/>
  <c r="D83" i="4"/>
  <c r="H83" i="4" s="1"/>
  <c r="D82" i="4"/>
  <c r="H82" i="4" s="1"/>
  <c r="D81" i="4"/>
  <c r="H81" i="4" s="1"/>
  <c r="D80" i="4"/>
  <c r="H80" i="4" s="1"/>
  <c r="D79" i="4"/>
  <c r="H79" i="4" s="1"/>
  <c r="D77" i="4"/>
  <c r="H77" i="4" s="1"/>
  <c r="D76" i="4"/>
  <c r="H76" i="4" s="1"/>
  <c r="D75" i="4"/>
  <c r="H75" i="4" s="1"/>
  <c r="D74" i="4"/>
  <c r="H74" i="4" s="1"/>
  <c r="D73" i="4"/>
  <c r="H73" i="4" s="1"/>
  <c r="D72" i="4"/>
  <c r="H72" i="4" s="1"/>
  <c r="D71" i="4"/>
  <c r="H71" i="4" s="1"/>
  <c r="D70" i="4"/>
  <c r="H70" i="4" s="1"/>
  <c r="D69" i="4"/>
  <c r="H69" i="4" s="1"/>
  <c r="D68" i="4"/>
  <c r="H68" i="4" s="1"/>
  <c r="D67" i="4"/>
  <c r="H67" i="4" s="1"/>
  <c r="D66" i="4"/>
  <c r="H66" i="4" s="1"/>
  <c r="D62" i="4"/>
  <c r="H62" i="4" s="1"/>
  <c r="D61" i="4"/>
  <c r="H61" i="4" s="1"/>
  <c r="D59" i="4"/>
  <c r="H59" i="4" s="1"/>
  <c r="D58" i="4"/>
  <c r="H58" i="4" s="1"/>
  <c r="D57" i="4"/>
  <c r="H57" i="4" s="1"/>
  <c r="D56" i="4"/>
  <c r="H56" i="4" s="1"/>
  <c r="D54" i="4"/>
  <c r="H54" i="4" s="1"/>
  <c r="D53" i="4"/>
  <c r="H53" i="4" s="1"/>
  <c r="D52" i="4"/>
  <c r="H52" i="4" s="1"/>
  <c r="D51" i="4"/>
  <c r="H51" i="4" s="1"/>
  <c r="D50" i="4"/>
  <c r="H50" i="4" s="1"/>
  <c r="D49" i="4"/>
  <c r="H49" i="4" s="1"/>
  <c r="D48" i="4"/>
  <c r="H48" i="4" s="1"/>
  <c r="D47" i="4"/>
  <c r="H47" i="4" s="1"/>
  <c r="D46" i="4"/>
  <c r="H46" i="4" s="1"/>
  <c r="D45" i="4"/>
  <c r="H45" i="4" s="1"/>
  <c r="D43" i="4"/>
  <c r="H43" i="4" s="1"/>
  <c r="D42" i="4"/>
  <c r="H42" i="4" s="1"/>
  <c r="D41" i="4"/>
  <c r="H41" i="4" s="1"/>
  <c r="D40" i="4"/>
  <c r="H40" i="4" s="1"/>
  <c r="D39" i="4"/>
  <c r="H39" i="4" s="1"/>
  <c r="D38" i="4"/>
  <c r="H38" i="4" s="1"/>
  <c r="D37" i="4"/>
  <c r="H37" i="4" s="1"/>
  <c r="D35" i="4"/>
  <c r="H35" i="4" s="1"/>
  <c r="D34" i="4"/>
  <c r="H34" i="4" s="1"/>
  <c r="D33" i="4"/>
  <c r="H33" i="4" s="1"/>
  <c r="D31" i="4"/>
  <c r="H31" i="4" s="1"/>
  <c r="D30" i="4"/>
  <c r="H30" i="4" s="1"/>
  <c r="D28" i="4"/>
  <c r="H28" i="4" s="1"/>
  <c r="D27" i="4"/>
  <c r="H27" i="4" s="1"/>
  <c r="D25" i="4"/>
  <c r="H25" i="4" s="1"/>
  <c r="D24" i="4"/>
  <c r="H24" i="4" s="1"/>
  <c r="D22" i="4"/>
  <c r="H22" i="4" s="1"/>
  <c r="D21" i="4"/>
  <c r="H21" i="4" s="1"/>
  <c r="D20" i="4"/>
  <c r="H20" i="4" s="1"/>
  <c r="D13" i="4"/>
  <c r="H13" i="4" s="1"/>
  <c r="D11" i="4"/>
  <c r="H11" i="4" s="1"/>
  <c r="D10" i="4"/>
  <c r="H10" i="4" s="1"/>
  <c r="D3" i="4"/>
  <c r="H3" i="4" s="1"/>
  <c r="D213" i="4"/>
  <c r="H213" i="4" s="1"/>
  <c r="I12" i="2" l="1"/>
  <c r="E13" i="2"/>
</calcChain>
</file>

<file path=xl/sharedStrings.xml><?xml version="1.0" encoding="utf-8"?>
<sst xmlns="http://schemas.openxmlformats.org/spreadsheetml/2006/main" count="7403" uniqueCount="1396">
  <si>
    <t>Link</t>
  </si>
  <si>
    <t>Contact</t>
  </si>
  <si>
    <t>Bright</t>
  </si>
  <si>
    <t>Rugged</t>
  </si>
  <si>
    <t>Clip</t>
  </si>
  <si>
    <t>Moto X Force</t>
  </si>
  <si>
    <t>Galaxy S5</t>
  </si>
  <si>
    <t>Nexus 6</t>
  </si>
  <si>
    <t>Mate 7</t>
  </si>
  <si>
    <t>G Stylo</t>
  </si>
  <si>
    <t>Xperia C5 Ultra</t>
  </si>
  <si>
    <t>Galaxy E7</t>
  </si>
  <si>
    <t>Galaxy J7</t>
  </si>
  <si>
    <t>Ascend G7</t>
  </si>
  <si>
    <t>Galaxy E5</t>
  </si>
  <si>
    <t>Xperia M4 Aqua</t>
  </si>
  <si>
    <t>Galaxy J5</t>
  </si>
  <si>
    <t>G Elite</t>
  </si>
  <si>
    <t>V580</t>
  </si>
  <si>
    <t>Galaxy J1 Ace</t>
  </si>
  <si>
    <t>Galaxy J1</t>
  </si>
  <si>
    <t>5054S</t>
  </si>
  <si>
    <t>Moto E</t>
  </si>
  <si>
    <t>Y560</t>
  </si>
  <si>
    <t>Ascend Y520</t>
  </si>
  <si>
    <t>Dash 5.0 +</t>
  </si>
  <si>
    <t>V.45</t>
  </si>
  <si>
    <t>Dash C Music</t>
  </si>
  <si>
    <t>V.35</t>
  </si>
  <si>
    <t>iPhone 6s 128GB</t>
  </si>
  <si>
    <t>Galaxy S6 Edge Plus 32 GB</t>
  </si>
  <si>
    <t>Galaxy S6 Egde 64GB</t>
  </si>
  <si>
    <t>iPhone 6s 64GB</t>
  </si>
  <si>
    <t>iPhone 6s Plus  16GB</t>
  </si>
  <si>
    <t>iPhone 5S 64 GB</t>
  </si>
  <si>
    <t>Galaxy S6 Egde 32GB</t>
  </si>
  <si>
    <t>iPhone 6s 16GB</t>
  </si>
  <si>
    <t>iPhone 5S 32 GB</t>
  </si>
  <si>
    <t>Galaxy S6 32GB</t>
  </si>
  <si>
    <t>iPhone 5S 16 GB</t>
  </si>
  <si>
    <t>iPhone 5C 32 GB</t>
  </si>
  <si>
    <t>Moto X</t>
  </si>
  <si>
    <t>iPhone 5C 16 GB</t>
  </si>
  <si>
    <t>Moto X 2da Generación</t>
  </si>
  <si>
    <t>Mate</t>
  </si>
  <si>
    <t>Atrix</t>
  </si>
  <si>
    <t>Moto X Play</t>
  </si>
  <si>
    <t>B15Q</t>
  </si>
  <si>
    <t>iPhone 5C 8GB</t>
  </si>
  <si>
    <t>Master Touch</t>
  </si>
  <si>
    <t>Master</t>
  </si>
  <si>
    <t>Moto G 2da Generación</t>
  </si>
  <si>
    <t>Moto G Ferrari</t>
  </si>
  <si>
    <t>Apollo</t>
  </si>
  <si>
    <t>Moto G 3ra Generación</t>
  </si>
  <si>
    <t>Idol 3</t>
  </si>
  <si>
    <t>Moto G Forte</t>
  </si>
  <si>
    <t>Speed</t>
  </si>
  <si>
    <t>Sunrise</t>
  </si>
  <si>
    <t>Moto E 2da Generación</t>
  </si>
  <si>
    <t>Iron Rock</t>
  </si>
  <si>
    <t>Kairos</t>
  </si>
  <si>
    <t>Unnio</t>
  </si>
  <si>
    <t>Stick</t>
  </si>
  <si>
    <t>Polaris</t>
  </si>
  <si>
    <t xml:space="preserve">Lunar </t>
  </si>
  <si>
    <t>Stella</t>
  </si>
  <si>
    <t>Apple</t>
  </si>
  <si>
    <t>iPhone 6s Plus 128GB</t>
  </si>
  <si>
    <t>iPhone 6 Plus 128GB</t>
  </si>
  <si>
    <t>iPhone 6s Plus 64GB</t>
  </si>
  <si>
    <t>iPhone 6 128GB</t>
  </si>
  <si>
    <t>iPhone 6 Plus 64GB</t>
  </si>
  <si>
    <t>Samsung</t>
  </si>
  <si>
    <t>Motorola</t>
  </si>
  <si>
    <t>iPhone 6 Plus 16GB</t>
  </si>
  <si>
    <t>iPhone 6 64GB</t>
  </si>
  <si>
    <t>iPhone 6 16GB</t>
  </si>
  <si>
    <t>Galaxy S4</t>
  </si>
  <si>
    <t>BlackBerry</t>
  </si>
  <si>
    <t>HTC</t>
  </si>
  <si>
    <t>One</t>
  </si>
  <si>
    <t>Ascend Muse Angel</t>
  </si>
  <si>
    <t>Huawei</t>
  </si>
  <si>
    <t>Ferrari Edición Especial</t>
  </si>
  <si>
    <t xml:space="preserve">Ferrari Limited Edition </t>
  </si>
  <si>
    <t>Sony</t>
  </si>
  <si>
    <t>LG</t>
  </si>
  <si>
    <t>One S</t>
  </si>
  <si>
    <t>GX8</t>
  </si>
  <si>
    <t>CAT</t>
  </si>
  <si>
    <t>Alcatel</t>
  </si>
  <si>
    <t>Core Plus</t>
  </si>
  <si>
    <t>ZTE</t>
  </si>
  <si>
    <t>A475</t>
  </si>
  <si>
    <t>Mobile Wifi E586</t>
  </si>
  <si>
    <t>A465</t>
  </si>
  <si>
    <t>VSN</t>
  </si>
  <si>
    <t>Datacard E352</t>
  </si>
  <si>
    <t>One Touch M'POP Pink</t>
  </si>
  <si>
    <t>One Touch M'POP Black</t>
  </si>
  <si>
    <t>Mobile Mifi E5573</t>
  </si>
  <si>
    <t>Marca</t>
  </si>
  <si>
    <t>Modelo</t>
  </si>
  <si>
    <t>Full Price
Precios Con IVA</t>
  </si>
  <si>
    <t xml:space="preserve"> - </t>
  </si>
  <si>
    <t>Meses</t>
  </si>
  <si>
    <t>MPE</t>
  </si>
  <si>
    <t>PIE</t>
  </si>
  <si>
    <r>
      <rPr>
        <b/>
        <sz val="11"/>
        <color rgb="FF7030A0"/>
        <rFont val="Calibri"/>
        <family val="2"/>
        <scheme val="minor"/>
      </rPr>
      <t>PIE</t>
    </r>
    <r>
      <rPr>
        <b/>
        <sz val="11"/>
        <color theme="1"/>
        <rFont val="Calibri"/>
        <family val="2"/>
        <scheme val="minor"/>
      </rPr>
      <t xml:space="preserve"> = Precio Inicial de Equipo con IVA</t>
    </r>
  </si>
  <si>
    <r>
      <rPr>
        <b/>
        <sz val="11"/>
        <color rgb="FFC00000"/>
        <rFont val="Calibri"/>
        <family val="2"/>
        <scheme val="minor"/>
      </rPr>
      <t xml:space="preserve">MPE </t>
    </r>
    <r>
      <rPr>
        <b/>
        <sz val="11"/>
        <color theme="1"/>
        <rFont val="Calibri"/>
        <family val="2"/>
        <scheme val="minor"/>
      </rPr>
      <t>= Mensualidad de Pago por Equipo en plazo mínimo</t>
    </r>
  </si>
  <si>
    <t>Equipo</t>
  </si>
  <si>
    <t>Blu</t>
  </si>
  <si>
    <t>Desire 626s</t>
  </si>
  <si>
    <t>Galaxy A5</t>
  </si>
  <si>
    <t>V.45s</t>
  </si>
  <si>
    <t>Galaxy S7 Flat 32GB</t>
  </si>
  <si>
    <t>Galaxy S7 Edge 32GB</t>
  </si>
  <si>
    <t>Mate 8</t>
  </si>
  <si>
    <t>iPhone SE 16 GB</t>
  </si>
  <si>
    <t>iPhone SE 64 GB</t>
  </si>
  <si>
    <t>Galaxy A7</t>
  </si>
  <si>
    <t>Galaxy A3</t>
  </si>
  <si>
    <t>Galaxy J3</t>
  </si>
  <si>
    <t>V40R</t>
  </si>
  <si>
    <t>Galaxy J2</t>
  </si>
  <si>
    <t>Moto G4 Plus</t>
  </si>
  <si>
    <t>Lenovo</t>
  </si>
  <si>
    <t>K5</t>
  </si>
  <si>
    <t>Moto G4</t>
  </si>
  <si>
    <t>P9 Lite</t>
  </si>
  <si>
    <t>Xperia M5</t>
  </si>
  <si>
    <t>Plazo (6, 12, 18, 24 y 36 Meses)</t>
  </si>
  <si>
    <t>Galaxy Tab A 9.7"</t>
  </si>
  <si>
    <t>Galaxy Tab A 7"</t>
  </si>
  <si>
    <t>MediaPad M2 8"</t>
  </si>
  <si>
    <t>E3372h</t>
  </si>
  <si>
    <t>Mobile MiFi E5573</t>
  </si>
  <si>
    <t>Y5 II</t>
  </si>
  <si>
    <t>X Screen</t>
  </si>
  <si>
    <t>Galaxy Note 7</t>
  </si>
  <si>
    <t>Moto Z</t>
  </si>
  <si>
    <t>Moto Z Play</t>
  </si>
  <si>
    <t>Moto G4 Play</t>
  </si>
  <si>
    <t>X Cam</t>
  </si>
  <si>
    <t>POP 4S</t>
  </si>
  <si>
    <t>GW</t>
  </si>
  <si>
    <t>Xperia XA</t>
  </si>
  <si>
    <t>iPhone 7 32GB</t>
  </si>
  <si>
    <t>iPhone 7 128GB</t>
  </si>
  <si>
    <t>iPhone 7 256GB</t>
  </si>
  <si>
    <t>iPhone 7 Plus 32GB</t>
  </si>
  <si>
    <t>iPhone 7 Plus 128GB</t>
  </si>
  <si>
    <t>iPhone 7 Plus 256GB</t>
  </si>
  <si>
    <t>X Max</t>
  </si>
  <si>
    <t>Xperia XA Ultra</t>
  </si>
  <si>
    <t>P9</t>
  </si>
  <si>
    <t>B</t>
  </si>
  <si>
    <t>Xperia E5</t>
  </si>
  <si>
    <t>MediaPad T2 7"</t>
  </si>
  <si>
    <t>Galaxy Grand Prime Plus</t>
  </si>
  <si>
    <t>Galaxy J5 Prime</t>
  </si>
  <si>
    <t>Galaxy J7 Prime</t>
  </si>
  <si>
    <t>Blade A511</t>
  </si>
  <si>
    <t>X Style</t>
  </si>
  <si>
    <t>Hisense</t>
  </si>
  <si>
    <t>L675</t>
  </si>
  <si>
    <t>Mate 9</t>
  </si>
  <si>
    <t>Galaxy S7 Edge 128 GB (Black Pearl)</t>
  </si>
  <si>
    <t>Galaxy A7 (2017)</t>
  </si>
  <si>
    <t>Affix</t>
  </si>
  <si>
    <t>F20</t>
  </si>
  <si>
    <t>iPhone 6S 32 GB</t>
  </si>
  <si>
    <t>iPad Mini 2 Wi-Fi + Cell 32GB</t>
  </si>
  <si>
    <t>iPad Air 2 Wi-Fi + Cell 32GB</t>
  </si>
  <si>
    <t>iPad Pro 9.7 Wi-Fi + Cell 32GB</t>
  </si>
  <si>
    <t>iPad Pro 12.9 Wi-Fi + Cell 128GB</t>
  </si>
  <si>
    <t>Moto G5</t>
  </si>
  <si>
    <t>Moto G5 Plus</t>
  </si>
  <si>
    <t>L110</t>
  </si>
  <si>
    <t>Pixi 4 6"</t>
  </si>
  <si>
    <t>Galaxy S8</t>
  </si>
  <si>
    <t>Galaxy S8 Plus</t>
  </si>
  <si>
    <t>U963</t>
  </si>
  <si>
    <t>P10</t>
  </si>
  <si>
    <t>W17</t>
  </si>
  <si>
    <t>BMobile</t>
  </si>
  <si>
    <t>P10 Plus</t>
  </si>
  <si>
    <t>Moto C</t>
  </si>
  <si>
    <t>Moto E4</t>
  </si>
  <si>
    <t>Moto Z2 Play</t>
  </si>
  <si>
    <t>iPhone SE 32 GB</t>
  </si>
  <si>
    <t>Xperia XZs</t>
  </si>
  <si>
    <t>Blade V8 Mini</t>
  </si>
  <si>
    <t>Galaxy J7 Pro</t>
  </si>
  <si>
    <t>Xperia L1</t>
  </si>
  <si>
    <t>Blade A521</t>
  </si>
  <si>
    <t>P10 Lite</t>
  </si>
  <si>
    <t>Y5 Lite</t>
  </si>
  <si>
    <t>Galaxy J7 Neo</t>
  </si>
  <si>
    <t>Y5 Pro</t>
  </si>
  <si>
    <t>G Elite Plus</t>
  </si>
  <si>
    <t>P10 Selfie</t>
  </si>
  <si>
    <t>iPhone 8 64GB</t>
  </si>
  <si>
    <t>iPhone 8 256GB</t>
  </si>
  <si>
    <t>iPhone 8 Plus 64GB</t>
  </si>
  <si>
    <t>iPhone 8 Plus 256GB</t>
  </si>
  <si>
    <t>Galaxy Note 8</t>
  </si>
  <si>
    <t>F23</t>
  </si>
  <si>
    <t>U5-3G</t>
  </si>
  <si>
    <t>Y5 2017</t>
  </si>
  <si>
    <t>Fórmula para Calcular la Mensualidad de Pago por Equipo en plazo mínimo (MPE)</t>
  </si>
  <si>
    <t>iPhone X 64GB</t>
  </si>
  <si>
    <t>iPhone X 256GB</t>
  </si>
  <si>
    <t xml:space="preserve">LG </t>
  </si>
  <si>
    <t>Lanix</t>
  </si>
  <si>
    <t>K4 Lite</t>
  </si>
  <si>
    <t>X520</t>
  </si>
  <si>
    <t>GW Metal</t>
  </si>
  <si>
    <t xml:space="preserve">ZTE </t>
  </si>
  <si>
    <t>Blade A321</t>
  </si>
  <si>
    <t>Blade A6</t>
  </si>
  <si>
    <t>Mate 10</t>
  </si>
  <si>
    <t>Mate 10 Lite</t>
  </si>
  <si>
    <t>Galaxy A8 Plus</t>
  </si>
  <si>
    <t>Galaxy A8</t>
  </si>
  <si>
    <t>A3 Plus</t>
  </si>
  <si>
    <t>F24</t>
  </si>
  <si>
    <t xml:space="preserve">Galaxy S9 </t>
  </si>
  <si>
    <t>Galaxy S9 Plus</t>
  </si>
  <si>
    <t>Mate 10 Pro</t>
  </si>
  <si>
    <t xml:space="preserve">Y9 2018 </t>
  </si>
  <si>
    <t>Y7 2018</t>
  </si>
  <si>
    <t>P20</t>
  </si>
  <si>
    <t>Moto G6 Plus</t>
  </si>
  <si>
    <t>P20 Lite</t>
  </si>
  <si>
    <t>Moto G6 Play</t>
  </si>
  <si>
    <t>Moto E5</t>
  </si>
  <si>
    <t>Moto Z3 Play</t>
  </si>
  <si>
    <t>Galaxy J4</t>
  </si>
  <si>
    <t>Galaxy J6</t>
  </si>
  <si>
    <t>Galaxy A6 Plus</t>
  </si>
  <si>
    <t>Galaxy S9 Plus 128GB</t>
  </si>
  <si>
    <t>Router B612S</t>
  </si>
  <si>
    <t>APPLE WATCH  38MM</t>
  </si>
  <si>
    <t>APPLE WATCH  42MM</t>
  </si>
  <si>
    <t>IPAD 6TA Generación  32GB</t>
  </si>
  <si>
    <t>IPAD 6TA Generación  128GB</t>
  </si>
  <si>
    <t>IPAD PRO 10.5INCH  256GB</t>
  </si>
  <si>
    <t>IPAD PRO 12.9INCH  256GB</t>
  </si>
  <si>
    <t>Galaxy J8</t>
  </si>
  <si>
    <t>Tablet A8</t>
  </si>
  <si>
    <t>Note 9</t>
  </si>
  <si>
    <t xml:space="preserve">Huawei </t>
  </si>
  <si>
    <t>Y5 2018</t>
  </si>
  <si>
    <t>Tablet T3 10</t>
  </si>
  <si>
    <t>Nova 3</t>
  </si>
  <si>
    <t>Motorola Moto E5 Play</t>
  </si>
  <si>
    <t>Moto E5 Play</t>
  </si>
  <si>
    <t>iPhone XS 64GB</t>
  </si>
  <si>
    <t>iPhone XS 256GB</t>
  </si>
  <si>
    <t>iPhone XS 512GB</t>
  </si>
  <si>
    <t>iPhone XS Max 64GB</t>
  </si>
  <si>
    <t>iPhone XS Max 256GB</t>
  </si>
  <si>
    <t>iPhone XS Max 512GB</t>
  </si>
  <si>
    <t>Moto One</t>
  </si>
  <si>
    <t>Mate 20 lite</t>
  </si>
  <si>
    <t>Galaxy J6 Plus</t>
  </si>
  <si>
    <t>APPLE IPHONE XR 256</t>
  </si>
  <si>
    <t>APPLE IPHONE XR 128</t>
  </si>
  <si>
    <t>APPLE IPHONE XR 64</t>
  </si>
  <si>
    <t>HISENSE</t>
  </si>
  <si>
    <t xml:space="preserve">Mate 20 </t>
  </si>
  <si>
    <t>U965</t>
  </si>
  <si>
    <t xml:space="preserve">Galaxy J4 Plus </t>
  </si>
  <si>
    <t>Galaxy A7 (2018)</t>
  </si>
  <si>
    <t xml:space="preserve">F23 Plus </t>
  </si>
  <si>
    <t xml:space="preserve">Y9 2019 </t>
  </si>
  <si>
    <t xml:space="preserve">Mate 20 Pro </t>
  </si>
  <si>
    <t>Galaxy J4 Core</t>
  </si>
  <si>
    <t>Moto G7 Power</t>
  </si>
  <si>
    <t>Moto G7 Plus</t>
  </si>
  <si>
    <t>Y7 2019</t>
  </si>
  <si>
    <t xml:space="preserve">Hisense </t>
  </si>
  <si>
    <t>V3</t>
  </si>
  <si>
    <t>S10 e</t>
  </si>
  <si>
    <t xml:space="preserve">S10 </t>
  </si>
  <si>
    <t xml:space="preserve">S10 Plus </t>
  </si>
  <si>
    <t>S10 Plus 512 GB</t>
  </si>
  <si>
    <t xml:space="preserve">Galaxy A30 </t>
  </si>
  <si>
    <t>Galaxy A50</t>
  </si>
  <si>
    <t>V8</t>
  </si>
  <si>
    <t>U3</t>
  </si>
  <si>
    <t>U1</t>
  </si>
  <si>
    <t>P30</t>
  </si>
  <si>
    <t>P30 LITE</t>
  </si>
  <si>
    <t>P30 PRO</t>
  </si>
  <si>
    <t xml:space="preserve">Galaxy A10 </t>
  </si>
  <si>
    <t xml:space="preserve">Galaxy A20 </t>
  </si>
  <si>
    <t>GEOTAB</t>
  </si>
  <si>
    <t xml:space="preserve">CF 24M </t>
  </si>
  <si>
    <t>CF 36M</t>
  </si>
  <si>
    <t xml:space="preserve">One Vision </t>
  </si>
  <si>
    <t xml:space="preserve">Samsung </t>
  </si>
  <si>
    <t xml:space="preserve">Galaxy A70 </t>
  </si>
  <si>
    <t>Moto G7 Play</t>
  </si>
  <si>
    <t>Y5 Neo</t>
  </si>
  <si>
    <t>Galaxy A80</t>
  </si>
  <si>
    <t>Hise V5</t>
  </si>
  <si>
    <t>Hise H30 Lite</t>
  </si>
  <si>
    <t>Hise H30</t>
  </si>
  <si>
    <t>GALAXY A50 128 GB</t>
  </si>
  <si>
    <t xml:space="preserve">Moto One Zoom </t>
  </si>
  <si>
    <t xml:space="preserve">SAMSUNG NOTE 10 </t>
  </si>
  <si>
    <t>SAMSUNG NOTE 10 PLUS</t>
  </si>
  <si>
    <t>MOTOROLA MOTO E6 PLUS</t>
  </si>
  <si>
    <t xml:space="preserve">APPLE IPHONE 11 64GB NEGRO ATT </t>
  </si>
  <si>
    <t xml:space="preserve">APPLE IPHONE 11 128GB NEGRO ATT </t>
  </si>
  <si>
    <t xml:space="preserve">APPLE IPHONE 11 256GB NEGRO ATT </t>
  </si>
  <si>
    <t xml:space="preserve">APPLE IPHONE 11 PRO 64GB GRIS ESPACIAL ATT </t>
  </si>
  <si>
    <t xml:space="preserve">APPLE IPHONE 11 PRO 256GB GRIS ESPACIAL ATT </t>
  </si>
  <si>
    <t xml:space="preserve">APPLE IPHONE 11 PRO 512GB GRIS ESPACIAL ATT </t>
  </si>
  <si>
    <t xml:space="preserve">APPLE IPHONE 11 PRO MAX 64GB GRIS ESPACIAL ATT </t>
  </si>
  <si>
    <t xml:space="preserve">APPLE IPHONE 11 PRO MAX 256GB GRIS ESPACIAL ATT </t>
  </si>
  <si>
    <t xml:space="preserve">APPLE IPHONE 11 PRO MAX 512GB GRIS ESPACIAL ATT </t>
  </si>
  <si>
    <t>Galaxy A10S</t>
  </si>
  <si>
    <t>Galaxy A30S</t>
  </si>
  <si>
    <t xml:space="preserve">MOTOROLA MOTO G8 PLAY </t>
  </si>
  <si>
    <t>NOVA 5T</t>
  </si>
  <si>
    <t>GALAXY A20S</t>
  </si>
  <si>
    <t>MOTOROLA MOTO G8 PLUS</t>
  </si>
  <si>
    <t>Honor</t>
  </si>
  <si>
    <t xml:space="preserve">ALCATEL 3 2019 </t>
  </si>
  <si>
    <t xml:space="preserve">MOTO E6 PLAY </t>
  </si>
  <si>
    <t>MOTOROLA ONE HYPER</t>
  </si>
  <si>
    <t xml:space="preserve">HUAWEI Y9S </t>
  </si>
  <si>
    <t>SAMSUNG</t>
  </si>
  <si>
    <t>GALAXY A51</t>
  </si>
  <si>
    <t>HUAWEI</t>
  </si>
  <si>
    <t>HUAWEI Y9 PRIME</t>
  </si>
  <si>
    <t>GALAXY NOTE 10 LITE</t>
  </si>
  <si>
    <t xml:space="preserve">SAMSUNG </t>
  </si>
  <si>
    <t>GALAXY A71</t>
  </si>
  <si>
    <t>GALAXY A01</t>
  </si>
  <si>
    <t>Nokia</t>
  </si>
  <si>
    <t>NOKIA 2.3</t>
  </si>
  <si>
    <t>Nokia 2.3</t>
  </si>
  <si>
    <t>NOKIA</t>
  </si>
  <si>
    <t>GALAXY S20</t>
  </si>
  <si>
    <t>GALAXY S20 PLUS</t>
  </si>
  <si>
    <t>MATE 30 PRO</t>
  </si>
  <si>
    <t>BLADE A3 LITE</t>
  </si>
  <si>
    <t>BLADE A7 2019</t>
  </si>
  <si>
    <t>P30 Lite 256 GB</t>
  </si>
  <si>
    <t>HUAWEI Y6S</t>
  </si>
  <si>
    <t>ALCATEL</t>
  </si>
  <si>
    <t>1B</t>
  </si>
  <si>
    <t>GALAXY S20 ULTRA</t>
  </si>
  <si>
    <t>APPLE</t>
  </si>
  <si>
    <t>IPHONE SE 2DA GENERACION 64GB</t>
  </si>
  <si>
    <t>IPHONE SE 2DA GENERACION 128GB</t>
  </si>
  <si>
    <t>IPHONE SE 2DA GENERACION 256GB</t>
  </si>
  <si>
    <t>HUAWEI P40 PRO</t>
  </si>
  <si>
    <t>MOTOROLA</t>
  </si>
  <si>
    <t>MOTO E6S</t>
  </si>
  <si>
    <t>1 2019</t>
  </si>
  <si>
    <t>VITA</t>
  </si>
  <si>
    <t>HUAWEI P40 LITE</t>
  </si>
  <si>
    <t>MOTO G8 POWER</t>
  </si>
  <si>
    <t>MOTO G8 POWER LITE</t>
  </si>
  <si>
    <t>HUAWEI Y7P</t>
  </si>
  <si>
    <t>HUAWEI Y8S</t>
  </si>
  <si>
    <t>HUAWEI P40</t>
  </si>
  <si>
    <t>MOTOROLA EDGE</t>
  </si>
  <si>
    <t>GALAXY Z FLIP</t>
  </si>
  <si>
    <t>GALAXY A11</t>
  </si>
  <si>
    <t>GALAXY A31</t>
  </si>
  <si>
    <t>GALAXY A21s</t>
  </si>
  <si>
    <t>H40 LITE</t>
  </si>
  <si>
    <t xml:space="preserve">HUAWEI </t>
  </si>
  <si>
    <t>HUAWEI Y5P</t>
  </si>
  <si>
    <t>HUAWEI Y6P</t>
  </si>
  <si>
    <t>MOTOROLA ONE FUSION</t>
  </si>
  <si>
    <t>BLADE A7 2020</t>
  </si>
  <si>
    <t>BLADE A3 2020</t>
  </si>
  <si>
    <t>XIAOMI</t>
  </si>
  <si>
    <t>Xiaomi</t>
  </si>
  <si>
    <t>AXON 11</t>
  </si>
  <si>
    <t>NOKIA 5.3</t>
  </si>
  <si>
    <t>GALAXY NOTE 20</t>
  </si>
  <si>
    <t>GALAXY NOTE 20 ULTRA</t>
  </si>
  <si>
    <t>GALAXY TAB A10.1</t>
  </si>
  <si>
    <t>GALAXY TAB A8 2019</t>
  </si>
  <si>
    <t>OPPO</t>
  </si>
  <si>
    <t>OPPO A72</t>
  </si>
  <si>
    <t>OPPO A12</t>
  </si>
  <si>
    <t>Oppo</t>
  </si>
  <si>
    <t>MOTOROLA G9 PLAY</t>
  </si>
  <si>
    <t>MOTOROLA G9 PLUS</t>
  </si>
  <si>
    <t>HUAWEI Y9A</t>
  </si>
  <si>
    <t>REDMI 9</t>
  </si>
  <si>
    <t>Samsung  </t>
  </si>
  <si>
    <t>APPLE IPHONE 12 64GB</t>
  </si>
  <si>
    <t>APPLE IPHONE 12 128GB</t>
  </si>
  <si>
    <t>APPLE IPHONE 12 256GB</t>
  </si>
  <si>
    <t>APPLE IPHONE 12 PRO 128GB</t>
  </si>
  <si>
    <t>APPLE IPHONE 12 PRO 256GB</t>
  </si>
  <si>
    <t>APPLE IPHONE 12 PRO 512GB</t>
  </si>
  <si>
    <t>GALAXY A01 CORE 32 GB</t>
  </si>
  <si>
    <t>HUAWEI Y7A</t>
  </si>
  <si>
    <t>APPLE IPHONE 12 MINI 64GB</t>
  </si>
  <si>
    <t>APPLE IPHONE 12 MINI 128GB</t>
  </si>
  <si>
    <t>APPLE IPHONE 12 MINI 256GB</t>
  </si>
  <si>
    <t>APPLE IPHONE 12 PRO MAX 128GB</t>
  </si>
  <si>
    <t>APPLE IPHONE 12 PRO MAX 256GB</t>
  </si>
  <si>
    <t>APPLE IPHONE 12 PRO MAX 512GB</t>
  </si>
  <si>
    <t>MOTOROLA RAZR 2020</t>
  </si>
  <si>
    <t>MOTOROLA E7 PLUS</t>
  </si>
  <si>
    <t>SAMSUNG GALAXY S20 FE</t>
  </si>
  <si>
    <t>MOTOROLA E7</t>
  </si>
  <si>
    <t>ALCATEL 1B 5002M</t>
  </si>
  <si>
    <t>MOTOROLA G9 POWER</t>
  </si>
  <si>
    <t>SAMSUNG GALAXY A12</t>
  </si>
  <si>
    <t>SAMSUNG GALAXY S21</t>
  </si>
  <si>
    <t>SAMSUNG GALAXY S21 PLUS</t>
  </si>
  <si>
    <t>SAMSUNG GALAXY S21 ULTRA</t>
  </si>
  <si>
    <t>SAMSUNG GALAXY A02S</t>
  </si>
  <si>
    <t>ALCATEL 1 SE 64GB</t>
  </si>
  <si>
    <t>HUAWEI P30 LITE 256GB BUNDLE FREELACE</t>
  </si>
  <si>
    <t>HUAWEI Y9A BUNDLE FREEBUDS 3I</t>
  </si>
  <si>
    <t>REDMI NOTE 9</t>
  </si>
  <si>
    <t>REDMI 9C</t>
  </si>
  <si>
    <t>ALCATEL 1 SE 32GB</t>
  </si>
  <si>
    <t>OPPO A15</t>
  </si>
  <si>
    <t>GALAXY A02</t>
  </si>
  <si>
    <t>ALCATEL U3GL</t>
  </si>
  <si>
    <t xml:space="preserve">MOTOROLA G100 </t>
  </si>
  <si>
    <t xml:space="preserve">SAMSUNG GALAXY A72 </t>
  </si>
  <si>
    <t xml:space="preserve">SAMSUNG GALAXY S21 256GB </t>
  </si>
  <si>
    <t xml:space="preserve">SAMSUNG GALAXY S21 PLUS 256GB </t>
  </si>
  <si>
    <t xml:space="preserve">SAMSUNG GALAXY S21 ULTRA 256GB </t>
  </si>
  <si>
    <t xml:space="preserve">SAMSUNG GALAXY A52 </t>
  </si>
  <si>
    <t xml:space="preserve">SAMSUNG GALAXY A32 </t>
  </si>
  <si>
    <t>MOTOROLA G20</t>
  </si>
  <si>
    <t>MOTOROLA E7I POWER</t>
  </si>
  <si>
    <t>OPPO RENO5 LITE</t>
  </si>
  <si>
    <t>REDMI NOTE 10S</t>
  </si>
  <si>
    <t>REDMI NOTE 10 PRO</t>
  </si>
  <si>
    <t>XIAOMI REDMI 9</t>
  </si>
  <si>
    <t xml:space="preserve">XIAOMI REDMI 9A </t>
  </si>
  <si>
    <t xml:space="preserve">REDMI NOTE 9 </t>
  </si>
  <si>
    <t xml:space="preserve">REDMI 9C </t>
  </si>
  <si>
    <t xml:space="preserve">SAMSUNG GALAXY S20 FE 2021 </t>
  </si>
  <si>
    <t xml:space="preserve">SAMSUNG GALAXY A22 </t>
  </si>
  <si>
    <t xml:space="preserve">OPPO A54 </t>
  </si>
  <si>
    <t>HUAWEI NOVA 8 DORADO BUNDLE FREEBUDS 4i NEGRO ATT</t>
  </si>
  <si>
    <t xml:space="preserve">HUAWEI NOVA 8 </t>
  </si>
  <si>
    <t xml:space="preserve">MOTOROLA G50 5G </t>
  </si>
  <si>
    <t>HUAWEI NOVA Y60</t>
  </si>
  <si>
    <t>HUAWEI NOVA8I</t>
  </si>
  <si>
    <t>HISENSE E20</t>
  </si>
  <si>
    <t>REDMI NOTE 9S</t>
  </si>
  <si>
    <t>GALAXY A03S</t>
  </si>
  <si>
    <t>APPLE IPHONE 13 128GB</t>
  </si>
  <si>
    <t>APPLE IPHONE 13 256GB</t>
  </si>
  <si>
    <t>APPLE IPHONE 13 512GB</t>
  </si>
  <si>
    <t>APPLE IPHONE 13 PRO MAX 128GB</t>
  </si>
  <si>
    <t>APPLE IPHONE 13 PRO MAX 256GB</t>
  </si>
  <si>
    <t>APPLE IPHONE 13 PRO MAX 512GB</t>
  </si>
  <si>
    <t>APPLE IPHONE 13 PRO MAX 1TB</t>
  </si>
  <si>
    <t>MOTOROLA E6I</t>
  </si>
  <si>
    <t>APPLE IPHONE 13 PRO 128GB</t>
  </si>
  <si>
    <t>APPLE IPHONE 13 PRO 256GB</t>
  </si>
  <si>
    <t>APPLE IPHONE 13 PRO 512GB</t>
  </si>
  <si>
    <t>GALAXY ZFLIP 3 128GB</t>
  </si>
  <si>
    <t>GALAXY ZFLIP 3 256GB</t>
  </si>
  <si>
    <t>APPLE IPHONE 13 MINI 128GB</t>
  </si>
  <si>
    <t>OPPO A16</t>
  </si>
  <si>
    <t xml:space="preserve">MOTOROLA EDGE 20 </t>
  </si>
  <si>
    <t>GALAXY A12 2021</t>
  </si>
  <si>
    <t xml:space="preserve">MOTOROLA EDGE 20 PRO </t>
  </si>
  <si>
    <t xml:space="preserve">MOTOROLA G60S </t>
  </si>
  <si>
    <t xml:space="preserve">MOTOROLA EDGE 20 LITE </t>
  </si>
  <si>
    <t>HONOR 50 6GB</t>
  </si>
  <si>
    <t xml:space="preserve">HONOR 50 8GB </t>
  </si>
  <si>
    <t xml:space="preserve">HONOR BUNDLE HONOR 50 8GB </t>
  </si>
  <si>
    <t xml:space="preserve">XIAOMI REDMI 10 </t>
  </si>
  <si>
    <t>MOTOROLA E20</t>
  </si>
  <si>
    <t>HUAWEI NOVA 9</t>
  </si>
  <si>
    <t xml:space="preserve">XIAOMI 11 LITE 5G </t>
  </si>
  <si>
    <t xml:space="preserve">XIAOMI 11T </t>
  </si>
  <si>
    <t>REDMI NOTE 10S BNDL MTW GRIS ONIX</t>
  </si>
  <si>
    <t xml:space="preserve">REDMI NOTE 10S BNDL MTW AZUL OCN </t>
  </si>
  <si>
    <t xml:space="preserve">REDMI NOTE 10S BNDL MTW EARPHONES 2 B AZ </t>
  </si>
  <si>
    <t xml:space="preserve">REDMI NOTE 10S BNDL MTW EARPHONES 2 B GR </t>
  </si>
  <si>
    <t>Redmi 9C 64 GB</t>
  </si>
  <si>
    <t>HONOR</t>
  </si>
  <si>
    <t>HONOR 50 LITE</t>
  </si>
  <si>
    <t>HUAWEI P50 PRO</t>
  </si>
  <si>
    <t xml:space="preserve">OPPO RENO 6 LITE </t>
  </si>
  <si>
    <t>MOTO G60</t>
  </si>
  <si>
    <t>Moto G41</t>
  </si>
  <si>
    <t>Moto G200</t>
  </si>
  <si>
    <t>Moto G51 5G</t>
  </si>
  <si>
    <t>HISENSE E50</t>
  </si>
  <si>
    <t xml:space="preserve">SAMSUNG S22 256GB </t>
  </si>
  <si>
    <t xml:space="preserve">SAMSUNG S22 ULTRA 256GB </t>
  </si>
  <si>
    <t xml:space="preserve">SAMSUNG S22 ULTRA 128GB </t>
  </si>
  <si>
    <t>Moto G51</t>
  </si>
  <si>
    <t>HISENSE E60 LITE</t>
  </si>
  <si>
    <t>Motorola Edge 30 Pro</t>
  </si>
  <si>
    <t>Huawei Nova 9SE</t>
  </si>
  <si>
    <t>Galaxy A53</t>
  </si>
  <si>
    <t>Apple iPhone SE 3ra Gen 64GB</t>
  </si>
  <si>
    <t>Apple iPhone SE 3ra Gen 128GB</t>
  </si>
  <si>
    <t>Apple iPhone SE 3ra Gen 256GB</t>
  </si>
  <si>
    <t>HONOR X8</t>
  </si>
  <si>
    <t>Motorola Moto G22</t>
  </si>
  <si>
    <t>MOTOROLA ONE FUSION PLUS</t>
  </si>
  <si>
    <t>SAMSUNG S22 128GB</t>
  </si>
  <si>
    <t>samsung</t>
  </si>
  <si>
    <t>HONOR X7</t>
  </si>
  <si>
    <t>SAMSUNG A33</t>
  </si>
  <si>
    <t>SAMSUNG S22 PLUS 128GB</t>
  </si>
  <si>
    <t>XIAOMI 12</t>
  </si>
  <si>
    <t>REDMI NOTE 11 PRO 5G</t>
  </si>
  <si>
    <t>HONOR X9</t>
  </si>
  <si>
    <t>HUAWEI P50</t>
  </si>
  <si>
    <t>REDMI 9C 64GB</t>
  </si>
  <si>
    <t>XIAOMI REDMI 9A</t>
  </si>
  <si>
    <t>XIA 11T PRO</t>
  </si>
  <si>
    <t>SAM S22 PLUS 256GB</t>
  </si>
  <si>
    <t>REDMI NOTE 11</t>
  </si>
  <si>
    <t>SAMSUNG S21 FE</t>
  </si>
  <si>
    <t>HUAWEI NOVA Y70</t>
  </si>
  <si>
    <t>P10 LITE</t>
  </si>
  <si>
    <t>SAMSUNG A23</t>
  </si>
  <si>
    <t>MOTO G52 256GB</t>
  </si>
  <si>
    <t>MOTO G82 5G</t>
  </si>
  <si>
    <t>MOTOROLA EDGE 30</t>
  </si>
  <si>
    <t>MOTOROLA MOTO G71 5G</t>
  </si>
  <si>
    <t>SAMSUNG A03 128GB</t>
  </si>
  <si>
    <t>SAMSUNG A13</t>
  </si>
  <si>
    <t>OPPO RENO 7</t>
  </si>
  <si>
    <t>Moto E32</t>
  </si>
  <si>
    <t>A03 64 GB</t>
  </si>
  <si>
    <t>N-JULIO</t>
  </si>
  <si>
    <t xml:space="preserve"> HISENSE</t>
  </si>
  <si>
    <t>Hisense E20S</t>
  </si>
  <si>
    <t>REDMI 10A</t>
  </si>
  <si>
    <t>Redmi 10C 128</t>
  </si>
  <si>
    <t>HUAWEI HONOR 8A</t>
  </si>
  <si>
    <t>HONOR H70</t>
  </si>
  <si>
    <t>HONOR H70 256GB</t>
  </si>
  <si>
    <t>N-AGO</t>
  </si>
  <si>
    <t>MIFI E5576-508 HUAWEI</t>
  </si>
  <si>
    <t>LEN M10HD TAB 10IN</t>
  </si>
  <si>
    <t>LENOVO</t>
  </si>
  <si>
    <t>HISENSE E60</t>
  </si>
  <si>
    <t>MOD</t>
  </si>
  <si>
    <t>GALAXY FLIP4 128GB</t>
  </si>
  <si>
    <t>GALAXY FOLD4 256GB</t>
  </si>
  <si>
    <t>GALAXY FLIP4 256GB</t>
  </si>
  <si>
    <t>GALAXY FOLD4 512GB</t>
  </si>
  <si>
    <t>IPHONE 14 128GB</t>
  </si>
  <si>
    <t>IPHONE 14 256GB</t>
  </si>
  <si>
    <t>IPHONE 14 PRO 128GB</t>
  </si>
  <si>
    <t>IPHONE 14 PRO 256GB</t>
  </si>
  <si>
    <t>IPHONE 14 PROMAX 128GB</t>
  </si>
  <si>
    <t>IPHONE 14 PROMAX 256GB</t>
  </si>
  <si>
    <t>OPPO A57</t>
  </si>
  <si>
    <t>OPPO A77</t>
  </si>
  <si>
    <t>IPHONE 14 512GB</t>
  </si>
  <si>
    <t>IPHONE14 PLUS 128GB</t>
  </si>
  <si>
    <t>IPHONE14 PLUS 256GB</t>
  </si>
  <si>
    <t>IPHONE14 PLUS 512GB</t>
  </si>
  <si>
    <t>IPHONE 14 PRO 512GB</t>
  </si>
  <si>
    <t>IPHONE 14 PRO 1TB</t>
  </si>
  <si>
    <t>IPHONE 14 PROMAX 512GB</t>
  </si>
  <si>
    <t>IPHONE 14 PROMAX 1TB</t>
  </si>
  <si>
    <t>GO9</t>
  </si>
  <si>
    <t>Apple iPhone SE 64GB 2da</t>
  </si>
  <si>
    <t>Huawei Nova 8i</t>
  </si>
  <si>
    <t>Huawei Nova 9</t>
  </si>
  <si>
    <t xml:space="preserve">HUAWEI NOVA 9 SE </t>
  </si>
  <si>
    <t xml:space="preserve">HUAWEI NOVA Y70 </t>
  </si>
  <si>
    <t xml:space="preserve">Huawei Nova Y90 </t>
  </si>
  <si>
    <t>Huawei P40 Lite</t>
  </si>
  <si>
    <t>Huawei P50 Pro</t>
  </si>
  <si>
    <t>HUAWEI P50 PRO Bundle</t>
  </si>
  <si>
    <t>Huawei Nova 8 Bundle</t>
  </si>
  <si>
    <t>Huawei Y6P</t>
  </si>
  <si>
    <t>Huawei Y6S</t>
  </si>
  <si>
    <t>Huawei Y7A</t>
  </si>
  <si>
    <t>Huawei Y7P</t>
  </si>
  <si>
    <t>Huawei Y8S</t>
  </si>
  <si>
    <t>Huawei Y9A</t>
  </si>
  <si>
    <t>HUAWEI Y9A + Freebuds 4i</t>
  </si>
  <si>
    <t>Honor H70 128GB Bundle</t>
  </si>
  <si>
    <t>Alcatel 1B 5002M</t>
  </si>
  <si>
    <t>Alcatel 1SE 64GB</t>
  </si>
  <si>
    <t>Alcatel 3 20</t>
  </si>
  <si>
    <t xml:space="preserve">OPPO RENO 7 </t>
  </si>
  <si>
    <t>Xiaomi Redmi 11T</t>
  </si>
  <si>
    <t>Xiaomi Redmi 11T Pro</t>
  </si>
  <si>
    <t>REDMI NOTE 11S 5G</t>
  </si>
  <si>
    <t>GALAXY A04 128GB</t>
  </si>
  <si>
    <t>GALAXY A04 64GB</t>
  </si>
  <si>
    <t>Motorola Moto E22</t>
  </si>
  <si>
    <t>Honor X6s</t>
  </si>
  <si>
    <t>EDGE 30 ULTRA</t>
  </si>
  <si>
    <t>MOTO G32</t>
  </si>
  <si>
    <t>OPPO A17</t>
  </si>
  <si>
    <t>HISENSE E50I</t>
  </si>
  <si>
    <t>HISENSE H60 SMART</t>
  </si>
  <si>
    <t>REALME</t>
  </si>
  <si>
    <t>REALME C35 128GB</t>
  </si>
  <si>
    <t>GALAXY A04e 32GB</t>
  </si>
  <si>
    <t>S23 256GB</t>
  </si>
  <si>
    <t>S23 PLUS 256GB</t>
  </si>
  <si>
    <t>S23 PLUS 512GB</t>
  </si>
  <si>
    <t>S23 ULTRA 256GB</t>
  </si>
  <si>
    <t>S23 ULTRA 512GB</t>
  </si>
  <si>
    <t>S23 ULTRA 1TB</t>
  </si>
  <si>
    <t>GALAXY A14 5G 128GB</t>
  </si>
  <si>
    <t>GALAXY A14 4G 128GB</t>
  </si>
  <si>
    <t xml:space="preserve">HONOR </t>
  </si>
  <si>
    <t>HONOR X7A</t>
  </si>
  <si>
    <t>RENO 7 256GB</t>
  </si>
  <si>
    <t>SAM S22 256GB</t>
  </si>
  <si>
    <t>NOVA Y61</t>
  </si>
  <si>
    <t>HUAWEI MATE 50 PRO</t>
  </si>
  <si>
    <t>HONOR X8A BDL</t>
  </si>
  <si>
    <t>HONOR MAGIC5 LITE BDL</t>
  </si>
  <si>
    <t>GALAXY A54 5G 128GB</t>
  </si>
  <si>
    <t>GALAXY A34 5G 128GB</t>
  </si>
  <si>
    <t>SAMSUNG GALAXY A24</t>
  </si>
  <si>
    <t>MOTOROLA MOTO G13</t>
  </si>
  <si>
    <t>Motorola Moto Edge 30 Ultra Bundle</t>
  </si>
  <si>
    <t>Honor X5</t>
  </si>
  <si>
    <t>Redmi 12C</t>
  </si>
  <si>
    <t>Redmi A2</t>
  </si>
  <si>
    <t>IPHONE 14 128GB AMARILLO ATT</t>
  </si>
  <si>
    <t>IPHONE 14 256GB AMARILLO ATT</t>
  </si>
  <si>
    <t>IPHONE 14 PLUS 128GB AMARILLO ATT</t>
  </si>
  <si>
    <t>IPHONE 14 PLUS 256GB AMARILLO ATT</t>
  </si>
  <si>
    <t>REDMI NOTE 12</t>
  </si>
  <si>
    <t>REDMINOTE12PROPLUS5G</t>
  </si>
  <si>
    <t>IPHONE 14 PLUS 128GB</t>
  </si>
  <si>
    <t>IPHONE 14 PLUS 256GB</t>
  </si>
  <si>
    <t>HONOR MAGIC5 LITE 256GB BDL</t>
  </si>
  <si>
    <t>HONOR X8A BDL PADX8</t>
  </si>
  <si>
    <t>HONOR MAGIC VS</t>
  </si>
  <si>
    <t>HONOR X8A</t>
  </si>
  <si>
    <t>HUAWEI P60 PRO</t>
  </si>
  <si>
    <t xml:space="preserve">HISENSE E70 </t>
  </si>
  <si>
    <t>Tipo Precio</t>
  </si>
  <si>
    <t>Precio Base</t>
  </si>
  <si>
    <t>Baja de Precio</t>
  </si>
  <si>
    <t>Tipo de Precio</t>
  </si>
  <si>
    <t>Precio base</t>
  </si>
  <si>
    <t>Baja Precio</t>
  </si>
  <si>
    <t>Fecha Baja Precio</t>
  </si>
  <si>
    <t>N/A</t>
  </si>
  <si>
    <t>Apple iPhone X 256GB</t>
  </si>
  <si>
    <t>Apple iPhone X 64GB</t>
  </si>
  <si>
    <t>Samsung Note 8</t>
  </si>
  <si>
    <t>Apple iPhone 7 Plus 256GB</t>
  </si>
  <si>
    <t>Apple iPhone 8 Plus 256GB</t>
  </si>
  <si>
    <t>Apple iPhone 6S Plus 128GB</t>
  </si>
  <si>
    <t>Apple iPhone 7 Plus 128GB</t>
  </si>
  <si>
    <t>Apple iPhone 8 256GB</t>
  </si>
  <si>
    <t>Apple iPhone 6 Plus 128GB</t>
  </si>
  <si>
    <t>Samsung S8 Plus</t>
  </si>
  <si>
    <t>Apple iPhone 8 Plus 64GB</t>
  </si>
  <si>
    <t>Apple iPhone 6S Plus 64GB</t>
  </si>
  <si>
    <t>Apple iPhone 7 Plus 32GB</t>
  </si>
  <si>
    <t>Motorola Moto z</t>
  </si>
  <si>
    <t>Apple iPhone 6S 128GB</t>
  </si>
  <si>
    <t>Apple iPhone 6 128GB</t>
  </si>
  <si>
    <t>Apple iPhone 6 Plus 64GB</t>
  </si>
  <si>
    <t>Apple iPhone 7 128GB</t>
  </si>
  <si>
    <t>Samsung S8</t>
  </si>
  <si>
    <t>Apple iPhone 8 64GB</t>
  </si>
  <si>
    <t>Apple iPhone 6S 64GB</t>
  </si>
  <si>
    <t>Apple iPhone 6 Plus 16GB</t>
  </si>
  <si>
    <t>Apple iPhone 7 32GB</t>
  </si>
  <si>
    <t>Apple iPhone 6 64GB</t>
  </si>
  <si>
    <t>Apple iPhone 6S 16GB</t>
  </si>
  <si>
    <t>Apple iPhone 6 16GB</t>
  </si>
  <si>
    <t>Samsung S6 32GB</t>
  </si>
  <si>
    <t>Huawei P9</t>
  </si>
  <si>
    <t>Motorola One</t>
  </si>
  <si>
    <t>Motorola Moto Z2 Play</t>
  </si>
  <si>
    <t>Samsung A7</t>
  </si>
  <si>
    <t>Motorola Moto z Play</t>
  </si>
  <si>
    <t>Huawei P10 Selfie</t>
  </si>
  <si>
    <t>Motorola Moto X Play</t>
  </si>
  <si>
    <t>Motorola Moto G5 Plus</t>
  </si>
  <si>
    <t>Samsung J7 Pro</t>
  </si>
  <si>
    <t>Samsung J7 Prime</t>
  </si>
  <si>
    <t>Huawei GX8</t>
  </si>
  <si>
    <t>Samsung A3</t>
  </si>
  <si>
    <t>Samsung J5 Prime</t>
  </si>
  <si>
    <t>Samsung J7</t>
  </si>
  <si>
    <t>Lg X Cam</t>
  </si>
  <si>
    <t>Motorola Moto G5</t>
  </si>
  <si>
    <t>Sony Xperia L1</t>
  </si>
  <si>
    <t>Samsung J7 Neo</t>
  </si>
  <si>
    <t>Huawei GW Metal</t>
  </si>
  <si>
    <t>Motorola Moto G4</t>
  </si>
  <si>
    <t>Lg X Screen</t>
  </si>
  <si>
    <t>Huawei Gw</t>
  </si>
  <si>
    <t>Samsung J5</t>
  </si>
  <si>
    <t>Alcatel Idol 3</t>
  </si>
  <si>
    <t>Sony Xperia E5</t>
  </si>
  <si>
    <t>Samsung J3</t>
  </si>
  <si>
    <t>Zte V8 Mini</t>
  </si>
  <si>
    <t>Huawei G Elite</t>
  </si>
  <si>
    <t>Huawei G Elite Plus</t>
  </si>
  <si>
    <t>Motorola Moto G Forte</t>
  </si>
  <si>
    <t>Motorola Moto G4 Play</t>
  </si>
  <si>
    <t>Motorola Moto E4</t>
  </si>
  <si>
    <t>Lg x Style</t>
  </si>
  <si>
    <t>Samsung Grand Prime Plus</t>
  </si>
  <si>
    <t>Zte Blade V580</t>
  </si>
  <si>
    <t>Samsung J2</t>
  </si>
  <si>
    <t>Huawei Y5 Pro</t>
  </si>
  <si>
    <t>Samsung J1</t>
  </si>
  <si>
    <t>Hisense F23</t>
  </si>
  <si>
    <t>Huawei Y5 17</t>
  </si>
  <si>
    <t>Huawei Y5 II</t>
  </si>
  <si>
    <t>Hisense F20</t>
  </si>
  <si>
    <t>Lg K4 Lite</t>
  </si>
  <si>
    <t>Alcatel 5054S</t>
  </si>
  <si>
    <t>Zte Blade A475</t>
  </si>
  <si>
    <t>Motorola Moto E</t>
  </si>
  <si>
    <t>Motorola Moto C</t>
  </si>
  <si>
    <t>Zte Blade A521</t>
  </si>
  <si>
    <t>Samsung J1 Ace</t>
  </si>
  <si>
    <t>Huawei Y5 Lite</t>
  </si>
  <si>
    <t>Hisense L675</t>
  </si>
  <si>
    <t>Zte Blade A511</t>
  </si>
  <si>
    <t>Huawei Y560</t>
  </si>
  <si>
    <t>Zte Blade A465</t>
  </si>
  <si>
    <t>Zte Blade A321</t>
  </si>
  <si>
    <t>Alcatel 5010</t>
  </si>
  <si>
    <t>Lanix X520</t>
  </si>
  <si>
    <t>Hisense U963</t>
  </si>
  <si>
    <t>Zte Blade L110</t>
  </si>
  <si>
    <t>Zte Blade A6</t>
  </si>
  <si>
    <t>Huawei Mate 10</t>
  </si>
  <si>
    <t>Huawei Mate 10 Lite</t>
  </si>
  <si>
    <t>Samsung A8 Plus</t>
  </si>
  <si>
    <t>Samsung A8</t>
  </si>
  <si>
    <t>Alcatel A3 Plus</t>
  </si>
  <si>
    <t>Hisense F24</t>
  </si>
  <si>
    <t>Samsung S9</t>
  </si>
  <si>
    <t>Samsung S9 Plus</t>
  </si>
  <si>
    <t>Huawei Mate 10 Pro</t>
  </si>
  <si>
    <t>Huawei Y7 18</t>
  </si>
  <si>
    <t>Huawei P20</t>
  </si>
  <si>
    <t>Motorola Moto G6 Plus</t>
  </si>
  <si>
    <t>Huawei P20 Lite</t>
  </si>
  <si>
    <t>Motorola Moto G6 Play</t>
  </si>
  <si>
    <t>Motorola Moto E5</t>
  </si>
  <si>
    <t>Motorola Moto Z3 Play</t>
  </si>
  <si>
    <t>Samsung J4</t>
  </si>
  <si>
    <t>Samsung J6</t>
  </si>
  <si>
    <t>Samsung A6 Plus</t>
  </si>
  <si>
    <t>Samsung J8</t>
  </si>
  <si>
    <t>Huawei Dura Y5</t>
  </si>
  <si>
    <t>Huawei Nova 3</t>
  </si>
  <si>
    <t>Samsung Note 9</t>
  </si>
  <si>
    <t>Apple iPhone XS 64GB</t>
  </si>
  <si>
    <t>Apple iPhone XS 256GB</t>
  </si>
  <si>
    <t>Apple iPhone XS 512GB</t>
  </si>
  <si>
    <t>Apple iPhone XS Max 64GB</t>
  </si>
  <si>
    <t>Apple iPhone XS Max 256GB</t>
  </si>
  <si>
    <t>Apple iPhone XS Max 512GB</t>
  </si>
  <si>
    <t>Huawei Mate 20 Lite</t>
  </si>
  <si>
    <t>Samsung J6 Plus</t>
  </si>
  <si>
    <t>Apple Iphone XR 256GB</t>
  </si>
  <si>
    <t>Apple Iphone XR 128GB</t>
  </si>
  <si>
    <t>Apple Iphone XR 64GB</t>
  </si>
  <si>
    <t>Hisense U965</t>
  </si>
  <si>
    <t>Samsung J4 Plus</t>
  </si>
  <si>
    <t>Samsung A7 18</t>
  </si>
  <si>
    <t>Hisense F23 Plus</t>
  </si>
  <si>
    <t>Samsung J4 Core</t>
  </si>
  <si>
    <t>Motorola Moto G7 Power</t>
  </si>
  <si>
    <t>Motorola Moto G7 Plus</t>
  </si>
  <si>
    <t>Huawei Y7 19</t>
  </si>
  <si>
    <t>Hisense V3</t>
  </si>
  <si>
    <t>Samsung S10E 128GB</t>
  </si>
  <si>
    <t>Samsung S10 128GB</t>
  </si>
  <si>
    <t>Samsung A30</t>
  </si>
  <si>
    <t>Samsung A50</t>
  </si>
  <si>
    <t>Hisense V8</t>
  </si>
  <si>
    <t>Hisense U3</t>
  </si>
  <si>
    <t>Hisense U1</t>
  </si>
  <si>
    <t>Huawei P30</t>
  </si>
  <si>
    <t>Huawei P30 Lite</t>
  </si>
  <si>
    <t>Huawei P30 Pro</t>
  </si>
  <si>
    <t>Samsung A10</t>
  </si>
  <si>
    <t>Motorola One Vision</t>
  </si>
  <si>
    <t>Motorola Moto G7 Play</t>
  </si>
  <si>
    <t>Huawei Y5 Neo</t>
  </si>
  <si>
    <t>Samsung A80</t>
  </si>
  <si>
    <t>Hisense V5</t>
  </si>
  <si>
    <t>Hisense H30 Lite</t>
  </si>
  <si>
    <t>Hisense H30</t>
  </si>
  <si>
    <t>Samsung A50 128GB</t>
  </si>
  <si>
    <t>Samsung Note 10 Plus</t>
  </si>
  <si>
    <t>Motorola Moto E6 Plus</t>
  </si>
  <si>
    <t>Samsung A10S</t>
  </si>
  <si>
    <t>Samsung A30S</t>
  </si>
  <si>
    <t>Huawei Nova 5T</t>
  </si>
  <si>
    <t>Samsung A20S</t>
  </si>
  <si>
    <t>Motorola Moto G8 Plus</t>
  </si>
  <si>
    <t>Alcatel 3 19</t>
  </si>
  <si>
    <t>Motorola Moto E6 Play</t>
  </si>
  <si>
    <t>Motorola One Hyper</t>
  </si>
  <si>
    <t>Huawei Y9S</t>
  </si>
  <si>
    <t>Samsung A51</t>
  </si>
  <si>
    <t>Huawei Y9 Prime</t>
  </si>
  <si>
    <t>Samsung Note 10 Lite</t>
  </si>
  <si>
    <t>Samsung A71</t>
  </si>
  <si>
    <t>Samsung A01</t>
  </si>
  <si>
    <t>Samsung S20</t>
  </si>
  <si>
    <t>Samsung S20 Plus</t>
  </si>
  <si>
    <t>Huawei Mate 30 Pro</t>
  </si>
  <si>
    <t>Huawei P30 Lite 256GB</t>
  </si>
  <si>
    <t>Samsung S20 Ultra</t>
  </si>
  <si>
    <t>Apple iPhone SE 128GB 2da</t>
  </si>
  <si>
    <t>Apple iPhone SE 256GB 2da</t>
  </si>
  <si>
    <t>Huawei P40 Pro</t>
  </si>
  <si>
    <t>Motorola Moto E6S</t>
  </si>
  <si>
    <t>Motorola Moto G8 Power</t>
  </si>
  <si>
    <t>Motorola Moto G8 Power Lite</t>
  </si>
  <si>
    <t>Huawei P40</t>
  </si>
  <si>
    <t>Motorola Moto Edge</t>
  </si>
  <si>
    <t>Samsung A21S</t>
  </si>
  <si>
    <t>Samsung A11</t>
  </si>
  <si>
    <t>Samsung A31</t>
  </si>
  <si>
    <t>Hisense H40 Lite</t>
  </si>
  <si>
    <t>Huawei Y5P</t>
  </si>
  <si>
    <t>Zte Blade A7 20</t>
  </si>
  <si>
    <t>Zte Blade A3 20</t>
  </si>
  <si>
    <t>Nokia 5.3</t>
  </si>
  <si>
    <t>Samsung Note 20</t>
  </si>
  <si>
    <t>Samsung Note 20 Ultra</t>
  </si>
  <si>
    <t>Oppo A72</t>
  </si>
  <si>
    <t>Oppo A12</t>
  </si>
  <si>
    <t>Motorola Moto G9 Play</t>
  </si>
  <si>
    <t>Motorola Moto G9 Plus</t>
  </si>
  <si>
    <t>Xiaomi Redmi 9</t>
  </si>
  <si>
    <t>Apple iPhone 12 64GB</t>
  </si>
  <si>
    <t>Apple iPhone 12 128GB</t>
  </si>
  <si>
    <t>Apple iPhone 12 256GB</t>
  </si>
  <si>
    <t>Apple iPhone 12 Pro 128GB</t>
  </si>
  <si>
    <t>Apple iPhone 12 Pro 256GB</t>
  </si>
  <si>
    <t>Apple iPhone 12 Pro 512GB</t>
  </si>
  <si>
    <t>Samsung A01 Core 32GB</t>
  </si>
  <si>
    <t>Apple iPhone 12 Mini 64GB</t>
  </si>
  <si>
    <t>Apple iPhone 12 Mini 128GB</t>
  </si>
  <si>
    <t>Apple iPhone 12 Mini 256GB</t>
  </si>
  <si>
    <t>Apple iPhone 12 Pro Max 128GB</t>
  </si>
  <si>
    <t>Apple iPhone 12 Pro Max 256GB</t>
  </si>
  <si>
    <t>Apple iPhone 12 Pro Max 512GB</t>
  </si>
  <si>
    <t>Motorola Moto Razr 20</t>
  </si>
  <si>
    <t>Motorola Moto E7 Plus</t>
  </si>
  <si>
    <t>Samsung S20 FE</t>
  </si>
  <si>
    <t>Motorola Moto E7</t>
  </si>
  <si>
    <t>Motorola Moto G9 Power</t>
  </si>
  <si>
    <t>Samsung A12</t>
  </si>
  <si>
    <t>Samsung S21</t>
  </si>
  <si>
    <t>Samsung S21 Plus</t>
  </si>
  <si>
    <t>Samsung A02S</t>
  </si>
  <si>
    <t>Xiaomi Note 9</t>
  </si>
  <si>
    <t>Xiaomi 9C</t>
  </si>
  <si>
    <t>Alcatel 1SE 32GB</t>
  </si>
  <si>
    <t>Oppo A15</t>
  </si>
  <si>
    <t>Samsung A02</t>
  </si>
  <si>
    <t>Alcatel U3GL</t>
  </si>
  <si>
    <t>Motorola Moto G20</t>
  </si>
  <si>
    <t>Motorola Moto E7I Power</t>
  </si>
  <si>
    <t>Oppo Reno 5 Lite</t>
  </si>
  <si>
    <t>Xiaomi Redmi Note 10S</t>
  </si>
  <si>
    <t>Samsung A22</t>
  </si>
  <si>
    <t>Huawei Nova Y60</t>
  </si>
  <si>
    <t>Hisense E20</t>
  </si>
  <si>
    <t>Xiaomi Redmi Note 9S</t>
  </si>
  <si>
    <t>Samsung A03S</t>
  </si>
  <si>
    <t>Apple iPhone 13 128GB</t>
  </si>
  <si>
    <t>Apple iPhone 13 256GB</t>
  </si>
  <si>
    <t>Apple iPhone 13 512GB</t>
  </si>
  <si>
    <t>Apple iPhone 13 Pro Max 128GB</t>
  </si>
  <si>
    <t>Apple iPhone 13 Pro Max 256GB</t>
  </si>
  <si>
    <t>Apple iPhone 13 Pro Max 512GB</t>
  </si>
  <si>
    <t>Apple iPhone 13 Pro Max 1TB</t>
  </si>
  <si>
    <t>Motorola Moto E6I</t>
  </si>
  <si>
    <t>Apple iPhone 13 Pro 128GB</t>
  </si>
  <si>
    <t>Apple iPhone 13 Pro 256GB</t>
  </si>
  <si>
    <t>Apple iPhone 13 Pro 512GB</t>
  </si>
  <si>
    <t>Apple iPhone 13 Mini 128GB</t>
  </si>
  <si>
    <t>Samsung Galaxy ZFlip 3 256GB</t>
  </si>
  <si>
    <t>Oppo A16</t>
  </si>
  <si>
    <t>Samsung A12 21</t>
  </si>
  <si>
    <t>Motorola Moto G60S</t>
  </si>
  <si>
    <t>Honor 50 6GB</t>
  </si>
  <si>
    <t>Motorola Moto E20</t>
  </si>
  <si>
    <t>Xiaomi Redmi 9C 64GB</t>
  </si>
  <si>
    <t>Honor 50 Lite</t>
  </si>
  <si>
    <t>Oppo Reno 6 Lite</t>
  </si>
  <si>
    <t>Motorola Moto G60</t>
  </si>
  <si>
    <t>Motorola Moto G41</t>
  </si>
  <si>
    <t>Motorola Moto G51 5G</t>
  </si>
  <si>
    <t>Hisense E50</t>
  </si>
  <si>
    <t>Hisense E60 Lite</t>
  </si>
  <si>
    <t>Motorola Moto Edge 30 Pro</t>
  </si>
  <si>
    <t>Huawei Nova 9 SE</t>
  </si>
  <si>
    <t>Honor X8</t>
  </si>
  <si>
    <t>Motorola One Fusion Plus</t>
  </si>
  <si>
    <t>Samsung S22 128GB</t>
  </si>
  <si>
    <t>Honor X7</t>
  </si>
  <si>
    <t>Samsung A33</t>
  </si>
  <si>
    <t>Samsung S22 Plus 128GB</t>
  </si>
  <si>
    <t>Xiaomi 12</t>
  </si>
  <si>
    <t>Xiaomi Redmi 9A</t>
  </si>
  <si>
    <t>Xiaomi Redmi Note 11 Pro 5G</t>
  </si>
  <si>
    <t>Huawei P50</t>
  </si>
  <si>
    <t>Honor X9</t>
  </si>
  <si>
    <t>Samsung S22 Plus 256GB</t>
  </si>
  <si>
    <t>Xiaomi Redmi Note 11</t>
  </si>
  <si>
    <t>Samsung S201 FE</t>
  </si>
  <si>
    <t>Huawei Nova Y70</t>
  </si>
  <si>
    <t>Huawei P10 Lite</t>
  </si>
  <si>
    <t>Samsung A23 128GB</t>
  </si>
  <si>
    <t>Motorola Moto G52 256GB</t>
  </si>
  <si>
    <t>Motorola Moto G82 5G</t>
  </si>
  <si>
    <t>Motorola Moto Edge 30</t>
  </si>
  <si>
    <t>Motorola Moto G71 5G</t>
  </si>
  <si>
    <t>Samsung A03 128GB</t>
  </si>
  <si>
    <t>Samsung A13 128GB</t>
  </si>
  <si>
    <t>Oppo Reno 7</t>
  </si>
  <si>
    <t>Motorola Moto E32</t>
  </si>
  <si>
    <t>Hisense H70</t>
  </si>
  <si>
    <t>Hisense H70 256GB</t>
  </si>
  <si>
    <t>Hisense E60</t>
  </si>
  <si>
    <t>Samsung Galaxy ZFlip 4 128GB</t>
  </si>
  <si>
    <t>Samsung Galaxy ZFlip 4 256GB</t>
  </si>
  <si>
    <t>Samsung Galaxy Fold 4 256GB</t>
  </si>
  <si>
    <t>Samsung Galaxy Fold 4 512 GB</t>
  </si>
  <si>
    <t>Huawei P9 Lite</t>
  </si>
  <si>
    <t>Apple iPhone 14 128GB</t>
  </si>
  <si>
    <t>Apple iPhone 14 256GB</t>
  </si>
  <si>
    <t>Apple iPhone 14 Pro 128GB</t>
  </si>
  <si>
    <t>Apple iPhone 14 Pro 256GB</t>
  </si>
  <si>
    <t>Apple iPhone 14 Pro Max 128GB</t>
  </si>
  <si>
    <t>Apple iPhone 14 Pro Max 256GB</t>
  </si>
  <si>
    <t>Oppo A57</t>
  </si>
  <si>
    <t>Oppo A77</t>
  </si>
  <si>
    <t>Apple iPhone 14 512GB</t>
  </si>
  <si>
    <t>Apple iPhone 14 Plus 128GB</t>
  </si>
  <si>
    <t>Apple iPhone 14 Plus 256GB</t>
  </si>
  <si>
    <t>Apple iPhone 14 Plus 512GB</t>
  </si>
  <si>
    <t>Apple iPhone 14 Pro 512GB</t>
  </si>
  <si>
    <t>Apple iPhone 14 Pro 1TB</t>
  </si>
  <si>
    <t>Apple iPhone 14 Pro Max 512GB</t>
  </si>
  <si>
    <t>Apple iPhone 14 Pro Max 1TB</t>
  </si>
  <si>
    <t>Honor X6S</t>
  </si>
  <si>
    <t>Huawei Nova Y90</t>
  </si>
  <si>
    <t>Huawei Nova 8</t>
  </si>
  <si>
    <t>Samsung A04 128GB</t>
  </si>
  <si>
    <t>Samsung A04 64GB</t>
  </si>
  <si>
    <t>Xiaomi Redmi Note 11S 5G</t>
  </si>
  <si>
    <t>Motorola Moto Edge 30 Ultra</t>
  </si>
  <si>
    <t>Motorola Moto G32</t>
  </si>
  <si>
    <t>Oppo A17</t>
  </si>
  <si>
    <t>Hisense H60 Smart</t>
  </si>
  <si>
    <t>Realme C35</t>
  </si>
  <si>
    <t>Hisense E50i</t>
  </si>
  <si>
    <t>Samsung A04E 32GB</t>
  </si>
  <si>
    <t>Samsung Galaxy S23 256GB</t>
  </si>
  <si>
    <t>Samsung Galaxy S23 Plus 256GB</t>
  </si>
  <si>
    <t>Samsung Galaxy S23 Plus 512GB</t>
  </si>
  <si>
    <t>Samsung Galaxy S23 Ultra 256GB</t>
  </si>
  <si>
    <t>Samsung Galaxy S23 Ultra 512GB</t>
  </si>
  <si>
    <t>Samsung Galaxy S23 Ultra 1TB</t>
  </si>
  <si>
    <t>Samsung A14 5G 128GB</t>
  </si>
  <si>
    <t>Samsung A14 4G 128GB</t>
  </si>
  <si>
    <t>Honor X7A</t>
  </si>
  <si>
    <t>Samsung S22 256GB</t>
  </si>
  <si>
    <t>Huawei Nova Y61</t>
  </si>
  <si>
    <t>Huawei Mate 50 Pro</t>
  </si>
  <si>
    <t>Honor X8A</t>
  </si>
  <si>
    <t>Honor Magic5 Lite</t>
  </si>
  <si>
    <t>Samsung Galaxy A54 5G 128GB</t>
  </si>
  <si>
    <t>Samsung Galaxy A34 5G 128GB</t>
  </si>
  <si>
    <t>Samsung A24 128GB</t>
  </si>
  <si>
    <t>Motorola Moto G13</t>
  </si>
  <si>
    <t>Xiaomi Redmi 12C</t>
  </si>
  <si>
    <t>Xiaomi Redmi A2</t>
  </si>
  <si>
    <t>Xiaomi Redmi Note 12</t>
  </si>
  <si>
    <t>Xiaomi Redmi Note 12 Pro Plus 5GB</t>
  </si>
  <si>
    <t>Honor Magic5 Lite 256GB</t>
  </si>
  <si>
    <t>Honor Magic 5 VS</t>
  </si>
  <si>
    <t>Huawei P60 Pro</t>
  </si>
  <si>
    <t>Hisense E70</t>
  </si>
  <si>
    <t>Motorola Atrix</t>
  </si>
  <si>
    <t>Motorola Master</t>
  </si>
  <si>
    <t>Huawei Link</t>
  </si>
  <si>
    <t>Huawei Contact</t>
  </si>
  <si>
    <t>Huawei Bright</t>
  </si>
  <si>
    <t>Huawei Speed</t>
  </si>
  <si>
    <t>Huawei Sunrise</t>
  </si>
  <si>
    <t>Motorola Rugged</t>
  </si>
  <si>
    <t>Motorola Iron Rock</t>
  </si>
  <si>
    <t>Motorola Kairos</t>
  </si>
  <si>
    <t>Huawei Clip</t>
  </si>
  <si>
    <t>Motorola Unnio</t>
  </si>
  <si>
    <t>Huawei Stick</t>
  </si>
  <si>
    <t>Huawei Polaris</t>
  </si>
  <si>
    <t>Huawei Stella</t>
  </si>
  <si>
    <t>Apple iPhone 11 64GB</t>
  </si>
  <si>
    <t>Apple iPhone 11 128GB</t>
  </si>
  <si>
    <t>Apple iPhone 11 256GB</t>
  </si>
  <si>
    <t>Apple iPhone 11 Pro 64GB</t>
  </si>
  <si>
    <t>Apple iPhone 11 Pro 256GB</t>
  </si>
  <si>
    <t>Apple iPhone 11 Pro 512GB</t>
  </si>
  <si>
    <t>Apple iPhone 11 Pro Max 64GB</t>
  </si>
  <si>
    <t>Apple iPhone 11 Pro Max 256GB</t>
  </si>
  <si>
    <t>Apple iPhone 11 Pro Max 512GB</t>
  </si>
  <si>
    <t>Zte Blade A7</t>
  </si>
  <si>
    <t>Zte Blade A3 Lite</t>
  </si>
  <si>
    <t>Alcatel 1B</t>
  </si>
  <si>
    <t>Alcatel 1 19</t>
  </si>
  <si>
    <t>Zte Blade Vita</t>
  </si>
  <si>
    <t>Zte Axon 11</t>
  </si>
  <si>
    <t>Apple iPhone SE 64GB 3ra</t>
  </si>
  <si>
    <t>Apple iPhone SE 128GB 3ra</t>
  </si>
  <si>
    <t>Apple iPhone SE 256GB 3ra</t>
  </si>
  <si>
    <t>Familia</t>
  </si>
  <si>
    <t>Apple iPhone 7 256GB</t>
  </si>
  <si>
    <t>Apple Ipad Pro 12.9 128GB</t>
  </si>
  <si>
    <t>Samsung S7 Edge</t>
  </si>
  <si>
    <t>Samsung S7 Edge 128GB</t>
  </si>
  <si>
    <t>W31</t>
  </si>
  <si>
    <t>HONOR 90 256GB</t>
  </si>
  <si>
    <t>HONOR 90 512GB</t>
  </si>
  <si>
    <t>HONOR 90 LITE</t>
  </si>
  <si>
    <t>HONOR X5 PLUS</t>
  </si>
  <si>
    <t>W38</t>
  </si>
  <si>
    <t>W29</t>
  </si>
  <si>
    <t>HONOR MAGIC5 LITE 256GB</t>
  </si>
  <si>
    <t>OPPO RENO 10</t>
  </si>
  <si>
    <t>OPPO A78</t>
  </si>
  <si>
    <t>Baja precio = Actualización del precio del equipo</t>
  </si>
  <si>
    <t>SAMSUNG GALAZY ZFLIP 5 256GB</t>
  </si>
  <si>
    <t>SAMSUNG GALAZY ZFLIP 5 512GB</t>
  </si>
  <si>
    <t>SAMSUNG GALAZY ZFOLD 5 512GB</t>
  </si>
  <si>
    <t>SAMSUNG GALAZY ZFOLD 5 1TB</t>
  </si>
  <si>
    <t>Realme</t>
  </si>
  <si>
    <t>APPLE IPHONE 15 128GB</t>
  </si>
  <si>
    <t>APPLE IPHONE 15 256GB</t>
  </si>
  <si>
    <t>APPLE IPHONE 15 PLUS 128GB</t>
  </si>
  <si>
    <t>APPLE IPHONE 15 PLUS 256GB</t>
  </si>
  <si>
    <t>APPLE IPHONE 15 PRO 128GB</t>
  </si>
  <si>
    <t>APPLE IPHONE 15 PRO 256GB</t>
  </si>
  <si>
    <t>APPLE IPHONE 15 PRO MAX 256GB</t>
  </si>
  <si>
    <t>APPLE IPHONE 15 PRO MAX 512GB</t>
  </si>
  <si>
    <t>Honor Magic 5 Lite</t>
  </si>
  <si>
    <t>APPLE IPHONE 15 PRO 512GB</t>
  </si>
  <si>
    <t>SAMSUNG S23 FE 128GB</t>
  </si>
  <si>
    <t>SAMSUNG S23 FE 256GB</t>
  </si>
  <si>
    <t>MOTOROLA MOTO G54</t>
  </si>
  <si>
    <t>MOTOROLA MOTO G84</t>
  </si>
  <si>
    <t>OPPO A38</t>
  </si>
  <si>
    <t>OPPO A58</t>
  </si>
  <si>
    <t>IPHONE 15 512GB</t>
  </si>
  <si>
    <t>IPHONE 14 PRO MAX 512GB</t>
  </si>
  <si>
    <t>IPHONE 14 PRO MAX 1TB</t>
  </si>
  <si>
    <t>IPHONE 15 PLUS 512GB</t>
  </si>
  <si>
    <t>Xiaomi Redmi A2 64GB</t>
  </si>
  <si>
    <t>01 Diciembre 2023 - Indefinido</t>
  </si>
  <si>
    <t>04 Diciembre 2023 - Indefinido</t>
  </si>
  <si>
    <t>IPHONE 15 PRO MAX 1TB</t>
  </si>
  <si>
    <t>Xiaomi Redmi 11 Lite 5G NE</t>
  </si>
  <si>
    <t>Xiaomi Redmi Note 11S 4G</t>
  </si>
  <si>
    <t>07 Diciembre 2023 - Indefinido</t>
  </si>
  <si>
    <t>ZTE Blade A54</t>
  </si>
  <si>
    <t>ZTE Axon 50 lite</t>
  </si>
  <si>
    <t>Samsung Galaxy A05 64GB</t>
  </si>
  <si>
    <t>19 Diciembre 2023 - Indefinido</t>
  </si>
  <si>
    <t>HONOR X5 Plus</t>
  </si>
  <si>
    <t>HONOR X6a Plus 128GB</t>
  </si>
  <si>
    <t>05 Enero 2024 - Indefinido</t>
  </si>
  <si>
    <t>08 Enero 2024 - Indefinido</t>
  </si>
  <si>
    <t>Honor X7b</t>
  </si>
  <si>
    <t>Honor X8b</t>
  </si>
  <si>
    <t>HONOR X6a</t>
  </si>
  <si>
    <t>16 Enero 24 - Indefinido</t>
  </si>
  <si>
    <t>GALAXY S24 128GB</t>
  </si>
  <si>
    <t>GALAXY S24 256GB</t>
  </si>
  <si>
    <t>GALAXY S24PLUS 256GB</t>
  </si>
  <si>
    <t>GALAXY S24PLUS 512GB</t>
  </si>
  <si>
    <t>GALAXYS24ULTRA256GB</t>
  </si>
  <si>
    <t>GALAXYS24ULTRA512GB</t>
  </si>
  <si>
    <t>GALAXY S24 ULTRA 1TB</t>
  </si>
  <si>
    <t>Redmi 13C</t>
  </si>
  <si>
    <t>18 Enero 24 - Indefinido</t>
  </si>
  <si>
    <t>19 Enero 24 - Indefinido</t>
  </si>
  <si>
    <t>Samsung Galaxy A25 128GB</t>
  </si>
  <si>
    <t>Samsung Galaxy A15 5G 128GB</t>
  </si>
  <si>
    <t>Samsung Galaxy A15 4G 128GB</t>
  </si>
  <si>
    <t>Note 13</t>
  </si>
  <si>
    <t>Note 13 Pro</t>
  </si>
  <si>
    <t>30 Enero 24 - Indefinido</t>
  </si>
  <si>
    <t>26 Enero 24 - Indefinido</t>
  </si>
  <si>
    <t>01 Febrero 24 - Indefinido</t>
  </si>
  <si>
    <t>HONOR X6a Plus 256GB</t>
  </si>
  <si>
    <t>07 Febrero 24 - Indefinido</t>
  </si>
  <si>
    <t>Honor Magic6 Lite</t>
  </si>
  <si>
    <t>Oppo Reno 11</t>
  </si>
  <si>
    <t>20 Febrero 24 - Indefinido</t>
  </si>
  <si>
    <t>15 Febrero 24 - Indefinido</t>
  </si>
  <si>
    <t>Motorola Moto G24</t>
  </si>
  <si>
    <t>22 Febrero 2024 - Indefinido</t>
  </si>
  <si>
    <t>Motorola Moto G54 256GB</t>
  </si>
  <si>
    <t>Oppo A58 256GB BDL</t>
  </si>
  <si>
    <t>11 Marzo 2024 - Indefinido</t>
  </si>
  <si>
    <t>07 Marzo 2024 - Indefinido</t>
  </si>
  <si>
    <t>Motorola Moto G04</t>
  </si>
  <si>
    <t>Oppo A79</t>
  </si>
  <si>
    <t>15 Marzo 2024 - Indefinido</t>
  </si>
  <si>
    <t>14 Marzo 2024 - Indefinido</t>
  </si>
  <si>
    <t>Xiaomi Redmi A3</t>
  </si>
  <si>
    <t>Samsung Galaxy A35 128GB</t>
  </si>
  <si>
    <t>Samsung Galaxy A55 128GB</t>
  </si>
  <si>
    <t>05 Abril 2024 - Indefinido</t>
  </si>
  <si>
    <t>Honor Magic V2</t>
  </si>
  <si>
    <t xml:space="preserve">Honor Magic 6 Pro </t>
  </si>
  <si>
    <t>Motorola Moto Edge 50 Pro</t>
  </si>
  <si>
    <t>Realme C11 2021</t>
  </si>
  <si>
    <t>Precio inicial</t>
  </si>
  <si>
    <t>Fecha PP anterior</t>
  </si>
  <si>
    <t>14 Mayo 2024 - Indefinido</t>
  </si>
  <si>
    <t>Ipad 10.9 10A Gen LTE 64GB</t>
  </si>
  <si>
    <t>Quamtum HotSpot HS2</t>
  </si>
  <si>
    <t>QUAMTUM</t>
  </si>
  <si>
    <t>25 Abril 2024 - Indefinido</t>
  </si>
  <si>
    <t>09 Mayo 2024 - Indefinido</t>
  </si>
  <si>
    <t>Quamtum</t>
  </si>
  <si>
    <t>Motorola Edge 50 Fusion</t>
  </si>
  <si>
    <t>30 Mayo 2024 - Indefinido</t>
  </si>
  <si>
    <t>Xiaomi Redmi 13</t>
  </si>
  <si>
    <t>Honor Magic V2 / Bundle</t>
  </si>
  <si>
    <t>Honor Magic 6 Pro / Bundle</t>
  </si>
  <si>
    <t>Motorola Moto G04s</t>
  </si>
  <si>
    <t>21 Junio 2024 - Indefinido</t>
  </si>
  <si>
    <t>Samsung Galaxy ZFlip 6 256GB</t>
  </si>
  <si>
    <t>Samsung Galaxy ZFlip 6 512GB</t>
  </si>
  <si>
    <t>Samsung Galaxy ZFold 6 512GB</t>
  </si>
  <si>
    <t>Samsung Galaxy ZFold 6 1TB</t>
  </si>
  <si>
    <t>15 Julio 2024 - Indefinido</t>
  </si>
  <si>
    <t>17 Julio 2024 - Indefinido</t>
  </si>
  <si>
    <t>Honor X7B 256GB LTE Bundle Bocina</t>
  </si>
  <si>
    <t>HONOR 200 5G BUNDLE</t>
  </si>
  <si>
    <t>01 Agosto 2024 - Indefinido</t>
  </si>
  <si>
    <t>Honor 200 5G Bundle</t>
  </si>
  <si>
    <t>OPPO RENO12 5G</t>
  </si>
  <si>
    <t>OPPO RENO12 F 5G</t>
  </si>
  <si>
    <t>MOTOROLA EDGE 50</t>
  </si>
  <si>
    <t>19 Agosto 2024 - Indefinido</t>
  </si>
  <si>
    <t>26 Agosto 2024 - Indefinido</t>
  </si>
  <si>
    <t>NUBIA FLIP 5G</t>
  </si>
  <si>
    <t>NUBIA</t>
  </si>
  <si>
    <t>Nubia</t>
  </si>
  <si>
    <t>OPPO A40 LTE</t>
  </si>
  <si>
    <t>SAMSUNG GALAXY S23 128GB</t>
  </si>
  <si>
    <t>SAMSUNG GALAXY A06 64GB LTE</t>
  </si>
  <si>
    <t>APPLE IPHONE 16 128GB 5G</t>
  </si>
  <si>
    <t>APPLE IPHONE 16 PRO MAX 256GB 5G</t>
  </si>
  <si>
    <t>APPLE IPHONE 16 256GB 5G</t>
  </si>
  <si>
    <t>APPLE IPHONE 16 512GB 5G</t>
  </si>
  <si>
    <t>APPLE IPHONE 16 PLUS 128GB 5G</t>
  </si>
  <si>
    <t>APPLE IPHONE 16 PLUS 256GB 5G</t>
  </si>
  <si>
    <t>APPLE IPHONE 16 PLUS 512GB 5G</t>
  </si>
  <si>
    <t>APPLE IPHONE 16 PRO 128GB 5G</t>
  </si>
  <si>
    <t>APPLE IPHONE 16 PRO 256GB 5G</t>
  </si>
  <si>
    <t>APPLE IPHONE 16 PRO 512GB 5G</t>
  </si>
  <si>
    <t>APPLE IPHONE 16 PRO 1TB 5G</t>
  </si>
  <si>
    <t>APPLE IPHONE 16 PRO MAX 512GB 5G</t>
  </si>
  <si>
    <t>APPLE IPHONE 16 PRO MAX 1TB 5G</t>
  </si>
  <si>
    <t>GEOTAB GO9 NEGRO ATT</t>
  </si>
  <si>
    <t>OPPO A60 LTE</t>
  </si>
  <si>
    <t>HONOR X6B LTE</t>
  </si>
  <si>
    <t>HONOR X5B</t>
  </si>
  <si>
    <t>MOTOROLA MOTO G55 5G</t>
  </si>
  <si>
    <t>MOTOROLA RAZR 50 ULTRA</t>
  </si>
  <si>
    <t>XIAOMI REDMI 14T 512GB / BUNDLE</t>
  </si>
  <si>
    <t>HONOR 200 512GB / BUNDLE</t>
  </si>
  <si>
    <t>30 Agosto 2024 - Indefinido</t>
  </si>
  <si>
    <t>20 Septiembre 2024 - Indefinido</t>
  </si>
  <si>
    <t>25 Septiembre 2024 - Indefinido</t>
  </si>
  <si>
    <t>LYTX AI12 CABLES Y PROTECTOR SIN INSTALACIÓN</t>
  </si>
  <si>
    <t>GO9 / ARNÉS 3 HILOS SIN INSTALACIÓN</t>
  </si>
  <si>
    <t>LYTX AI12 CABLES Y PROTECTOR CON INSTALACIÓN</t>
  </si>
  <si>
    <t>GO9 / ARNÉS (16, 6,9 PIN) CON INSTALACIÓN</t>
  </si>
  <si>
    <t>GO9 / ARNÉS 3 HILOS PIN CON INSTALACIÓN</t>
  </si>
  <si>
    <t>LYTX AI 12 NEGRO ATT</t>
  </si>
  <si>
    <t>GO9 / ARNÉS (16, 6,9 PIN)  SIN INSTALACIÓN</t>
  </si>
  <si>
    <t>22 Octubre 2024 - Indefinido</t>
  </si>
  <si>
    <t>OPPO A80 5G</t>
  </si>
  <si>
    <t>HONOR X5B PLUS</t>
  </si>
  <si>
    <t>XIAOMI REDMI 14C 128 GB</t>
  </si>
  <si>
    <t>04 Noviembre 2024 - Indefinido</t>
  </si>
  <si>
    <t>HONOR X7C 256GB 4G / BDL EARBUDS</t>
  </si>
  <si>
    <t>22 Noviembre 2024 - Indefinido</t>
  </si>
  <si>
    <t>OPPO FIND X8 PRO 512GB 5G</t>
  </si>
  <si>
    <t>05 Diciembre 2024 - Indefinido</t>
  </si>
  <si>
    <t>SAMSUNG GALAXY S24 FE 256GB</t>
  </si>
  <si>
    <t>HONOR X8B 256GB LTE BUNDLE X8B</t>
  </si>
  <si>
    <t>HONOR X8B BUNDLE X5 PLUS 4G</t>
  </si>
  <si>
    <t>.</t>
  </si>
  <si>
    <t>16 Diciembre 2024 - Indefinido</t>
  </si>
  <si>
    <t>MOTOROLA MOTO G05</t>
  </si>
  <si>
    <t>MOTOROLA MOTO G15</t>
  </si>
  <si>
    <t xml:space="preserve">SAMSUNG GALAXY A16 4G </t>
  </si>
  <si>
    <t>15 Enero 2025 - Indefinido</t>
  </si>
  <si>
    <t>HONOR MAGIC7 LITE / BUNDLE</t>
  </si>
  <si>
    <t>17 Enero 2025 - Indefinido</t>
  </si>
  <si>
    <t>SAMSUNG GALAXY S25 256GB</t>
  </si>
  <si>
    <t>SAMSUNG GALAXY S25 ULTRA 256GB</t>
  </si>
  <si>
    <t>SAMSUNG GALAXY S25 ULTRA 512GB</t>
  </si>
  <si>
    <t>SAMSUNG GALAXY S25 PLUS 512GB</t>
  </si>
  <si>
    <t>27 Enero 2025 - Indefinido</t>
  </si>
  <si>
    <t>29 Enero 2025 - Indefinido</t>
  </si>
  <si>
    <t>XIAOMI REDMI NOTE 14 256GB</t>
  </si>
  <si>
    <t>XIAOMI REDMI NOTE 14 PRO 5G / BUNDLE</t>
  </si>
  <si>
    <t>XIAOMI 14T BUNDLE WATCH 5</t>
  </si>
  <si>
    <t>06 Febrero 2025 - Indefinido</t>
  </si>
  <si>
    <t>OPPO RENO13 5G</t>
  </si>
  <si>
    <t>OPPO RENO13F 5G</t>
  </si>
  <si>
    <t>26 Febrero 2025 - Indefinido</t>
  </si>
  <si>
    <t>HONOR X8C &amp; BUNDLE CHOICE EARBUDS X7I</t>
  </si>
  <si>
    <t>APPLE IPHONE 16E 128GB</t>
  </si>
  <si>
    <t>APPLE IPHONE 16E 256GB</t>
  </si>
  <si>
    <t>APPLE IPHONE 16E 512GB</t>
  </si>
  <si>
    <t>MOTOROLA MOTO G05 64GB</t>
  </si>
  <si>
    <t>28 Febrero 2025 - Indefinido</t>
  </si>
  <si>
    <t>TBC</t>
  </si>
  <si>
    <t>HONOR MAGIC7 PRO</t>
  </si>
  <si>
    <t>06 Marzo 2025 - Indefinido</t>
  </si>
  <si>
    <t>HONOR MAGICV3</t>
  </si>
  <si>
    <t>SAMSUNG GALAXY A36 5G</t>
  </si>
  <si>
    <t>SAMSUNG GALAXY A56 5G</t>
  </si>
  <si>
    <t>19 Marzo 2025 - Indefinido</t>
  </si>
  <si>
    <t>OPPO FIND N5 FOLD BUNDLE PAD NEO</t>
  </si>
  <si>
    <t>02 Abr 2025 - Indefinido</t>
  </si>
  <si>
    <t>MOTOROLA EDGE 60 FUSION</t>
  </si>
  <si>
    <t>XIAOMI REDMI A5</t>
  </si>
  <si>
    <t>OPPO A5 PRO 4G</t>
  </si>
  <si>
    <t>OPPO RENO 13 PRO</t>
  </si>
  <si>
    <t>09 Abr 2025 - Indefinido</t>
  </si>
  <si>
    <t>HUAWEI NOVA 13 BUNDLE</t>
  </si>
  <si>
    <t>HUAWEI NOVA 13 PRO BUNDLE</t>
  </si>
  <si>
    <t>21 May 2025 - Indefinido</t>
  </si>
  <si>
    <t>MOTOROLA MOTO G56 256GB 5G</t>
  </si>
  <si>
    <t>OPPO A5 256GB</t>
  </si>
  <si>
    <t>SAMSUNG GALAXY A26 5G</t>
  </si>
  <si>
    <t>SAMSUNG GALAXY S25 EDGE 256GB</t>
  </si>
  <si>
    <t>18 Jun 2025 - Indefinido</t>
  </si>
  <si>
    <t>HONOR 400 5G</t>
  </si>
  <si>
    <t>HONOR X6C</t>
  </si>
  <si>
    <t>MOTOROLA EDGE 60 PRO</t>
  </si>
  <si>
    <t>MOTOROLA RAZR 60 ULTRA</t>
  </si>
  <si>
    <t>OPPO A5 PRO 5G / BDL</t>
  </si>
  <si>
    <t>SAMSUNG GALAXY Z FLIP 7 512GB</t>
  </si>
  <si>
    <t>SAMSUNG GALAXY Z FOLD 7 512GB</t>
  </si>
  <si>
    <t>HONOR 400 LITE 5G</t>
  </si>
  <si>
    <t>XIAOMI REDMI 15C 128GB</t>
  </si>
  <si>
    <t>GEOTAB GO9 BUNDLE NEGRO ATT</t>
  </si>
  <si>
    <t>UBIQO SMART 4G NEGRO ATT</t>
  </si>
  <si>
    <t>UBIQO STACK 4G NEGRO ATT</t>
  </si>
  <si>
    <t>GO9 Go / arnés (3, 6, 9 y 16) sin Instalación</t>
  </si>
  <si>
    <t>UbiStack y accesorios  sin Instalación</t>
  </si>
  <si>
    <t>UbiSmart y accesorios sin Instalación</t>
  </si>
  <si>
    <t>UbiSmart y accesorios con Instalación</t>
  </si>
  <si>
    <t>GO9 Go / arnés (3, 6, 9 y 16) con Instalación</t>
  </si>
  <si>
    <t>MOTOROLA MOTO G06 64GB</t>
  </si>
  <si>
    <t>OPPO RENO 14F</t>
  </si>
  <si>
    <t>SAMSUNG GALAXY S25 FE</t>
  </si>
  <si>
    <t>APPLE IPHONE 17 PRO MAX 256GB</t>
  </si>
  <si>
    <t>APPLE IPHONE 17 256GB</t>
  </si>
  <si>
    <t>APPLE IPHONE 17 512GB</t>
  </si>
  <si>
    <t>APPLE IPHONE AIR 256GB</t>
  </si>
  <si>
    <t>APPLE IPHONE AIR 512GB</t>
  </si>
  <si>
    <t>APPLE IPHONE 17 PRO 256GB</t>
  </si>
  <si>
    <t>APPLE IPHONE 17 PRO 512GB</t>
  </si>
  <si>
    <t>APPLE IPHONE 17 PRO 1TB</t>
  </si>
  <si>
    <t>APPLE IPHONE 17 PRO MAX 512GB</t>
  </si>
  <si>
    <t>APPLE IPHONE 17 PRO MAX 1TB</t>
  </si>
  <si>
    <t>16 Septiembre 2025 - Indefinido</t>
  </si>
  <si>
    <t>19 Septiembre 2025 - Indefinido</t>
  </si>
  <si>
    <t>ZTE BLADE V50 SMART</t>
  </si>
  <si>
    <t>08 Septiembre 2025 - Indefinido</t>
  </si>
  <si>
    <t>SAMSUNG GALAXY A07 64GB</t>
  </si>
  <si>
    <t>XIAOMI REDMI 15 256GB</t>
  </si>
  <si>
    <t>26 Septiembre 2025 - Indefinido</t>
  </si>
  <si>
    <t>HONOR X5C</t>
  </si>
  <si>
    <t>HONOR X5C PLUS</t>
  </si>
  <si>
    <t>HONOR X7D</t>
  </si>
  <si>
    <t>OPPO RENO 14</t>
  </si>
  <si>
    <t>XIAOMI 15T BDL SOUND OUTDOOR</t>
  </si>
  <si>
    <t>XIAOMI 15T PRO BDL REDMI PADSE</t>
  </si>
  <si>
    <t>UBIQO</t>
  </si>
  <si>
    <t>HUAWEI E5586 526</t>
  </si>
  <si>
    <t>SAMSUNG GALAXY A17 4G 128GB</t>
  </si>
  <si>
    <t>MOTOROLA MOTO G06 128GB</t>
  </si>
  <si>
    <t>OPPO FIND X9 PRO 5G</t>
  </si>
  <si>
    <t>14 Noviembre 2025 - Indefinido</t>
  </si>
  <si>
    <t>HONOR MAGIC8 LITE BUNDLE</t>
  </si>
  <si>
    <t>09 Enero 2026 - Indefinido</t>
  </si>
  <si>
    <t>MOTOROLA EDGE 70 5G</t>
  </si>
  <si>
    <t>XIAOMI NOTE 15</t>
  </si>
  <si>
    <t>XIAOMI NOTE 15 PRO 5G</t>
  </si>
  <si>
    <t>SAMSUNG GALAXY S26 ULTRA 512GB 5G</t>
  </si>
  <si>
    <t>SAMSUNG GALAXY S26 PLUS 512GB 5G</t>
  </si>
  <si>
    <t>SAMSUNG GALAXY S26 256GB 5G</t>
  </si>
  <si>
    <t>25 Febrero - Indefinido</t>
  </si>
  <si>
    <t>HONOR X8D 4G</t>
  </si>
  <si>
    <t>OPPO A6X</t>
  </si>
  <si>
    <t>GO9 GoPlan / arnés (3 pines) sin Instalación</t>
  </si>
  <si>
    <t>GO9 GoPlan / arnés (6, 9 y 16) con Instalación</t>
  </si>
  <si>
    <t>GO9 GoPlan / arnés (3 pines) con Instalación</t>
  </si>
  <si>
    <t>GO9 GoPlan/solo equipo</t>
  </si>
  <si>
    <t>06 Marzo 2026 - Indefinido</t>
  </si>
  <si>
    <t>02 Marzo 2026 - Indefinido</t>
  </si>
  <si>
    <t>GO9 GoPlan / arnés (6, 9 y 16) sin Instalación</t>
  </si>
  <si>
    <t>MOTOROLA MOTO G17 4G</t>
  </si>
  <si>
    <t>MOTOROLA MOTO G77 5G</t>
  </si>
  <si>
    <t>MOTOROLA EDGE 70 FUSION</t>
  </si>
  <si>
    <t>OPPO A6K</t>
  </si>
  <si>
    <t>SAMSUNG GALAXY A37 256GB</t>
  </si>
  <si>
    <t>SAMSUNG GALAXY A57 256GB</t>
  </si>
  <si>
    <t>08 Abril 2026 - Indefinido</t>
  </si>
  <si>
    <t>10 Abril 2026 - Indefinido</t>
  </si>
  <si>
    <t>24 Abril 2026 - Indefinido</t>
  </si>
  <si>
    <t>XIAOMI REDMI A7 PRO</t>
  </si>
  <si>
    <t>17 Abril 2026 - Indefinido</t>
  </si>
  <si>
    <t>HONOR MAGIC8 PRO BUNDLE PAD X8B</t>
  </si>
  <si>
    <t>HONOR 600 5G</t>
  </si>
  <si>
    <t>OPPO A6 BUNDLE ENCO BUDS 3</t>
  </si>
  <si>
    <t>SAMSUNG GALAXY A07 128GB 4G</t>
  </si>
  <si>
    <t>XIAOMI 17T BUNDLE</t>
  </si>
  <si>
    <t>XIAOMI 17T PRO BUNDLE REDMI PAD 2</t>
  </si>
  <si>
    <t>MOTO EDGE 70 PRO BUNDLEMOTO WATCH</t>
  </si>
  <si>
    <t>OPPO A6T 128GB 4G</t>
  </si>
  <si>
    <t>GOOGLE PIXEL 9A 128GB 5G</t>
  </si>
  <si>
    <t>GOOGLE PIXEL 10 128GB 5G</t>
  </si>
  <si>
    <t>GOOGLE PIXEL 10 256GB 5G</t>
  </si>
  <si>
    <t>GOOGLE PIXEL 10 PRO 256GB 5G</t>
  </si>
  <si>
    <t>GOOGLE PIXEL 10 PRO 512GB 5G</t>
  </si>
  <si>
    <t>GOOGLE PIXEL 10 PRO XL 256GB 5G</t>
  </si>
  <si>
    <t>GOOGLE PIXEL 10 PRO XL 512GB 5G</t>
  </si>
  <si>
    <t>Google</t>
  </si>
  <si>
    <t xml:space="preserve"> 01  OCTUBRE  26 - INDEFINIDO</t>
  </si>
  <si>
    <t>ZTE AXON 60</t>
  </si>
  <si>
    <t>ZTE AXON 60 LITE 256GB 4G</t>
  </si>
  <si>
    <t xml:space="preserve"> 03  JULIO  26 - INDEFINIDO</t>
  </si>
  <si>
    <t xml:space="preserve"> 26  JUNIO  26 -  02  JULIO  26</t>
  </si>
  <si>
    <t>ZTE BLADE A55 128GB 4G</t>
  </si>
  <si>
    <t>OPPO RENO16 F 256GB 5G</t>
  </si>
  <si>
    <t>Samsung Galaxy A27 128GB 5G</t>
  </si>
  <si>
    <t>SAMSUNG GALAXY Z FOLD8</t>
  </si>
  <si>
    <t>SAMSUNG GALAXY Z FOLD8 ULTRA</t>
  </si>
  <si>
    <t>SAMSUNG GALAXY Z FLIP8</t>
  </si>
  <si>
    <t>QUAMTUM HOTSPOT HS4</t>
  </si>
  <si>
    <t>Honor X5d</t>
  </si>
  <si>
    <t>SAMSUNG GALAXY A37 128GB</t>
  </si>
  <si>
    <t>Redmi Note 17 Bundle Sound Pock</t>
  </si>
  <si>
    <t>OPPO RENO16 256GB 5G BDL ENCO BUDS 3 PRO</t>
  </si>
  <si>
    <t>HONOR X6E 128GB 4G</t>
  </si>
  <si>
    <t>HONOR X6E 256GB 4G</t>
  </si>
  <si>
    <t>SAMSUNG GALAXY S26 FE 256GB  5G</t>
  </si>
  <si>
    <t>18 SEPTIEMBRE 26 - INDEFINIDO</t>
  </si>
  <si>
    <t>04 SEPTIEMBRE 26 - INDEFINIDO</t>
  </si>
  <si>
    <t>APPLE IPHONE 18 PRO 256GB 5G</t>
  </si>
  <si>
    <t>APPLE IPHONE 18 PRO 512GB 5G</t>
  </si>
  <si>
    <t>APPLE IPHONE 18 PRO MAX 256GB 5G</t>
  </si>
  <si>
    <t>APPLE IPHONE 18 PRO MAX 512GB 5G</t>
  </si>
  <si>
    <t>XIAOMI REDMI 17 128GB 4G</t>
  </si>
  <si>
    <t>HONOR X7E 256GB 4G</t>
  </si>
  <si>
    <t>25 SEPTIEMBRE 26 - INDEFINIDO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</si>
</sst>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8" formatCode="&quot;$&quot;#,##0.00;[Red]\-&quot;$&quot;#,##0.00"/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"/>
    <numFmt numFmtId="165" formatCode="[$$-80A]#,##0.00"/>
    <numFmt numFmtId="166" formatCode="&quot;$&quot;#,##0.00"/>
    <numFmt numFmtId="167" formatCode="_-[$€-2]* #,##0.00_-;\-[$€-2]* #,##0.00_-;_-[$€-2]* &quot;-&quot;??_-"/>
    <numFmt numFmtId="168" formatCode="m/d"/>
    <numFmt numFmtId="169" formatCode="[$-F800]dddd\,\ mmmm\ dd\,\ yyyy"/>
    <numFmt numFmtId="170" formatCode="0.000000"/>
    <numFmt numFmtId="171" formatCode="0.0"/>
    <numFmt numFmtId="172" formatCode="0.0%;[Red]\(0.0%\)"/>
    <numFmt numFmtId="173" formatCode="_(* #,##0.0_);_(* \(#,##0.0\);_(* &quot;-&quot;?_);_(@_)"/>
    <numFmt numFmtId="174" formatCode="0.00000%"/>
    <numFmt numFmtId="175" formatCode="_(* #,##0.0_);_(* \(#,##0.0\);_(* &quot;-&quot;??_);_(@_)"/>
    <numFmt numFmtId="176" formatCode="0#####.00"/>
    <numFmt numFmtId="177" formatCode="0.000"/>
    <numFmt numFmtId="178" formatCode="#,##0.0_);\(#,##0.0\)"/>
    <numFmt numFmtId="179" formatCode="#,##0.000_);\(#,##0.000\)"/>
    <numFmt numFmtId="180" formatCode="0#.##"/>
    <numFmt numFmtId="181" formatCode="_ * #,##0.00\ _k_r_._ ;_ * #,##0.00\ _k_r_._ ;_ * &quot;-&quot;??\ _k_r_._ ;_ @_ "/>
    <numFmt numFmtId="182" formatCode="#,##0.000"/>
    <numFmt numFmtId="183" formatCode="&quot;$&quot;#,##0.0\ \ \ ;\(&quot;$&quot;#,##0.0\)\ \ "/>
    <numFmt numFmtId="184" formatCode="_-* #,##0.00\ _€_-;\-* #,##0.00\ _€_-;_-* &quot;-&quot;??\ _€_-;_-@_-"/>
    <numFmt numFmtId="185" formatCode="_ &quot;$&quot;* #,##0_ ;_ &quot;$&quot;* \-#,##0_ ;_ &quot;$&quot;* &quot;-&quot;_ ;_ @_ "/>
    <numFmt numFmtId="186" formatCode="_ &quot;$&quot;* #,##0.00_ ;_ &quot;$&quot;* \-#,##0.00_ ;_ &quot;$&quot;* &quot;-&quot;??_ ;_ @_ "/>
    <numFmt numFmtId="187" formatCode="#,##0\ &quot;F&quot;;[Red]\-#,##0\ &quot;F&quot;"/>
    <numFmt numFmtId="188" formatCode="#,##0.00\ &quot;F&quot;;[Red]\-#,##0.00\ &quot;F&quot;"/>
    <numFmt numFmtId="189" formatCode="0.00_)"/>
    <numFmt numFmtId="190" formatCode="[$$-80A]#,##0.0"/>
    <numFmt numFmtId="191" formatCode="#,##0.0\ \ \ ;\(#,##0.0\)\ \ "/>
    <numFmt numFmtId="192" formatCode="#,##0.00;[Red]\(#,##0.00\)"/>
    <numFmt numFmtId="193" formatCode="#,##0.00000"/>
    <numFmt numFmtId="194" formatCode="_(&quot;$&quot;* #,##0.0_);_(&quot;$&quot;* \(#,##0.0\);_(&quot;$&quot;* &quot;-&quot;??_);_(@_)"/>
    <numFmt numFmtId="195" formatCode="_(&quot;$&quot;* #,##0.0000_);_(&quot;$&quot;* \(#,##0.0000\);_(&quot;$&quot;* &quot;-&quot;??_);_(@_)"/>
  </numFmts>
  <fonts count="10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2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NII Sans"/>
    </font>
    <font>
      <sz val="8"/>
      <name val="Calibri"/>
      <family val="2"/>
      <scheme val="minor"/>
    </font>
    <font>
      <u/>
      <sz val="7.5"/>
      <color indexed="12"/>
      <name val="Arial"/>
      <family val="2"/>
    </font>
    <font>
      <sz val="12"/>
      <name val="Times New Roman"/>
      <family val="1"/>
    </font>
    <font>
      <sz val="10"/>
      <name val="Palatino"/>
      <family val="1"/>
    </font>
    <font>
      <sz val="10"/>
      <name val="Times New Roman"/>
      <family val="1"/>
    </font>
    <font>
      <sz val="11"/>
      <name val="MS ??"/>
      <family val="1"/>
      <charset val="128"/>
    </font>
    <font>
      <sz val="14"/>
      <name val="Terminal"/>
      <family val="3"/>
      <charset val="128"/>
    </font>
    <font>
      <sz val="10"/>
      <name val="Helv"/>
      <family val="2"/>
    </font>
    <font>
      <sz val="10"/>
      <name val="MS Sans Serif"/>
      <family val="2"/>
    </font>
    <font>
      <sz val="10"/>
      <color indexed="8"/>
      <name val="MS Sans Serif"/>
      <family val="2"/>
    </font>
    <font>
      <sz val="10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name val="Helv"/>
    </font>
    <font>
      <sz val="14"/>
      <name val="Helv"/>
    </font>
    <font>
      <b/>
      <sz val="14"/>
      <name val="Helv"/>
    </font>
    <font>
      <sz val="8"/>
      <name val="Tahoma"/>
      <family val="2"/>
    </font>
    <font>
      <sz val="8"/>
      <name val="Times New Roman"/>
      <family val="1"/>
    </font>
    <font>
      <sz val="12"/>
      <name val="Arial"/>
      <family val="2"/>
    </font>
    <font>
      <sz val="11"/>
      <color indexed="20"/>
      <name val="Calibri"/>
      <family val="2"/>
    </font>
    <font>
      <i/>
      <sz val="10"/>
      <color indexed="56"/>
      <name val="Arial"/>
      <family val="2"/>
    </font>
    <font>
      <sz val="12"/>
      <name val="Tms Rmn"/>
    </font>
    <font>
      <b/>
      <sz val="12"/>
      <name val="Palatino"/>
      <family val="1"/>
    </font>
    <font>
      <b/>
      <sz val="10"/>
      <name val="Palatino"/>
      <family val="1"/>
    </font>
    <font>
      <b/>
      <u/>
      <sz val="10"/>
      <name val="Palatino"/>
      <family val="1"/>
    </font>
    <font>
      <b/>
      <sz val="12"/>
      <name val="Helv"/>
    </font>
    <font>
      <sz val="11"/>
      <color indexed="17"/>
      <name val="Calibri"/>
      <family val="2"/>
    </font>
    <font>
      <sz val="10"/>
      <name val="Geneva"/>
      <family val="2"/>
    </font>
    <font>
      <sz val="9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10"/>
      <name val="Helv"/>
    </font>
    <font>
      <sz val="10"/>
      <color indexed="22"/>
      <name val="Arial"/>
      <family val="2"/>
    </font>
    <font>
      <sz val="10"/>
      <color indexed="56"/>
      <name val="Arial"/>
      <family val="2"/>
    </font>
    <font>
      <sz val="10"/>
      <color indexed="8"/>
      <name val="Arial"/>
      <family val="2"/>
    </font>
    <font>
      <sz val="8"/>
      <name val="Helv"/>
    </font>
    <font>
      <u val="doubleAccounting"/>
      <sz val="10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0"/>
      <name val="Helv"/>
    </font>
    <font>
      <sz val="10"/>
      <name val="N Helvetica Narrow"/>
    </font>
    <font>
      <b/>
      <sz val="10"/>
      <color indexed="8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2"/>
      <name val="Arial MT"/>
    </font>
    <font>
      <b/>
      <i/>
      <sz val="16"/>
      <name val="Helv"/>
    </font>
    <font>
      <sz val="8"/>
      <color theme="1"/>
      <name val="Arial"/>
      <family val="2"/>
    </font>
    <font>
      <sz val="11"/>
      <color theme="1"/>
      <name val="Calibri"/>
      <family val="2"/>
      <charset val="134"/>
      <scheme val="minor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sz val="12"/>
      <color indexed="8"/>
      <name val="Times New Roman"/>
      <family val="1"/>
    </font>
    <font>
      <b/>
      <sz val="10"/>
      <name val="MS Sans Serif"/>
      <family val="2"/>
    </font>
    <font>
      <sz val="10"/>
      <color indexed="10"/>
      <name val="Times New Roman"/>
      <family val="1"/>
    </font>
    <font>
      <b/>
      <sz val="12"/>
      <color indexed="8"/>
      <name val="Arial"/>
      <family val="2"/>
    </font>
    <font>
      <sz val="10"/>
      <color indexed="12"/>
      <name val="Geneva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  <font>
      <b/>
      <sz val="8.25"/>
      <name val="Helv"/>
    </font>
    <font>
      <u val="singleAccounting"/>
      <sz val="10"/>
      <name val="Arial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8"/>
      <color indexed="8"/>
      <name val="Wingdings"/>
      <charset val="2"/>
    </font>
    <font>
      <sz val="12"/>
      <name val="新細明體"/>
      <family val="1"/>
      <charset val="136"/>
    </font>
    <font>
      <sz val="12"/>
      <name val="宋体"/>
      <family val="3"/>
      <charset val="134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574AC"/>
        <bgColor indexed="64"/>
      </patternFill>
    </fill>
    <fill>
      <patternFill patternType="solid">
        <fgColor rgb="FF44C8F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7"/>
      </patternFill>
    </fill>
    <fill>
      <patternFill patternType="mediumGray">
        <fgColor indexed="22"/>
      </patternFill>
    </fill>
    <fill>
      <patternFill patternType="darkGray">
        <fgColor indexed="1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56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352">
    <xf numFmtId="0" fontId="0" fillId="0" borderId="0"/>
    <xf numFmtId="165" fontId="1" fillId="0" borderId="0"/>
    <xf numFmtId="0" fontId="5" fillId="0" borderId="0"/>
    <xf numFmtId="0" fontId="5" fillId="0" borderId="0" applyNumberForma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2" fillId="0" borderId="0"/>
    <xf numFmtId="167" fontId="5" fillId="0" borderId="0"/>
    <xf numFmtId="0" fontId="5" fillId="0" borderId="0"/>
    <xf numFmtId="167" fontId="22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23" fillId="0" borderId="0" applyFont="0" applyFill="0" applyBorder="0" applyAlignment="0" applyProtection="0">
      <alignment horizontal="right"/>
    </xf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>
      <alignment horizontal="right"/>
    </xf>
    <xf numFmtId="168" fontId="5" fillId="0" borderId="0" applyFont="0" applyFill="0" applyBorder="0" applyAlignment="0" applyProtection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167" fontId="26" fillId="0" borderId="0"/>
    <xf numFmtId="167" fontId="27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9" fillId="0" borderId="0" applyNumberFormat="0" applyFill="0" applyBorder="0" applyAlignment="0" applyProtection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7" fillId="0" borderId="0"/>
    <xf numFmtId="167" fontId="27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9" fontId="5" fillId="0" borderId="0" applyNumberFormat="0" applyFill="0" applyBorder="0" applyAlignment="0" applyProtection="0"/>
    <xf numFmtId="170" fontId="30" fillId="0" borderId="0">
      <alignment horizontal="center"/>
    </xf>
    <xf numFmtId="167" fontId="31" fillId="11" borderId="0" applyNumberFormat="0" applyBorder="0" applyAlignment="0" applyProtection="0"/>
    <xf numFmtId="167" fontId="31" fillId="12" borderId="0" applyNumberFormat="0" applyBorder="0" applyAlignment="0" applyProtection="0"/>
    <xf numFmtId="167" fontId="31" fillId="13" borderId="0" applyNumberFormat="0" applyBorder="0" applyAlignment="0" applyProtection="0"/>
    <xf numFmtId="167" fontId="31" fillId="14" borderId="0" applyNumberFormat="0" applyBorder="0" applyAlignment="0" applyProtection="0"/>
    <xf numFmtId="167" fontId="31" fillId="15" borderId="0" applyNumberFormat="0" applyBorder="0" applyAlignment="0" applyProtection="0"/>
    <xf numFmtId="167" fontId="31" fillId="16" borderId="0" applyNumberFormat="0" applyBorder="0" applyAlignment="0" applyProtection="0"/>
    <xf numFmtId="167" fontId="31" fillId="11" borderId="0" applyNumberFormat="0" applyBorder="0" applyAlignment="0" applyProtection="0"/>
    <xf numFmtId="167" fontId="31" fillId="11" borderId="0" applyNumberFormat="0" applyBorder="0" applyAlignment="0" applyProtection="0"/>
    <xf numFmtId="167" fontId="31" fillId="11" borderId="0" applyNumberFormat="0" applyBorder="0" applyAlignment="0" applyProtection="0"/>
    <xf numFmtId="167" fontId="31" fillId="11" borderId="0" applyNumberFormat="0" applyBorder="0" applyAlignment="0" applyProtection="0"/>
    <xf numFmtId="167" fontId="31" fillId="11" borderId="0" applyNumberFormat="0" applyBorder="0" applyAlignment="0" applyProtection="0"/>
    <xf numFmtId="167" fontId="31" fillId="12" borderId="0" applyNumberFormat="0" applyBorder="0" applyAlignment="0" applyProtection="0"/>
    <xf numFmtId="167" fontId="31" fillId="12" borderId="0" applyNumberFormat="0" applyBorder="0" applyAlignment="0" applyProtection="0"/>
    <xf numFmtId="167" fontId="31" fillId="12" borderId="0" applyNumberFormat="0" applyBorder="0" applyAlignment="0" applyProtection="0"/>
    <xf numFmtId="167" fontId="31" fillId="12" borderId="0" applyNumberFormat="0" applyBorder="0" applyAlignment="0" applyProtection="0"/>
    <xf numFmtId="167" fontId="31" fillId="12" borderId="0" applyNumberFormat="0" applyBorder="0" applyAlignment="0" applyProtection="0"/>
    <xf numFmtId="167" fontId="31" fillId="13" borderId="0" applyNumberFormat="0" applyBorder="0" applyAlignment="0" applyProtection="0"/>
    <xf numFmtId="167" fontId="31" fillId="13" borderId="0" applyNumberFormat="0" applyBorder="0" applyAlignment="0" applyProtection="0"/>
    <xf numFmtId="167" fontId="31" fillId="13" borderId="0" applyNumberFormat="0" applyBorder="0" applyAlignment="0" applyProtection="0"/>
    <xf numFmtId="167" fontId="31" fillId="13" borderId="0" applyNumberFormat="0" applyBorder="0" applyAlignment="0" applyProtection="0"/>
    <xf numFmtId="167" fontId="31" fillId="13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5" borderId="0" applyNumberFormat="0" applyBorder="0" applyAlignment="0" applyProtection="0"/>
    <xf numFmtId="167" fontId="31" fillId="15" borderId="0" applyNumberFormat="0" applyBorder="0" applyAlignment="0" applyProtection="0"/>
    <xf numFmtId="167" fontId="31" fillId="15" borderId="0" applyNumberFormat="0" applyBorder="0" applyAlignment="0" applyProtection="0"/>
    <xf numFmtId="167" fontId="31" fillId="15" borderId="0" applyNumberFormat="0" applyBorder="0" applyAlignment="0" applyProtection="0"/>
    <xf numFmtId="167" fontId="31" fillId="15" borderId="0" applyNumberFormat="0" applyBorder="0" applyAlignment="0" applyProtection="0"/>
    <xf numFmtId="167" fontId="31" fillId="16" borderId="0" applyNumberFormat="0" applyBorder="0" applyAlignment="0" applyProtection="0"/>
    <xf numFmtId="167" fontId="31" fillId="16" borderId="0" applyNumberFormat="0" applyBorder="0" applyAlignment="0" applyProtection="0"/>
    <xf numFmtId="167" fontId="31" fillId="16" borderId="0" applyNumberFormat="0" applyBorder="0" applyAlignment="0" applyProtection="0"/>
    <xf numFmtId="167" fontId="31" fillId="16" borderId="0" applyNumberFormat="0" applyBorder="0" applyAlignment="0" applyProtection="0"/>
    <xf numFmtId="167" fontId="31" fillId="16" borderId="0" applyNumberFormat="0" applyBorder="0" applyAlignment="0" applyProtection="0"/>
    <xf numFmtId="171" fontId="5" fillId="17" borderId="35" applyNumberFormat="0" applyFill="0" applyBorder="0">
      <alignment vertical="top" wrapText="1"/>
    </xf>
    <xf numFmtId="167" fontId="31" fillId="18" borderId="0" applyNumberFormat="0" applyBorder="0" applyAlignment="0" applyProtection="0"/>
    <xf numFmtId="167" fontId="31" fillId="19" borderId="0" applyNumberFormat="0" applyBorder="0" applyAlignment="0" applyProtection="0"/>
    <xf numFmtId="167" fontId="31" fillId="20" borderId="0" applyNumberFormat="0" applyBorder="0" applyAlignment="0" applyProtection="0"/>
    <xf numFmtId="167" fontId="31" fillId="14" borderId="0" applyNumberFormat="0" applyBorder="0" applyAlignment="0" applyProtection="0"/>
    <xf numFmtId="167" fontId="31" fillId="18" borderId="0" applyNumberFormat="0" applyBorder="0" applyAlignment="0" applyProtection="0"/>
    <xf numFmtId="167" fontId="31" fillId="21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9" borderId="0" applyNumberFormat="0" applyBorder="0" applyAlignment="0" applyProtection="0"/>
    <xf numFmtId="167" fontId="31" fillId="19" borderId="0" applyNumberFormat="0" applyBorder="0" applyAlignment="0" applyProtection="0"/>
    <xf numFmtId="167" fontId="31" fillId="19" borderId="0" applyNumberFormat="0" applyBorder="0" applyAlignment="0" applyProtection="0"/>
    <xf numFmtId="167" fontId="31" fillId="19" borderId="0" applyNumberFormat="0" applyBorder="0" applyAlignment="0" applyProtection="0"/>
    <xf numFmtId="167" fontId="31" fillId="19" borderId="0" applyNumberFormat="0" applyBorder="0" applyAlignment="0" applyProtection="0"/>
    <xf numFmtId="167" fontId="31" fillId="20" borderId="0" applyNumberFormat="0" applyBorder="0" applyAlignment="0" applyProtection="0"/>
    <xf numFmtId="167" fontId="31" fillId="20" borderId="0" applyNumberFormat="0" applyBorder="0" applyAlignment="0" applyProtection="0"/>
    <xf numFmtId="167" fontId="31" fillId="20" borderId="0" applyNumberFormat="0" applyBorder="0" applyAlignment="0" applyProtection="0"/>
    <xf numFmtId="167" fontId="31" fillId="20" borderId="0" applyNumberFormat="0" applyBorder="0" applyAlignment="0" applyProtection="0"/>
    <xf numFmtId="167" fontId="31" fillId="20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4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18" borderId="0" applyNumberFormat="0" applyBorder="0" applyAlignment="0" applyProtection="0"/>
    <xf numFmtId="167" fontId="31" fillId="21" borderId="0" applyNumberFormat="0" applyBorder="0" applyAlignment="0" applyProtection="0"/>
    <xf numFmtId="167" fontId="31" fillId="21" borderId="0" applyNumberFormat="0" applyBorder="0" applyAlignment="0" applyProtection="0"/>
    <xf numFmtId="167" fontId="31" fillId="21" borderId="0" applyNumberFormat="0" applyBorder="0" applyAlignment="0" applyProtection="0"/>
    <xf numFmtId="167" fontId="31" fillId="21" borderId="0" applyNumberFormat="0" applyBorder="0" applyAlignment="0" applyProtection="0"/>
    <xf numFmtId="167" fontId="31" fillId="21" borderId="0" applyNumberFormat="0" applyBorder="0" applyAlignment="0" applyProtection="0"/>
    <xf numFmtId="167" fontId="32" fillId="22" borderId="0" applyNumberFormat="0" applyBorder="0" applyAlignment="0" applyProtection="0"/>
    <xf numFmtId="167" fontId="32" fillId="19" borderId="0" applyNumberFormat="0" applyBorder="0" applyAlignment="0" applyProtection="0"/>
    <xf numFmtId="167" fontId="32" fillId="20" borderId="0" applyNumberFormat="0" applyBorder="0" applyAlignment="0" applyProtection="0"/>
    <xf numFmtId="167" fontId="32" fillId="23" borderId="0" applyNumberFormat="0" applyBorder="0" applyAlignment="0" applyProtection="0"/>
    <xf numFmtId="167" fontId="32" fillId="24" borderId="0" applyNumberFormat="0" applyBorder="0" applyAlignment="0" applyProtection="0"/>
    <xf numFmtId="167" fontId="32" fillId="25" borderId="0" applyNumberFormat="0" applyBorder="0" applyAlignment="0" applyProtection="0"/>
    <xf numFmtId="167" fontId="32" fillId="22" borderId="0" applyNumberFormat="0" applyBorder="0" applyAlignment="0" applyProtection="0"/>
    <xf numFmtId="167" fontId="32" fillId="22" borderId="0" applyNumberFormat="0" applyBorder="0" applyAlignment="0" applyProtection="0"/>
    <xf numFmtId="167" fontId="32" fillId="22" borderId="0" applyNumberFormat="0" applyBorder="0" applyAlignment="0" applyProtection="0"/>
    <xf numFmtId="167" fontId="32" fillId="22" borderId="0" applyNumberFormat="0" applyBorder="0" applyAlignment="0" applyProtection="0"/>
    <xf numFmtId="167" fontId="32" fillId="22" borderId="0" applyNumberFormat="0" applyBorder="0" applyAlignment="0" applyProtection="0"/>
    <xf numFmtId="167" fontId="32" fillId="19" borderId="0" applyNumberFormat="0" applyBorder="0" applyAlignment="0" applyProtection="0"/>
    <xf numFmtId="167" fontId="32" fillId="19" borderId="0" applyNumberFormat="0" applyBorder="0" applyAlignment="0" applyProtection="0"/>
    <xf numFmtId="167" fontId="32" fillId="19" borderId="0" applyNumberFormat="0" applyBorder="0" applyAlignment="0" applyProtection="0"/>
    <xf numFmtId="167" fontId="32" fillId="19" borderId="0" applyNumberFormat="0" applyBorder="0" applyAlignment="0" applyProtection="0"/>
    <xf numFmtId="167" fontId="32" fillId="19" borderId="0" applyNumberFormat="0" applyBorder="0" applyAlignment="0" applyProtection="0"/>
    <xf numFmtId="167" fontId="32" fillId="20" borderId="0" applyNumberFormat="0" applyBorder="0" applyAlignment="0" applyProtection="0"/>
    <xf numFmtId="167" fontId="32" fillId="20" borderId="0" applyNumberFormat="0" applyBorder="0" applyAlignment="0" applyProtection="0"/>
    <xf numFmtId="167" fontId="32" fillId="20" borderId="0" applyNumberFormat="0" applyBorder="0" applyAlignment="0" applyProtection="0"/>
    <xf numFmtId="167" fontId="32" fillId="20" borderId="0" applyNumberFormat="0" applyBorder="0" applyAlignment="0" applyProtection="0"/>
    <xf numFmtId="167" fontId="32" fillId="20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5" borderId="0" applyNumberFormat="0" applyBorder="0" applyAlignment="0" applyProtection="0"/>
    <xf numFmtId="167" fontId="32" fillId="25" borderId="0" applyNumberFormat="0" applyBorder="0" applyAlignment="0" applyProtection="0"/>
    <xf numFmtId="167" fontId="32" fillId="25" borderId="0" applyNumberFormat="0" applyBorder="0" applyAlignment="0" applyProtection="0"/>
    <xf numFmtId="167" fontId="32" fillId="25" borderId="0" applyNumberFormat="0" applyBorder="0" applyAlignment="0" applyProtection="0"/>
    <xf numFmtId="167" fontId="32" fillId="25" borderId="0" applyNumberFormat="0" applyBorder="0" applyAlignment="0" applyProtection="0"/>
    <xf numFmtId="172" fontId="30" fillId="0" borderId="0">
      <alignment horizontal="center"/>
    </xf>
    <xf numFmtId="173" fontId="30" fillId="0" borderId="0">
      <alignment horizontal="center"/>
    </xf>
    <xf numFmtId="37" fontId="33" fillId="0" borderId="0"/>
    <xf numFmtId="37" fontId="34" fillId="0" borderId="0"/>
    <xf numFmtId="37" fontId="35" fillId="0" borderId="0"/>
    <xf numFmtId="167" fontId="28" fillId="0" borderId="0"/>
    <xf numFmtId="169" fontId="5" fillId="0" borderId="0"/>
    <xf numFmtId="169" fontId="5" fillId="0" borderId="0"/>
    <xf numFmtId="167" fontId="32" fillId="26" borderId="0" applyNumberFormat="0" applyBorder="0" applyAlignment="0" applyProtection="0"/>
    <xf numFmtId="167" fontId="32" fillId="27" borderId="0" applyNumberFormat="0" applyBorder="0" applyAlignment="0" applyProtection="0"/>
    <xf numFmtId="167" fontId="32" fillId="28" borderId="0" applyNumberFormat="0" applyBorder="0" applyAlignment="0" applyProtection="0"/>
    <xf numFmtId="167" fontId="32" fillId="23" borderId="0" applyNumberFormat="0" applyBorder="0" applyAlignment="0" applyProtection="0"/>
    <xf numFmtId="167" fontId="32" fillId="24" borderId="0" applyNumberFormat="0" applyBorder="0" applyAlignment="0" applyProtection="0"/>
    <xf numFmtId="167" fontId="32" fillId="29" borderId="0" applyNumberFormat="0" applyBorder="0" applyAlignment="0" applyProtection="0"/>
    <xf numFmtId="37" fontId="36" fillId="30" borderId="33" applyBorder="0" applyProtection="0">
      <alignment vertical="center"/>
    </xf>
    <xf numFmtId="167" fontId="37" fillId="0" borderId="0">
      <alignment horizontal="center" wrapText="1"/>
      <protection locked="0"/>
    </xf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7" fontId="5" fillId="0" borderId="0" applyNumberFormat="0" applyFill="0" applyBorder="0" applyAlignment="0" applyProtection="0"/>
    <xf numFmtId="169" fontId="5" fillId="0" borderId="0" applyNumberFormat="0" applyFill="0" applyBorder="0" applyAlignment="0" applyProtection="0"/>
    <xf numFmtId="167" fontId="38" fillId="0" borderId="0" applyNumberFormat="0" applyFill="0" applyBorder="0" applyAlignment="0" applyProtection="0"/>
    <xf numFmtId="167" fontId="39" fillId="12" borderId="0" applyNumberFormat="0" applyBorder="0" applyAlignment="0" applyProtection="0"/>
    <xf numFmtId="171" fontId="40" fillId="0" borderId="0" applyNumberFormat="0" applyFill="0">
      <alignment vertical="top" wrapText="1"/>
    </xf>
    <xf numFmtId="167" fontId="41" fillId="0" borderId="0" applyNumberFormat="0" applyFill="0" applyBorder="0" applyAlignment="0" applyProtection="0"/>
    <xf numFmtId="167" fontId="42" fillId="0" borderId="0" applyNumberFormat="0"/>
    <xf numFmtId="167" fontId="43" fillId="0" borderId="36"/>
    <xf numFmtId="167" fontId="44" fillId="0" borderId="0" applyNumberFormat="0"/>
    <xf numFmtId="37" fontId="45" fillId="0" borderId="37" applyNumberFormat="0" applyFont="0" applyFill="0" applyAlignment="0" applyProtection="0"/>
    <xf numFmtId="37" fontId="45" fillId="0" borderId="38" applyNumberFormat="0" applyFont="0" applyFill="0" applyAlignment="0" applyProtection="0"/>
    <xf numFmtId="174" fontId="5" fillId="0" borderId="0" applyFont="0" applyFill="0" applyBorder="0" applyAlignment="0" applyProtection="0"/>
    <xf numFmtId="167" fontId="46" fillId="13" borderId="0" applyNumberFormat="0" applyBorder="0" applyAlignment="0" applyProtection="0"/>
    <xf numFmtId="167" fontId="46" fillId="13" borderId="0" applyNumberFormat="0" applyBorder="0" applyAlignment="0" applyProtection="0"/>
    <xf numFmtId="167" fontId="46" fillId="13" borderId="0" applyNumberFormat="0" applyBorder="0" applyAlignment="0" applyProtection="0"/>
    <xf numFmtId="167" fontId="46" fillId="13" borderId="0" applyNumberFormat="0" applyBorder="0" applyAlignment="0" applyProtection="0"/>
    <xf numFmtId="167" fontId="46" fillId="13" borderId="0" applyNumberFormat="0" applyBorder="0" applyAlignment="0" applyProtection="0"/>
    <xf numFmtId="175" fontId="5" fillId="0" borderId="0" applyFill="0" applyBorder="0" applyAlignment="0"/>
    <xf numFmtId="176" fontId="47" fillId="0" borderId="0" applyFill="0" applyBorder="0" applyAlignment="0"/>
    <xf numFmtId="177" fontId="48" fillId="0" borderId="0" applyFill="0" applyBorder="0" applyAlignment="0"/>
    <xf numFmtId="178" fontId="49" fillId="0" borderId="0" applyFill="0" applyBorder="0" applyAlignment="0"/>
    <xf numFmtId="179" fontId="49" fillId="0" borderId="0" applyFill="0" applyBorder="0" applyAlignment="0"/>
    <xf numFmtId="175" fontId="5" fillId="0" borderId="0" applyFill="0" applyBorder="0" applyAlignment="0"/>
    <xf numFmtId="180" fontId="47" fillId="0" borderId="0" applyFill="0" applyBorder="0" applyAlignment="0"/>
    <xf numFmtId="176" fontId="47" fillId="0" borderId="0" applyFill="0" applyBorder="0" applyAlignment="0"/>
    <xf numFmtId="167" fontId="50" fillId="31" borderId="39" applyNumberFormat="0" applyAlignment="0" applyProtection="0"/>
    <xf numFmtId="167" fontId="50" fillId="31" borderId="39" applyNumberFormat="0" applyAlignment="0" applyProtection="0"/>
    <xf numFmtId="167" fontId="50" fillId="31" borderId="39" applyNumberFormat="0" applyAlignment="0" applyProtection="0"/>
    <xf numFmtId="167" fontId="50" fillId="31" borderId="39" applyNumberFormat="0" applyAlignment="0" applyProtection="0"/>
    <xf numFmtId="167" fontId="50" fillId="31" borderId="39" applyNumberFormat="0" applyAlignment="0" applyProtection="0"/>
    <xf numFmtId="167" fontId="50" fillId="31" borderId="39" applyNumberFormat="0" applyAlignment="0" applyProtection="0"/>
    <xf numFmtId="167" fontId="51" fillId="32" borderId="40" applyNumberFormat="0" applyAlignment="0" applyProtection="0"/>
    <xf numFmtId="167" fontId="51" fillId="32" borderId="40" applyNumberFormat="0" applyAlignment="0" applyProtection="0"/>
    <xf numFmtId="167" fontId="51" fillId="32" borderId="40" applyNumberFormat="0" applyAlignment="0" applyProtection="0"/>
    <xf numFmtId="167" fontId="51" fillId="32" borderId="40" applyNumberFormat="0" applyAlignment="0" applyProtection="0"/>
    <xf numFmtId="167" fontId="51" fillId="32" borderId="40" applyNumberFormat="0" applyAlignment="0" applyProtection="0"/>
    <xf numFmtId="167" fontId="52" fillId="0" borderId="41" applyNumberFormat="0" applyFill="0" applyAlignment="0" applyProtection="0"/>
    <xf numFmtId="167" fontId="52" fillId="0" borderId="41" applyNumberFormat="0" applyFill="0" applyAlignment="0" applyProtection="0"/>
    <xf numFmtId="167" fontId="52" fillId="0" borderId="41" applyNumberFormat="0" applyFill="0" applyAlignment="0" applyProtection="0"/>
    <xf numFmtId="167" fontId="52" fillId="0" borderId="41" applyNumberFormat="0" applyFill="0" applyAlignment="0" applyProtection="0"/>
    <xf numFmtId="167" fontId="52" fillId="0" borderId="41" applyNumberFormat="0" applyFill="0" applyAlignment="0" applyProtection="0"/>
    <xf numFmtId="167" fontId="53" fillId="33" borderId="0">
      <alignment horizontal="left"/>
    </xf>
    <xf numFmtId="167" fontId="54" fillId="33" borderId="0">
      <alignment horizontal="right"/>
    </xf>
    <xf numFmtId="167" fontId="55" fillId="34" borderId="0">
      <alignment horizontal="center"/>
    </xf>
    <xf numFmtId="167" fontId="54" fillId="33" borderId="0">
      <alignment horizontal="right"/>
    </xf>
    <xf numFmtId="167" fontId="56" fillId="34" borderId="0">
      <alignment horizontal="left"/>
    </xf>
    <xf numFmtId="167" fontId="57" fillId="0" borderId="42"/>
    <xf numFmtId="17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8" fillId="0" borderId="0" applyFont="0" applyFill="0" applyBorder="0" applyAlignment="0" applyProtection="0"/>
    <xf numFmtId="167" fontId="57" fillId="0" borderId="0"/>
    <xf numFmtId="167" fontId="57" fillId="0" borderId="42"/>
    <xf numFmtId="176" fontId="47" fillId="0" borderId="0" applyFont="0" applyFill="0" applyBorder="0" applyAlignment="0" applyProtection="0"/>
    <xf numFmtId="44" fontId="5" fillId="0" borderId="0" applyFont="0" applyFill="0" applyBorder="0" applyAlignment="0" applyProtection="0"/>
    <xf numFmtId="167" fontId="58" fillId="0" borderId="0" applyFont="0" applyFill="0" applyBorder="0" applyAlignment="0" applyProtection="0"/>
    <xf numFmtId="181" fontId="47" fillId="17" borderId="0" applyFont="0" applyBorder="0"/>
    <xf numFmtId="167" fontId="59" fillId="0" borderId="43">
      <protection locked="0"/>
    </xf>
    <xf numFmtId="167" fontId="58" fillId="0" borderId="0" applyFont="0" applyFill="0" applyBorder="0" applyAlignment="0" applyProtection="0"/>
    <xf numFmtId="167" fontId="57" fillId="0" borderId="0"/>
    <xf numFmtId="14" fontId="60" fillId="0" borderId="0" applyFill="0" applyBorder="0" applyAlignment="0"/>
    <xf numFmtId="14" fontId="61" fillId="0" borderId="36">
      <alignment horizontal="center"/>
    </xf>
    <xf numFmtId="182" fontId="5" fillId="0" borderId="44">
      <alignment vertical="center"/>
    </xf>
    <xf numFmtId="183" fontId="61" fillId="0" borderId="0"/>
    <xf numFmtId="42" fontId="62" fillId="0" borderId="0" applyFill="0" applyBorder="0" applyAlignment="0" applyProtection="0"/>
    <xf numFmtId="167" fontId="63" fillId="0" borderId="0" applyNumberFormat="0" applyFill="0" applyBorder="0" applyAlignment="0" applyProtection="0"/>
    <xf numFmtId="167" fontId="63" fillId="0" borderId="0" applyNumberFormat="0" applyFill="0" applyBorder="0" applyAlignment="0" applyProtection="0"/>
    <xf numFmtId="167" fontId="63" fillId="0" borderId="0" applyNumberFormat="0" applyFill="0" applyBorder="0" applyAlignment="0" applyProtection="0"/>
    <xf numFmtId="167" fontId="63" fillId="0" borderId="0" applyNumberFormat="0" applyFill="0" applyBorder="0" applyAlignment="0" applyProtection="0"/>
    <xf numFmtId="167" fontId="63" fillId="0" borderId="0" applyNumberFormat="0" applyFill="0" applyBorder="0" applyAlignment="0" applyProtection="0"/>
    <xf numFmtId="167" fontId="32" fillId="26" borderId="0" applyNumberFormat="0" applyBorder="0" applyAlignment="0" applyProtection="0"/>
    <xf numFmtId="167" fontId="32" fillId="26" borderId="0" applyNumberFormat="0" applyBorder="0" applyAlignment="0" applyProtection="0"/>
    <xf numFmtId="167" fontId="32" fillId="26" borderId="0" applyNumberFormat="0" applyBorder="0" applyAlignment="0" applyProtection="0"/>
    <xf numFmtId="167" fontId="32" fillId="26" borderId="0" applyNumberFormat="0" applyBorder="0" applyAlignment="0" applyProtection="0"/>
    <xf numFmtId="167" fontId="32" fillId="26" borderId="0" applyNumberFormat="0" applyBorder="0" applyAlignment="0" applyProtection="0"/>
    <xf numFmtId="167" fontId="32" fillId="27" borderId="0" applyNumberFormat="0" applyBorder="0" applyAlignment="0" applyProtection="0"/>
    <xf numFmtId="167" fontId="32" fillId="27" borderId="0" applyNumberFormat="0" applyBorder="0" applyAlignment="0" applyProtection="0"/>
    <xf numFmtId="167" fontId="32" fillId="27" borderId="0" applyNumberFormat="0" applyBorder="0" applyAlignment="0" applyProtection="0"/>
    <xf numFmtId="167" fontId="32" fillId="27" borderId="0" applyNumberFormat="0" applyBorder="0" applyAlignment="0" applyProtection="0"/>
    <xf numFmtId="167" fontId="32" fillId="27" borderId="0" applyNumberFormat="0" applyBorder="0" applyAlignment="0" applyProtection="0"/>
    <xf numFmtId="167" fontId="32" fillId="28" borderId="0" applyNumberFormat="0" applyBorder="0" applyAlignment="0" applyProtection="0"/>
    <xf numFmtId="167" fontId="32" fillId="28" borderId="0" applyNumberFormat="0" applyBorder="0" applyAlignment="0" applyProtection="0"/>
    <xf numFmtId="167" fontId="32" fillId="28" borderId="0" applyNumberFormat="0" applyBorder="0" applyAlignment="0" applyProtection="0"/>
    <xf numFmtId="167" fontId="32" fillId="28" borderId="0" applyNumberFormat="0" applyBorder="0" applyAlignment="0" applyProtection="0"/>
    <xf numFmtId="167" fontId="32" fillId="28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3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4" borderId="0" applyNumberFormat="0" applyBorder="0" applyAlignment="0" applyProtection="0"/>
    <xf numFmtId="167" fontId="32" fillId="29" borderId="0" applyNumberFormat="0" applyBorder="0" applyAlignment="0" applyProtection="0"/>
    <xf numFmtId="167" fontId="32" fillId="29" borderId="0" applyNumberFormat="0" applyBorder="0" applyAlignment="0" applyProtection="0"/>
    <xf numFmtId="167" fontId="32" fillId="29" borderId="0" applyNumberFormat="0" applyBorder="0" applyAlignment="0" applyProtection="0"/>
    <xf numFmtId="167" fontId="32" fillId="29" borderId="0" applyNumberFormat="0" applyBorder="0" applyAlignment="0" applyProtection="0"/>
    <xf numFmtId="167" fontId="32" fillId="29" borderId="0" applyNumberFormat="0" applyBorder="0" applyAlignment="0" applyProtection="0"/>
    <xf numFmtId="175" fontId="5" fillId="0" borderId="0" applyFill="0" applyBorder="0" applyAlignment="0"/>
    <xf numFmtId="176" fontId="47" fillId="0" borderId="0" applyFill="0" applyBorder="0" applyAlignment="0"/>
    <xf numFmtId="175" fontId="5" fillId="0" borderId="0" applyFill="0" applyBorder="0" applyAlignment="0"/>
    <xf numFmtId="180" fontId="47" fillId="0" borderId="0" applyFill="0" applyBorder="0" applyAlignment="0"/>
    <xf numFmtId="176" fontId="47" fillId="0" borderId="0" applyFill="0" applyBorder="0" applyAlignment="0"/>
    <xf numFmtId="167" fontId="64" fillId="16" borderId="39" applyNumberFormat="0" applyAlignment="0" applyProtection="0"/>
    <xf numFmtId="167" fontId="64" fillId="16" borderId="39" applyNumberFormat="0" applyAlignment="0" applyProtection="0"/>
    <xf numFmtId="167" fontId="64" fillId="16" borderId="39" applyNumberFormat="0" applyAlignment="0" applyProtection="0"/>
    <xf numFmtId="167" fontId="64" fillId="16" borderId="39" applyNumberFormat="0" applyAlignment="0" applyProtection="0"/>
    <xf numFmtId="167" fontId="64" fillId="16" borderId="39" applyNumberFormat="0" applyAlignment="0" applyProtection="0"/>
    <xf numFmtId="167" fontId="5" fillId="0" borderId="0"/>
    <xf numFmtId="167" fontId="5" fillId="0" borderId="0"/>
    <xf numFmtId="167" fontId="28" fillId="0" borderId="0" applyFont="0" applyFill="0" applyBorder="0" applyAlignment="0" applyProtection="0"/>
    <xf numFmtId="167" fontId="65" fillId="0" borderId="0" applyNumberFormat="0" applyFill="0" applyBorder="0" applyAlignment="0" applyProtection="0"/>
    <xf numFmtId="2" fontId="58" fillId="0" borderId="0" applyFont="0" applyFill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38" fontId="66" fillId="17" borderId="0" applyNumberFormat="0" applyBorder="0" applyAlignment="0" applyProtection="0"/>
    <xf numFmtId="167" fontId="67" fillId="0" borderId="34" applyNumberFormat="0" applyAlignment="0" applyProtection="0">
      <alignment horizontal="left" vertical="center"/>
    </xf>
    <xf numFmtId="167" fontId="67" fillId="0" borderId="29">
      <alignment horizontal="left" vertical="center"/>
    </xf>
    <xf numFmtId="167" fontId="68" fillId="0" borderId="0" applyNumberFormat="0" applyFill="0" applyBorder="0" applyAlignment="0" applyProtection="0"/>
    <xf numFmtId="167" fontId="69" fillId="0" borderId="0" applyNumberFormat="0" applyFill="0" applyBorder="0" applyAlignment="0" applyProtection="0"/>
    <xf numFmtId="167" fontId="63" fillId="0" borderId="45" applyNumberFormat="0" applyFill="0" applyAlignment="0" applyProtection="0"/>
    <xf numFmtId="37" fontId="70" fillId="0" borderId="0" applyNumberFormat="0" applyFill="0" applyBorder="0" applyAlignment="0" applyProtection="0"/>
    <xf numFmtId="37" fontId="45" fillId="0" borderId="0" applyNumberFormat="0" applyFill="0" applyBorder="0" applyAlignment="0" applyProtection="0"/>
    <xf numFmtId="167" fontId="39" fillId="12" borderId="0" applyNumberFormat="0" applyBorder="0" applyAlignment="0" applyProtection="0"/>
    <xf numFmtId="167" fontId="39" fillId="12" borderId="0" applyNumberFormat="0" applyBorder="0" applyAlignment="0" applyProtection="0"/>
    <xf numFmtId="167" fontId="39" fillId="12" borderId="0" applyNumberFormat="0" applyBorder="0" applyAlignment="0" applyProtection="0"/>
    <xf numFmtId="167" fontId="39" fillId="12" borderId="0" applyNumberFormat="0" applyBorder="0" applyAlignment="0" applyProtection="0"/>
    <xf numFmtId="167" fontId="39" fillId="12" borderId="0" applyNumberFormat="0" applyBorder="0" applyAlignment="0" applyProtection="0"/>
    <xf numFmtId="169" fontId="24" fillId="35" borderId="0" applyNumberFormat="0" applyFont="0" applyBorder="0" applyAlignment="0">
      <protection locked="0"/>
    </xf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10" fontId="66" fillId="36" borderId="24" applyNumberFormat="0" applyBorder="0" applyAlignment="0" applyProtection="0"/>
    <xf numFmtId="3" fontId="71" fillId="0" borderId="46" applyNumberFormat="0" applyFont="0" applyFill="0" applyAlignment="0">
      <alignment horizontal="center" vertical="top"/>
      <protection locked="0"/>
    </xf>
    <xf numFmtId="167" fontId="53" fillId="33" borderId="0">
      <alignment horizontal="left"/>
    </xf>
    <xf numFmtId="167" fontId="72" fillId="34" borderId="0">
      <alignment horizontal="left"/>
    </xf>
    <xf numFmtId="175" fontId="5" fillId="0" borderId="0" applyFill="0" applyBorder="0" applyAlignment="0"/>
    <xf numFmtId="176" fontId="47" fillId="0" borderId="0" applyFill="0" applyBorder="0" applyAlignment="0"/>
    <xf numFmtId="175" fontId="5" fillId="0" borderId="0" applyFill="0" applyBorder="0" applyAlignment="0"/>
    <xf numFmtId="180" fontId="47" fillId="0" borderId="0" applyFill="0" applyBorder="0" applyAlignment="0"/>
    <xf numFmtId="176" fontId="47" fillId="0" borderId="0" applyFill="0" applyBorder="0" applyAlignment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28" fillId="0" borderId="0" applyFont="0" applyFill="0" applyBorder="0" applyAlignment="0" applyProtection="0"/>
    <xf numFmtId="40" fontId="28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7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73" fillId="37" borderId="0" applyNumberFormat="0" applyBorder="0" applyAlignment="0" applyProtection="0"/>
    <xf numFmtId="167" fontId="24" fillId="0" borderId="0"/>
    <xf numFmtId="37" fontId="74" fillId="0" borderId="0"/>
    <xf numFmtId="167" fontId="75" fillId="0" borderId="0"/>
    <xf numFmtId="167" fontId="75" fillId="0" borderId="0"/>
    <xf numFmtId="167" fontId="75" fillId="0" borderId="0"/>
    <xf numFmtId="167" fontId="75" fillId="0" borderId="0"/>
    <xf numFmtId="167" fontId="75" fillId="0" borderId="0"/>
    <xf numFmtId="167" fontId="75" fillId="0" borderId="0"/>
    <xf numFmtId="167" fontId="75" fillId="0" borderId="0"/>
    <xf numFmtId="167" fontId="75" fillId="0" borderId="0"/>
    <xf numFmtId="189" fontId="76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0" fontId="28" fillId="0" borderId="0"/>
    <xf numFmtId="167" fontId="66" fillId="0" borderId="0"/>
    <xf numFmtId="167" fontId="66" fillId="0" borderId="0"/>
    <xf numFmtId="167" fontId="5" fillId="0" borderId="0"/>
    <xf numFmtId="167" fontId="5" fillId="0" borderId="0"/>
    <xf numFmtId="167" fontId="5" fillId="0" borderId="0"/>
    <xf numFmtId="167" fontId="66" fillId="0" borderId="0"/>
    <xf numFmtId="0" fontId="28" fillId="0" borderId="0"/>
    <xf numFmtId="0" fontId="28" fillId="0" borderId="0"/>
    <xf numFmtId="0" fontId="28" fillId="0" borderId="0"/>
    <xf numFmtId="0" fontId="5" fillId="0" borderId="0"/>
    <xf numFmtId="167" fontId="66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66" fillId="0" borderId="0"/>
    <xf numFmtId="167" fontId="66" fillId="0" borderId="0"/>
    <xf numFmtId="167" fontId="66" fillId="0" borderId="0"/>
    <xf numFmtId="167" fontId="28" fillId="0" borderId="0"/>
    <xf numFmtId="0" fontId="5" fillId="0" borderId="0"/>
    <xf numFmtId="0" fontId="28" fillId="0" borderId="0"/>
    <xf numFmtId="167" fontId="28" fillId="0" borderId="0"/>
    <xf numFmtId="167" fontId="28" fillId="0" borderId="0"/>
    <xf numFmtId="167" fontId="66" fillId="0" borderId="0"/>
    <xf numFmtId="167" fontId="66" fillId="0" borderId="0"/>
    <xf numFmtId="167" fontId="28" fillId="0" borderId="0"/>
    <xf numFmtId="167" fontId="28" fillId="0" borderId="0"/>
    <xf numFmtId="167" fontId="66" fillId="0" borderId="0"/>
    <xf numFmtId="167" fontId="28" fillId="0" borderId="0"/>
    <xf numFmtId="167" fontId="66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66" fillId="0" borderId="0"/>
    <xf numFmtId="167" fontId="66" fillId="0" borderId="0"/>
    <xf numFmtId="167" fontId="66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66" fillId="0" borderId="0"/>
    <xf numFmtId="167" fontId="28" fillId="0" borderId="0"/>
    <xf numFmtId="167" fontId="28" fillId="0" borderId="0"/>
    <xf numFmtId="167" fontId="66" fillId="0" borderId="0"/>
    <xf numFmtId="167" fontId="66" fillId="0" borderId="0"/>
    <xf numFmtId="167" fontId="66" fillId="0" borderId="0"/>
    <xf numFmtId="167" fontId="66" fillId="0" borderId="0"/>
    <xf numFmtId="167" fontId="66" fillId="0" borderId="0"/>
    <xf numFmtId="167" fontId="28" fillId="0" borderId="0"/>
    <xf numFmtId="167" fontId="28" fillId="0" borderId="0"/>
    <xf numFmtId="167" fontId="66" fillId="0" borderId="0"/>
    <xf numFmtId="167" fontId="66" fillId="0" borderId="0"/>
    <xf numFmtId="167" fontId="66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0" fontId="28" fillId="0" borderId="0"/>
    <xf numFmtId="167" fontId="66" fillId="0" borderId="0"/>
    <xf numFmtId="167" fontId="28" fillId="0" borderId="0"/>
    <xf numFmtId="167" fontId="66" fillId="0" borderId="0"/>
    <xf numFmtId="167" fontId="66" fillId="0" borderId="0"/>
    <xf numFmtId="167" fontId="28" fillId="0" borderId="0"/>
    <xf numFmtId="167" fontId="28" fillId="0" borderId="0"/>
    <xf numFmtId="167" fontId="28" fillId="0" borderId="0"/>
    <xf numFmtId="167" fontId="66" fillId="0" borderId="0"/>
    <xf numFmtId="167" fontId="66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66" fillId="0" borderId="0"/>
    <xf numFmtId="169" fontId="1" fillId="0" borderId="0"/>
    <xf numFmtId="169" fontId="1" fillId="0" borderId="0"/>
    <xf numFmtId="0" fontId="28" fillId="0" borderId="0"/>
    <xf numFmtId="169" fontId="1" fillId="0" borderId="0"/>
    <xf numFmtId="0" fontId="28" fillId="0" borderId="0"/>
    <xf numFmtId="0" fontId="28" fillId="0" borderId="0"/>
    <xf numFmtId="167" fontId="66" fillId="0" borderId="0"/>
    <xf numFmtId="167" fontId="66" fillId="0" borderId="0"/>
    <xf numFmtId="167" fontId="66" fillId="0" borderId="0"/>
    <xf numFmtId="167" fontId="5" fillId="0" borderId="0"/>
    <xf numFmtId="167" fontId="66" fillId="0" borderId="0"/>
    <xf numFmtId="167" fontId="66" fillId="0" borderId="0"/>
    <xf numFmtId="167" fontId="66" fillId="0" borderId="0"/>
    <xf numFmtId="167" fontId="66" fillId="0" borderId="0"/>
    <xf numFmtId="167" fontId="66" fillId="0" borderId="0"/>
    <xf numFmtId="167" fontId="66" fillId="0" borderId="0"/>
    <xf numFmtId="167" fontId="66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31" fillId="0" borderId="0"/>
    <xf numFmtId="0" fontId="5" fillId="0" borderId="0"/>
    <xf numFmtId="167" fontId="31" fillId="0" borderId="0"/>
    <xf numFmtId="0" fontId="28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7" fontId="77" fillId="0" borderId="0"/>
    <xf numFmtId="167" fontId="77" fillId="0" borderId="0"/>
    <xf numFmtId="167" fontId="77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78" fillId="0" borderId="0">
      <alignment vertical="center"/>
    </xf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77" fillId="0" borderId="0"/>
    <xf numFmtId="167" fontId="77" fillId="0" borderId="0"/>
    <xf numFmtId="167" fontId="77" fillId="0" borderId="0"/>
    <xf numFmtId="169" fontId="1" fillId="0" borderId="0"/>
    <xf numFmtId="167" fontId="77" fillId="0" borderId="0"/>
    <xf numFmtId="169" fontId="5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0" fontId="1" fillId="0" borderId="0"/>
    <xf numFmtId="167" fontId="77" fillId="0" borderId="0"/>
    <xf numFmtId="167" fontId="77" fillId="0" borderId="0"/>
    <xf numFmtId="167" fontId="77" fillId="0" borderId="0"/>
    <xf numFmtId="167" fontId="77" fillId="0" borderId="0"/>
    <xf numFmtId="167" fontId="5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5" fontId="5" fillId="0" borderId="0"/>
    <xf numFmtId="167" fontId="77" fillId="0" borderId="0"/>
    <xf numFmtId="167" fontId="77" fillId="0" borderId="0"/>
    <xf numFmtId="169" fontId="5" fillId="0" borderId="0"/>
    <xf numFmtId="169" fontId="5" fillId="0" borderId="0"/>
    <xf numFmtId="165" fontId="1" fillId="0" borderId="0"/>
    <xf numFmtId="190" fontId="1" fillId="0" borderId="0"/>
    <xf numFmtId="0" fontId="1" fillId="0" borderId="0"/>
    <xf numFmtId="167" fontId="77" fillId="0" borderId="0"/>
    <xf numFmtId="167" fontId="77" fillId="0" borderId="0"/>
    <xf numFmtId="167" fontId="77" fillId="0" borderId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67" fontId="5" fillId="38" borderId="47" applyNumberFormat="0" applyFont="0" applyAlignment="0" applyProtection="0"/>
    <xf numFmtId="191" fontId="61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79" fillId="31" borderId="48" applyNumberFormat="0" applyAlignment="0" applyProtection="0"/>
    <xf numFmtId="192" fontId="60" fillId="34" borderId="0">
      <alignment horizontal="right"/>
    </xf>
    <xf numFmtId="167" fontId="80" fillId="35" borderId="0">
      <alignment horizontal="center"/>
    </xf>
    <xf numFmtId="167" fontId="53" fillId="39" borderId="0"/>
    <xf numFmtId="167" fontId="81" fillId="34" borderId="0" applyBorder="0">
      <alignment horizontal="centerContinuous"/>
    </xf>
    <xf numFmtId="167" fontId="82" fillId="39" borderId="0" applyBorder="0">
      <alignment horizontal="centerContinuous"/>
    </xf>
    <xf numFmtId="43" fontId="82" fillId="39" borderId="0" applyFill="0"/>
    <xf numFmtId="167" fontId="83" fillId="30" borderId="0"/>
    <xf numFmtId="179" fontId="49" fillId="0" borderId="0" applyFont="0" applyFill="0" applyBorder="0" applyAlignment="0" applyProtection="0"/>
    <xf numFmtId="182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90" fontId="5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5" fontId="5" fillId="0" borderId="0" applyFill="0" applyBorder="0" applyAlignment="0"/>
    <xf numFmtId="176" fontId="47" fillId="0" borderId="0" applyFill="0" applyBorder="0" applyAlignment="0"/>
    <xf numFmtId="175" fontId="5" fillId="0" borderId="0" applyFill="0" applyBorder="0" applyAlignment="0"/>
    <xf numFmtId="180" fontId="47" fillId="0" borderId="0" applyFill="0" applyBorder="0" applyAlignment="0"/>
    <xf numFmtId="176" fontId="47" fillId="0" borderId="0" applyFill="0" applyBorder="0" applyAlignment="0"/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28" fillId="0" borderId="0" applyNumberFormat="0" applyFont="0" applyFill="0" applyBorder="0" applyAlignment="0" applyProtection="0">
      <alignment horizontal="left"/>
    </xf>
    <xf numFmtId="167" fontId="84" fillId="0" borderId="37">
      <alignment horizontal="center"/>
    </xf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167" fontId="28" fillId="40" borderId="0" applyNumberFormat="0" applyFont="0" applyBorder="0" applyAlignment="0" applyProtection="0"/>
    <xf numFmtId="37" fontId="85" fillId="0" borderId="0" applyNumberFormat="0" applyFill="0" applyBorder="0" applyAlignment="0" applyProtection="0"/>
    <xf numFmtId="167" fontId="72" fillId="37" borderId="0">
      <alignment horizontal="center"/>
    </xf>
    <xf numFmtId="49" fontId="86" fillId="34" borderId="0">
      <alignment horizontal="center"/>
    </xf>
    <xf numFmtId="167" fontId="87" fillId="30" borderId="47" applyNumberFormat="0" applyFont="0" applyAlignment="0" applyProtection="0">
      <alignment horizontal="left"/>
    </xf>
    <xf numFmtId="167" fontId="54" fillId="33" borderId="0">
      <alignment horizontal="center"/>
    </xf>
    <xf numFmtId="167" fontId="54" fillId="33" borderId="0">
      <alignment horizontal="centerContinuous"/>
    </xf>
    <xf numFmtId="167" fontId="88" fillId="34" borderId="0">
      <alignment horizontal="left"/>
    </xf>
    <xf numFmtId="49" fontId="88" fillId="34" borderId="0">
      <alignment horizontal="center"/>
    </xf>
    <xf numFmtId="167" fontId="53" fillId="33" borderId="0">
      <alignment horizontal="left"/>
    </xf>
    <xf numFmtId="49" fontId="88" fillId="34" borderId="0">
      <alignment horizontal="left"/>
    </xf>
    <xf numFmtId="167" fontId="53" fillId="33" borderId="0">
      <alignment horizontal="centerContinuous"/>
    </xf>
    <xf numFmtId="167" fontId="53" fillId="33" borderId="0">
      <alignment horizontal="right"/>
    </xf>
    <xf numFmtId="49" fontId="72" fillId="34" borderId="0">
      <alignment horizontal="left"/>
    </xf>
    <xf numFmtId="167" fontId="54" fillId="33" borderId="0">
      <alignment horizontal="right"/>
    </xf>
    <xf numFmtId="167" fontId="79" fillId="31" borderId="48" applyNumberFormat="0" applyAlignment="0" applyProtection="0"/>
    <xf numFmtId="167" fontId="79" fillId="31" borderId="48" applyNumberFormat="0" applyAlignment="0" applyProtection="0"/>
    <xf numFmtId="167" fontId="79" fillId="31" borderId="48" applyNumberFormat="0" applyAlignment="0" applyProtection="0"/>
    <xf numFmtId="167" fontId="79" fillId="31" borderId="48" applyNumberFormat="0" applyAlignment="0" applyProtection="0"/>
    <xf numFmtId="167" fontId="79" fillId="31" borderId="48" applyNumberFormat="0" applyAlignment="0" applyProtection="0"/>
    <xf numFmtId="167" fontId="88" fillId="16" borderId="0">
      <alignment horizontal="center"/>
    </xf>
    <xf numFmtId="167" fontId="89" fillId="16" borderId="0">
      <alignment horizontal="center"/>
    </xf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90" fillId="41" borderId="49"/>
    <xf numFmtId="167" fontId="90" fillId="41" borderId="49"/>
    <xf numFmtId="167" fontId="90" fillId="41" borderId="49"/>
    <xf numFmtId="167" fontId="90" fillId="41" borderId="49"/>
    <xf numFmtId="42" fontId="91" fillId="0" borderId="0" applyFill="0" applyBorder="0" applyAlignment="0" applyProtection="0"/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88" fontId="28" fillId="0" borderId="0">
      <alignment horizontal="center"/>
    </xf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167" fontId="28" fillId="0" borderId="0"/>
    <xf numFmtId="49" fontId="60" fillId="0" borderId="0" applyFill="0" applyBorder="0" applyAlignment="0"/>
    <xf numFmtId="193" fontId="5" fillId="0" borderId="0" applyFill="0" applyBorder="0" applyAlignment="0"/>
    <xf numFmtId="194" fontId="5" fillId="0" borderId="0" applyFill="0" applyBorder="0" applyAlignment="0"/>
    <xf numFmtId="167" fontId="92" fillId="0" borderId="0" applyNumberFormat="0" applyFill="0" applyBorder="0" applyAlignment="0" applyProtection="0"/>
    <xf numFmtId="167" fontId="92" fillId="0" borderId="0" applyNumberFormat="0" applyFill="0" applyBorder="0" applyAlignment="0" applyProtection="0"/>
    <xf numFmtId="167" fontId="92" fillId="0" borderId="0" applyNumberFormat="0" applyFill="0" applyBorder="0" applyAlignment="0" applyProtection="0"/>
    <xf numFmtId="167" fontId="92" fillId="0" borderId="0" applyNumberFormat="0" applyFill="0" applyBorder="0" applyAlignment="0" applyProtection="0"/>
    <xf numFmtId="167" fontId="92" fillId="0" borderId="0" applyNumberFormat="0" applyFill="0" applyBorder="0" applyAlignment="0" applyProtection="0"/>
    <xf numFmtId="167" fontId="65" fillId="0" borderId="0" applyNumberFormat="0" applyFill="0" applyBorder="0" applyAlignment="0" applyProtection="0"/>
    <xf numFmtId="167" fontId="65" fillId="0" borderId="0" applyNumberFormat="0" applyFill="0" applyBorder="0" applyAlignment="0" applyProtection="0"/>
    <xf numFmtId="167" fontId="65" fillId="0" borderId="0" applyNumberFormat="0" applyFill="0" applyBorder="0" applyAlignment="0" applyProtection="0"/>
    <xf numFmtId="167" fontId="65" fillId="0" borderId="0" applyNumberFormat="0" applyFill="0" applyBorder="0" applyAlignment="0" applyProtection="0"/>
    <xf numFmtId="167" fontId="65" fillId="0" borderId="0" applyNumberFormat="0" applyFill="0" applyBorder="0" applyAlignment="0" applyProtection="0"/>
    <xf numFmtId="167" fontId="24" fillId="0" borderId="0" applyNumberFormat="0" applyFill="0" applyBorder="0" applyAlignment="0" applyProtection="0"/>
    <xf numFmtId="167" fontId="22" fillId="0" borderId="0" applyNumberFormat="0" applyFill="0" applyBorder="0" applyAlignment="0" applyProtection="0"/>
    <xf numFmtId="167" fontId="93" fillId="0" borderId="0" applyNumberFormat="0" applyFill="0" applyBorder="0" applyAlignment="0" applyProtection="0"/>
    <xf numFmtId="167" fontId="94" fillId="0" borderId="50" applyNumberFormat="0" applyFill="0" applyAlignment="0" applyProtection="0"/>
    <xf numFmtId="167" fontId="94" fillId="0" borderId="50" applyNumberFormat="0" applyFill="0" applyAlignment="0" applyProtection="0"/>
    <xf numFmtId="167" fontId="94" fillId="0" borderId="50" applyNumberFormat="0" applyFill="0" applyAlignment="0" applyProtection="0"/>
    <xf numFmtId="167" fontId="94" fillId="0" borderId="50" applyNumberFormat="0" applyFill="0" applyAlignment="0" applyProtection="0"/>
    <xf numFmtId="167" fontId="94" fillId="0" borderId="50" applyNumberFormat="0" applyFill="0" applyAlignment="0" applyProtection="0"/>
    <xf numFmtId="167" fontId="95" fillId="0" borderId="51" applyNumberFormat="0" applyFill="0" applyAlignment="0" applyProtection="0"/>
    <xf numFmtId="167" fontId="95" fillId="0" borderId="51" applyNumberFormat="0" applyFill="0" applyAlignment="0" applyProtection="0"/>
    <xf numFmtId="167" fontId="95" fillId="0" borderId="51" applyNumberFormat="0" applyFill="0" applyAlignment="0" applyProtection="0"/>
    <xf numFmtId="167" fontId="95" fillId="0" borderId="51" applyNumberFormat="0" applyFill="0" applyAlignment="0" applyProtection="0"/>
    <xf numFmtId="167" fontId="95" fillId="0" borderId="51" applyNumberFormat="0" applyFill="0" applyAlignment="0" applyProtection="0"/>
    <xf numFmtId="167" fontId="63" fillId="0" borderId="45" applyNumberFormat="0" applyFill="0" applyAlignment="0" applyProtection="0"/>
    <xf numFmtId="167" fontId="63" fillId="0" borderId="45" applyNumberFormat="0" applyFill="0" applyAlignment="0" applyProtection="0"/>
    <xf numFmtId="167" fontId="63" fillId="0" borderId="45" applyNumberFormat="0" applyFill="0" applyAlignment="0" applyProtection="0"/>
    <xf numFmtId="167" fontId="63" fillId="0" borderId="45" applyNumberFormat="0" applyFill="0" applyAlignment="0" applyProtection="0"/>
    <xf numFmtId="167" fontId="63" fillId="0" borderId="45" applyNumberFormat="0" applyFill="0" applyAlignment="0" applyProtection="0"/>
    <xf numFmtId="167" fontId="93" fillId="0" borderId="0" applyNumberFormat="0" applyFill="0" applyBorder="0" applyAlignment="0" applyProtection="0"/>
    <xf numFmtId="167" fontId="93" fillId="0" borderId="0" applyNumberFormat="0" applyFill="0" applyBorder="0" applyAlignment="0" applyProtection="0"/>
    <xf numFmtId="167" fontId="93" fillId="0" borderId="0" applyNumberFormat="0" applyFill="0" applyBorder="0" applyAlignment="0" applyProtection="0"/>
    <xf numFmtId="167" fontId="93" fillId="0" borderId="0" applyNumberFormat="0" applyFill="0" applyBorder="0" applyAlignment="0" applyProtection="0"/>
    <xf numFmtId="167" fontId="93" fillId="0" borderId="0" applyNumberFormat="0" applyFill="0" applyBorder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58" fillId="0" borderId="52" applyNumberFormat="0" applyFont="0" applyFill="0" applyAlignment="0" applyProtection="0"/>
    <xf numFmtId="167" fontId="96" fillId="34" borderId="0">
      <alignment horizontal="center"/>
    </xf>
    <xf numFmtId="195" fontId="5" fillId="0" borderId="0" applyFont="0" applyFill="0" applyBorder="0" applyAlignment="0" applyProtection="0"/>
    <xf numFmtId="167" fontId="5" fillId="0" borderId="0"/>
    <xf numFmtId="41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0" fontId="5" fillId="0" borderId="0"/>
    <xf numFmtId="0" fontId="98" fillId="0" borderId="0">
      <alignment vertical="center"/>
    </xf>
    <xf numFmtId="42" fontId="97" fillId="0" borderId="0" applyFont="0" applyFill="0" applyBorder="0" applyAlignment="0" applyProtection="0"/>
    <xf numFmtId="44" fontId="97" fillId="0" borderId="0" applyFont="0" applyFill="0" applyBorder="0" applyAlignment="0" applyProtection="0"/>
    <xf numFmtId="166" fontId="1" fillId="0" borderId="0"/>
    <xf numFmtId="0" fontId="5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8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6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82" fillId="39" borderId="0" applyFill="0"/>
    <xf numFmtId="42" fontId="91" fillId="0" borderId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Alignment="1">
      <alignment horizontal="center" vertical="center"/>
    </xf>
    <xf numFmtId="17" fontId="1" fillId="2" borderId="5" xfId="1" applyNumberFormat="1" applyFill="1" applyBorder="1"/>
    <xf numFmtId="17" fontId="0" fillId="2" borderId="5" xfId="1" applyNumberFormat="1" applyFont="1" applyFill="1" applyBorder="1"/>
    <xf numFmtId="17" fontId="0" fillId="2" borderId="5" xfId="1" quotePrefix="1" applyNumberFormat="1" applyFont="1" applyFill="1" applyBorder="1"/>
    <xf numFmtId="17" fontId="6" fillId="2" borderId="5" xfId="1" applyNumberFormat="1" applyFont="1" applyFill="1" applyBorder="1"/>
    <xf numFmtId="17" fontId="0" fillId="2" borderId="3" xfId="1" applyNumberFormat="1" applyFont="1" applyFill="1" applyBorder="1"/>
    <xf numFmtId="17" fontId="1" fillId="2" borderId="3" xfId="1" applyNumberFormat="1" applyFill="1" applyBorder="1"/>
    <xf numFmtId="0" fontId="4" fillId="7" borderId="10" xfId="0" applyFont="1" applyFill="1" applyBorder="1"/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9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0" fillId="2" borderId="5" xfId="1" quotePrefix="1" applyNumberFormat="1" applyFont="1" applyFill="1" applyBorder="1" applyAlignment="1">
      <alignment horizontal="left"/>
    </xf>
    <xf numFmtId="17" fontId="0" fillId="2" borderId="3" xfId="1" quotePrefix="1" applyNumberFormat="1" applyFont="1" applyFill="1" applyBorder="1"/>
    <xf numFmtId="0" fontId="0" fillId="2" borderId="3" xfId="1" quotePrefix="1" applyNumberFormat="1" applyFont="1" applyFill="1" applyBorder="1" applyAlignment="1">
      <alignment horizontal="left"/>
    </xf>
    <xf numFmtId="17" fontId="6" fillId="2" borderId="3" xfId="1" applyNumberFormat="1" applyFont="1" applyFill="1" applyBorder="1"/>
    <xf numFmtId="17" fontId="0" fillId="2" borderId="24" xfId="1" applyNumberFormat="1" applyFont="1" applyFill="1" applyBorder="1"/>
    <xf numFmtId="17" fontId="0" fillId="2" borderId="27" xfId="1" applyNumberFormat="1" applyFont="1" applyFill="1" applyBorder="1"/>
    <xf numFmtId="17" fontId="0" fillId="2" borderId="28" xfId="1" applyNumberFormat="1" applyFont="1" applyFill="1" applyBorder="1"/>
    <xf numFmtId="0" fontId="0" fillId="0" borderId="0" xfId="0" applyAlignment="1">
      <alignment horizontal="left"/>
    </xf>
    <xf numFmtId="0" fontId="2" fillId="7" borderId="7" xfId="0" applyFont="1" applyFill="1" applyBorder="1" applyAlignment="1">
      <alignment horizontal="center" vertical="center" wrapText="1"/>
    </xf>
    <xf numFmtId="17" fontId="1" fillId="2" borderId="27" xfId="1" applyNumberFormat="1" applyFill="1" applyBorder="1"/>
    <xf numFmtId="166" fontId="2" fillId="5" borderId="1" xfId="1" applyNumberFormat="1" applyFont="1" applyFill="1" applyBorder="1" applyAlignment="1">
      <alignment horizontal="center" vertical="center" wrapText="1"/>
    </xf>
    <xf numFmtId="166" fontId="1" fillId="2" borderId="4" xfId="1" applyNumberFormat="1" applyFill="1" applyBorder="1" applyAlignment="1">
      <alignment horizontal="center"/>
    </xf>
    <xf numFmtId="166" fontId="6" fillId="2" borderId="4" xfId="1" applyNumberFormat="1" applyFont="1" applyFill="1" applyBorder="1" applyAlignment="1">
      <alignment horizontal="center"/>
    </xf>
    <xf numFmtId="166" fontId="6" fillId="2" borderId="26" xfId="1" applyNumberFormat="1" applyFont="1" applyFill="1" applyBorder="1" applyAlignment="1">
      <alignment horizontal="center"/>
    </xf>
    <xf numFmtId="166" fontId="6" fillId="2" borderId="6" xfId="1" applyNumberFormat="1" applyFont="1" applyFill="1" applyBorder="1" applyAlignment="1">
      <alignment horizontal="center"/>
    </xf>
    <xf numFmtId="166" fontId="1" fillId="2" borderId="6" xfId="1" applyNumberForma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7" fontId="0" fillId="0" borderId="0" xfId="1" applyNumberFormat="1" applyFont="1"/>
    <xf numFmtId="0" fontId="0" fillId="0" borderId="27" xfId="0" applyBorder="1"/>
    <xf numFmtId="17" fontId="1" fillId="2" borderId="24" xfId="1" applyNumberFormat="1" applyFill="1" applyBorder="1"/>
    <xf numFmtId="0" fontId="0" fillId="0" borderId="3" xfId="0" applyBorder="1"/>
    <xf numFmtId="0" fontId="0" fillId="0" borderId="5" xfId="0" applyBorder="1"/>
    <xf numFmtId="17" fontId="0" fillId="0" borderId="3" xfId="1" applyNumberFormat="1" applyFont="1" applyBorder="1"/>
    <xf numFmtId="17" fontId="0" fillId="0" borderId="5" xfId="1" applyNumberFormat="1" applyFont="1" applyBorder="1"/>
    <xf numFmtId="0" fontId="0" fillId="2" borderId="5" xfId="1" applyNumberFormat="1" applyFont="1" applyFill="1" applyBorder="1" applyAlignment="1">
      <alignment horizontal="left"/>
    </xf>
    <xf numFmtId="166" fontId="0" fillId="0" borderId="4" xfId="0" applyNumberFormat="1" applyBorder="1" applyAlignment="1">
      <alignment horizontal="center"/>
    </xf>
    <xf numFmtId="166" fontId="1" fillId="2" borderId="24" xfId="1" applyNumberFormat="1" applyFill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26" xfId="0" applyNumberFormat="1" applyBorder="1" applyAlignment="1">
      <alignment horizontal="center"/>
    </xf>
    <xf numFmtId="0" fontId="0" fillId="2" borderId="24" xfId="1" applyNumberFormat="1" applyFont="1" applyFill="1" applyBorder="1" applyAlignment="1">
      <alignment horizontal="left"/>
    </xf>
    <xf numFmtId="17" fontId="0" fillId="2" borderId="0" xfId="1" applyNumberFormat="1" applyFont="1" applyFill="1"/>
    <xf numFmtId="0" fontId="0" fillId="0" borderId="25" xfId="0" applyBorder="1"/>
    <xf numFmtId="0" fontId="0" fillId="0" borderId="28" xfId="0" applyBorder="1"/>
    <xf numFmtId="166" fontId="1" fillId="2" borderId="28" xfId="1" applyNumberFormat="1" applyFill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17" fontId="0" fillId="0" borderId="24" xfId="1" applyNumberFormat="1" applyFont="1" applyBorder="1"/>
    <xf numFmtId="166" fontId="1" fillId="0" borderId="24" xfId="1" applyNumberFormat="1" applyBorder="1" applyAlignment="1">
      <alignment horizontal="center"/>
    </xf>
    <xf numFmtId="49" fontId="19" fillId="0" borderId="24" xfId="0" applyNumberFormat="1" applyFont="1" applyBorder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19" fillId="0" borderId="24" xfId="4" applyNumberFormat="1" applyFont="1" applyFill="1" applyBorder="1" applyAlignment="1">
      <alignment horizontal="left" vertical="center"/>
    </xf>
    <xf numFmtId="0" fontId="19" fillId="2" borderId="24" xfId="4" applyNumberFormat="1" applyFont="1" applyFill="1" applyBorder="1" applyAlignment="1">
      <alignment horizontal="left" vertical="center"/>
    </xf>
    <xf numFmtId="166" fontId="0" fillId="0" borderId="0" xfId="0" applyNumberFormat="1"/>
    <xf numFmtId="0" fontId="0" fillId="0" borderId="29" xfId="0" applyBorder="1"/>
    <xf numFmtId="166" fontId="0" fillId="0" borderId="30" xfId="0" applyNumberFormat="1" applyBorder="1" applyAlignment="1">
      <alignment horizontal="center"/>
    </xf>
    <xf numFmtId="0" fontId="0" fillId="0" borderId="24" xfId="0" applyBorder="1"/>
    <xf numFmtId="0" fontId="0" fillId="0" borderId="31" xfId="0" applyBorder="1"/>
    <xf numFmtId="0" fontId="0" fillId="0" borderId="32" xfId="0" applyBorder="1"/>
    <xf numFmtId="166" fontId="0" fillId="0" borderId="32" xfId="0" applyNumberFormat="1" applyBorder="1" applyAlignment="1">
      <alignment horizontal="center"/>
    </xf>
    <xf numFmtId="0" fontId="0" fillId="0" borderId="30" xfId="0" applyBorder="1"/>
    <xf numFmtId="17" fontId="6" fillId="42" borderId="5" xfId="1" applyNumberFormat="1" applyFont="1" applyFill="1" applyBorder="1"/>
    <xf numFmtId="17" fontId="6" fillId="42" borderId="3" xfId="1" applyNumberFormat="1" applyFont="1" applyFill="1" applyBorder="1"/>
    <xf numFmtId="165" fontId="2" fillId="5" borderId="8" xfId="1" applyFont="1" applyFill="1" applyBorder="1" applyAlignment="1">
      <alignment horizontal="center" vertical="center" wrapText="1"/>
    </xf>
    <xf numFmtId="14" fontId="0" fillId="0" borderId="0" xfId="0" applyNumberFormat="1"/>
    <xf numFmtId="17" fontId="6" fillId="43" borderId="24" xfId="1" applyNumberFormat="1" applyFont="1" applyFill="1" applyBorder="1"/>
    <xf numFmtId="0" fontId="0" fillId="42" borderId="24" xfId="0" applyFill="1" applyBorder="1"/>
    <xf numFmtId="17" fontId="0" fillId="2" borderId="32" xfId="1" applyNumberFormat="1" applyFont="1" applyFill="1" applyBorder="1"/>
    <xf numFmtId="14" fontId="0" fillId="0" borderId="24" xfId="0" applyNumberFormat="1" applyBorder="1"/>
    <xf numFmtId="0" fontId="0" fillId="44" borderId="24" xfId="0" applyFill="1" applyBorder="1"/>
    <xf numFmtId="14" fontId="0" fillId="42" borderId="24" xfId="0" applyNumberFormat="1" applyFill="1" applyBorder="1"/>
    <xf numFmtId="166" fontId="1" fillId="2" borderId="53" xfId="1" applyNumberFormat="1" applyFill="1" applyBorder="1" applyAlignment="1">
      <alignment horizontal="center"/>
    </xf>
    <xf numFmtId="166" fontId="6" fillId="2" borderId="33" xfId="1" applyNumberFormat="1" applyFont="1" applyFill="1" applyBorder="1" applyAlignment="1">
      <alignment horizontal="center"/>
    </xf>
    <xf numFmtId="166" fontId="6" fillId="2" borderId="53" xfId="1" applyNumberFormat="1" applyFont="1" applyFill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166" fontId="0" fillId="0" borderId="54" xfId="0" applyNumberFormat="1" applyBorder="1" applyAlignment="1">
      <alignment horizontal="center"/>
    </xf>
    <xf numFmtId="16" fontId="0" fillId="0" borderId="24" xfId="0" applyNumberFormat="1" applyBorder="1"/>
    <xf numFmtId="166" fontId="0" fillId="42" borderId="33" xfId="0" applyNumberFormat="1" applyFill="1" applyBorder="1" applyAlignment="1">
      <alignment horizontal="center"/>
    </xf>
    <xf numFmtId="49" fontId="2" fillId="5" borderId="1" xfId="1" applyNumberFormat="1" applyFont="1" applyFill="1" applyBorder="1" applyAlignment="1">
      <alignment horizontal="center" vertical="center" wrapText="1"/>
    </xf>
    <xf numFmtId="165" fontId="2" fillId="5" borderId="23" xfId="1" applyFont="1" applyFill="1" applyBorder="1" applyAlignment="1">
      <alignment horizontal="center" vertical="center" wrapText="1"/>
    </xf>
    <xf numFmtId="0" fontId="0" fillId="0" borderId="53" xfId="0" applyBorder="1"/>
    <xf numFmtId="44" fontId="0" fillId="0" borderId="53" xfId="9350" applyFont="1" applyBorder="1"/>
    <xf numFmtId="44" fontId="0" fillId="2" borderId="24" xfId="9350" applyFont="1" applyFill="1" applyBorder="1"/>
    <xf numFmtId="44" fontId="0" fillId="0" borderId="24" xfId="9350" applyFont="1" applyBorder="1"/>
    <xf numFmtId="44" fontId="19" fillId="0" borderId="24" xfId="9350" applyFont="1" applyBorder="1" applyAlignment="1">
      <alignment horizontal="left" vertical="center"/>
    </xf>
    <xf numFmtId="44" fontId="19" fillId="2" borderId="24" xfId="9350" applyFont="1" applyFill="1" applyBorder="1" applyAlignment="1">
      <alignment horizontal="left" vertical="center"/>
    </xf>
    <xf numFmtId="44" fontId="0" fillId="0" borderId="29" xfId="9350" applyFont="1" applyBorder="1"/>
    <xf numFmtId="44" fontId="0" fillId="0" borderId="30" xfId="9350" applyFont="1" applyBorder="1"/>
    <xf numFmtId="44" fontId="0" fillId="0" borderId="0" xfId="9350" applyFont="1"/>
    <xf numFmtId="44" fontId="0" fillId="0" borderId="0" xfId="0" applyNumberFormat="1"/>
    <xf numFmtId="44" fontId="2" fillId="45" borderId="1" xfId="9350" applyFont="1" applyFill="1" applyBorder="1" applyAlignment="1">
      <alignment horizontal="center" vertical="center" wrapText="1"/>
    </xf>
    <xf numFmtId="14" fontId="2" fillId="5" borderId="1" xfId="1" applyNumberFormat="1" applyFont="1" applyFill="1" applyBorder="1" applyAlignment="1">
      <alignment horizontal="center" vertical="center" wrapText="1"/>
    </xf>
    <xf numFmtId="0" fontId="0" fillId="43" borderId="25" xfId="0" applyFill="1" applyBorder="1"/>
    <xf numFmtId="0" fontId="0" fillId="43" borderId="28" xfId="0" applyFill="1" applyBorder="1"/>
    <xf numFmtId="166" fontId="0" fillId="43" borderId="4" xfId="0" applyNumberFormat="1" applyFill="1" applyBorder="1" applyAlignment="1">
      <alignment horizontal="center"/>
    </xf>
    <xf numFmtId="14" fontId="0" fillId="43" borderId="0" xfId="0" applyNumberFormat="1" applyFill="1"/>
    <xf numFmtId="0" fontId="2" fillId="7" borderId="11" xfId="0" applyFont="1" applyFill="1" applyBorder="1" applyAlignment="1">
      <alignment horizontal="left" vertical="center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11" fillId="3" borderId="14" xfId="0" applyFont="1" applyFill="1" applyBorder="1" applyAlignment="1" applyProtection="1">
      <alignment horizontal="left" vertical="center"/>
      <protection locked="0"/>
    </xf>
    <xf numFmtId="0" fontId="15" fillId="9" borderId="24" xfId="0" applyFont="1" applyFill="1" applyBorder="1" applyAlignment="1" applyProtection="1">
      <alignment horizontal="center" vertical="center"/>
      <protection locked="0"/>
    </xf>
    <xf numFmtId="0" fontId="12" fillId="6" borderId="14" xfId="0" applyFont="1" applyFill="1" applyBorder="1" applyAlignment="1" applyProtection="1">
      <alignment horizontal="left" vertical="center"/>
      <protection locked="0"/>
    </xf>
    <xf numFmtId="164" fontId="18" fillId="2" borderId="0" xfId="0" applyNumberFormat="1" applyFont="1" applyFill="1" applyAlignment="1" applyProtection="1">
      <alignment horizontal="center"/>
      <protection locked="0"/>
    </xf>
    <xf numFmtId="0" fontId="15" fillId="9" borderId="24" xfId="0" applyFont="1" applyFill="1" applyBorder="1" applyAlignment="1" applyProtection="1">
      <alignment horizontal="center" vertical="center" wrapText="1"/>
      <protection locked="0"/>
    </xf>
    <xf numFmtId="164" fontId="6" fillId="0" borderId="0" xfId="0" applyNumberFormat="1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8" fontId="12" fillId="0" borderId="0" xfId="0" applyNumberFormat="1" applyFont="1" applyAlignment="1" applyProtection="1">
      <alignment horizontal="left" vertical="center"/>
      <protection locked="0"/>
    </xf>
    <xf numFmtId="0" fontId="10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/>
      <protection locked="0"/>
    </xf>
    <xf numFmtId="0" fontId="11" fillId="6" borderId="14" xfId="0" applyFont="1" applyFill="1" applyBorder="1" applyAlignment="1" applyProtection="1">
      <alignment horizontal="center" vertical="center"/>
      <protection locked="0"/>
    </xf>
    <xf numFmtId="164" fontId="13" fillId="3" borderId="22" xfId="0" applyNumberFormat="1" applyFont="1" applyFill="1" applyBorder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6" fillId="7" borderId="0" xfId="0" applyFont="1" applyFill="1" applyProtection="1">
      <protection locked="0"/>
    </xf>
    <xf numFmtId="8" fontId="6" fillId="0" borderId="0" xfId="0" applyNumberFormat="1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64" fontId="0" fillId="0" borderId="0" xfId="0" applyNumberFormat="1" applyProtection="1">
      <protection locked="0"/>
    </xf>
    <xf numFmtId="0" fontId="3" fillId="0" borderId="0" xfId="0" applyFont="1" applyProtection="1">
      <protection locked="0"/>
    </xf>
    <xf numFmtId="166" fontId="0" fillId="0" borderId="0" xfId="0" applyNumberFormat="1" applyAlignment="1" applyProtection="1">
      <alignment horizontal="left" vertical="center"/>
      <protection locked="0"/>
    </xf>
    <xf numFmtId="166" fontId="6" fillId="2" borderId="0" xfId="1" applyNumberFormat="1" applyFont="1" applyFill="1" applyAlignment="1">
      <alignment horizontal="center"/>
    </xf>
    <xf numFmtId="166" fontId="0" fillId="0" borderId="53" xfId="0" applyNumberFormat="1" applyBorder="1"/>
    <xf numFmtId="14" fontId="0" fillId="42" borderId="24" xfId="0" applyNumberFormat="1" applyFill="1" applyBorder="1" applyAlignment="1">
      <alignment vertical="center"/>
    </xf>
    <xf numFmtId="14" fontId="12" fillId="6" borderId="14" xfId="0" applyNumberFormat="1" applyFont="1" applyFill="1" applyBorder="1" applyAlignment="1" applyProtection="1">
      <alignment horizontal="left" vertical="center"/>
      <protection locked="0" hidden="1"/>
    </xf>
    <xf numFmtId="0" fontId="99" fillId="46" borderId="0" xfId="0" applyFont="1" applyFill="1" applyAlignment="1">
      <alignment horizontal="center"/>
    </xf>
    <xf numFmtId="0" fontId="0" fillId="46" borderId="0" xfId="0" applyFill="1"/>
    <xf numFmtId="166" fontId="100" fillId="46" borderId="0" xfId="9350" applyNumberFormat="1" applyFont="1" applyFill="1" applyBorder="1" applyAlignment="1">
      <alignment horizontal="center"/>
    </xf>
    <xf numFmtId="0" fontId="2" fillId="7" borderId="13" xfId="0" applyFont="1" applyFill="1" applyBorder="1" applyAlignment="1">
      <alignment horizontal="left" vertical="center"/>
    </xf>
    <xf numFmtId="166" fontId="6" fillId="0" borderId="0" xfId="0" applyNumberFormat="1" applyFont="1" applyAlignment="1">
      <alignment horizontal="center"/>
    </xf>
    <xf numFmtId="166" fontId="101" fillId="5" borderId="0" xfId="1" applyNumberFormat="1" applyFont="1" applyFill="1" applyAlignment="1">
      <alignment horizontal="center" vertical="center" wrapText="1"/>
    </xf>
    <xf numFmtId="166" fontId="6" fillId="0" borderId="0" xfId="1" applyNumberFormat="1" applyFont="1" applyAlignment="1">
      <alignment horizontal="center"/>
    </xf>
    <xf numFmtId="166" fontId="6" fillId="0" borderId="24" xfId="0" applyNumberFormat="1" applyFont="1" applyBorder="1" applyAlignment="1">
      <alignment horizontal="center"/>
    </xf>
    <xf numFmtId="166" fontId="6" fillId="0" borderId="33" xfId="0" applyNumberFormat="1" applyFont="1" applyBorder="1" applyAlignment="1">
      <alignment horizontal="center"/>
    </xf>
    <xf numFmtId="166" fontId="6" fillId="0" borderId="54" xfId="0" applyNumberFormat="1" applyFont="1" applyBorder="1" applyAlignment="1">
      <alignment horizontal="center"/>
    </xf>
    <xf numFmtId="166" fontId="6" fillId="42" borderId="33" xfId="0" applyNumberFormat="1" applyFont="1" applyFill="1" applyBorder="1" applyAlignment="1">
      <alignment horizontal="center"/>
    </xf>
    <xf numFmtId="0" fontId="102" fillId="0" borderId="0" xfId="0" applyFont="1" applyAlignment="1">
      <alignment horizontal="center" vertical="center"/>
    </xf>
    <xf numFmtId="0" fontId="9" fillId="10" borderId="19" xfId="0" applyFont="1" applyFill="1" applyBorder="1" applyAlignment="1" applyProtection="1">
      <alignment horizontal="center"/>
      <protection locked="0"/>
    </xf>
    <xf numFmtId="0" fontId="9" fillId="10" borderId="20" xfId="0" applyFont="1" applyFill="1" applyBorder="1" applyAlignment="1" applyProtection="1">
      <alignment horizontal="center"/>
      <protection locked="0"/>
    </xf>
    <xf numFmtId="0" fontId="9" fillId="10" borderId="21" xfId="0" applyFont="1" applyFill="1" applyBorder="1" applyAlignment="1" applyProtection="1">
      <alignment horizontal="center"/>
      <protection locked="0"/>
    </xf>
    <xf numFmtId="8" fontId="14" fillId="0" borderId="15" xfId="0" applyNumberFormat="1" applyFont="1" applyBorder="1" applyAlignment="1" applyProtection="1">
      <alignment horizontal="center" vertical="center"/>
      <protection locked="0" hidden="1"/>
    </xf>
    <xf numFmtId="8" fontId="14" fillId="0" borderId="1" xfId="0" applyNumberFormat="1" applyFont="1" applyBorder="1" applyAlignment="1" applyProtection="1">
      <alignment horizontal="center" vertical="center"/>
      <protection locked="0" hidden="1"/>
    </xf>
    <xf numFmtId="8" fontId="14" fillId="0" borderId="16" xfId="0" applyNumberFormat="1" applyFont="1" applyBorder="1" applyAlignment="1" applyProtection="1">
      <alignment horizontal="center" vertical="center"/>
      <protection locked="0" hidden="1"/>
    </xf>
    <xf numFmtId="8" fontId="14" fillId="0" borderId="2" xfId="0" applyNumberFormat="1" applyFont="1" applyBorder="1" applyAlignment="1" applyProtection="1">
      <alignment horizontal="center" vertical="center"/>
      <protection locked="0" hidden="1"/>
    </xf>
    <xf numFmtId="8" fontId="14" fillId="0" borderId="17" xfId="0" applyNumberFormat="1" applyFont="1" applyBorder="1" applyAlignment="1" applyProtection="1">
      <alignment horizontal="center" vertical="center"/>
      <protection locked="0" hidden="1"/>
    </xf>
    <xf numFmtId="8" fontId="14" fillId="0" borderId="18" xfId="0" applyNumberFormat="1" applyFont="1" applyBorder="1" applyAlignment="1" applyProtection="1">
      <alignment horizontal="center" vertical="center"/>
      <protection locked="0" hidden="1"/>
    </xf>
    <xf numFmtId="0" fontId="16" fillId="0" borderId="0" xfId="0" applyFont="1" applyAlignment="1" applyProtection="1">
      <alignment horizontal="center"/>
      <protection locked="0"/>
    </xf>
    <xf numFmtId="0" fontId="10" fillId="0" borderId="23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</cellXfs>
  <cellStyles count="9352">
    <cellStyle name="%" xfId="8" xr:uid="{B8D48D4D-9C34-47D8-A96D-4FBB9125D929}"/>
    <cellStyle name="% 2" xfId="9" xr:uid="{45D9549D-54EA-44C6-9E28-CA31D007D6BD}"/>
    <cellStyle name="% 3" xfId="10" xr:uid="{707AA9C5-00B3-4861-916C-040CFD763314}"/>
    <cellStyle name="% 4" xfId="11" xr:uid="{D5CAE185-97AF-44B4-92B7-896DB4ECE31F}"/>
    <cellStyle name="%_Reporte Planes (Cierre Marzo y Abril) 20100420 ejercicio" xfId="12" xr:uid="{172FF8AF-2430-4309-9080-7C9922EB0DDA}"/>
    <cellStyle name="%_Reporte Planes (Cierre Marzo y Abril) 20100420 ejercicio 10" xfId="13" xr:uid="{EBAF6C00-FE20-495B-AB94-06BCDE68CE65}"/>
    <cellStyle name="%_Reporte Planes (Cierre Marzo y Abril) 20100420 ejercicio 11" xfId="14" xr:uid="{7E84F93D-3EED-4107-9FF4-C9EE9D0A4BB6}"/>
    <cellStyle name="%_Reporte Planes (Cierre Marzo y Abril) 20100420 ejercicio 12" xfId="15" xr:uid="{7F0FBFBF-F83E-4427-89E4-5E7FAB65240F}"/>
    <cellStyle name="%_Reporte Planes (Cierre Marzo y Abril) 20100420 ejercicio 13" xfId="16" xr:uid="{E0845CDF-79BC-4643-B8B5-20C8B31C0A77}"/>
    <cellStyle name="%_Reporte Planes (Cierre Marzo y Abril) 20100420 ejercicio 14" xfId="17" xr:uid="{A50738C6-E64F-4056-B5A1-BFEB41D88968}"/>
    <cellStyle name="%_Reporte Planes (Cierre Marzo y Abril) 20100420 ejercicio 2" xfId="18" xr:uid="{DB8BE2B4-B409-4355-A530-B9887A2D2E18}"/>
    <cellStyle name="%_Reporte Planes (Cierre Marzo y Abril) 20100420 ejercicio 3" xfId="19" xr:uid="{ECCC5D14-D775-4E98-8F69-E13FA6AECAF3}"/>
    <cellStyle name="%_Reporte Planes (Cierre Marzo y Abril) 20100420 ejercicio 4" xfId="20" xr:uid="{F145E264-CD31-4EFE-A50A-32B221A6809F}"/>
    <cellStyle name="%_Reporte Planes (Cierre Marzo y Abril) 20100420 ejercicio 5" xfId="21" xr:uid="{AD219496-99E7-40CE-B7E7-907A7AFA84CB}"/>
    <cellStyle name="%_Reporte Planes (Cierre Marzo y Abril) 20100420 ejercicio 6" xfId="22" xr:uid="{91323F70-B83A-4394-8675-1F82B907ECFA}"/>
    <cellStyle name="%_Reporte Planes (Cierre Marzo y Abril) 20100420 ejercicio 7" xfId="23" xr:uid="{248ED900-A189-4E16-9835-B5286E30E216}"/>
    <cellStyle name="%_Reporte Planes (Cierre Marzo y Abril) 20100420 ejercicio 8" xfId="24" xr:uid="{774A4FAC-6A21-40D2-8FCC-D431D71AF3ED}"/>
    <cellStyle name="%_Reporte Planes (Cierre Marzo y Abril) 20100420 ejercicio 9" xfId="25" xr:uid="{07A4B292-23AD-4B32-8F31-9617CFA14EF7}"/>
    <cellStyle name="(0%) &quot; - &quot;" xfId="26" xr:uid="{240B6B36-5458-430D-B140-D544739E23F8}"/>
    <cellStyle name="(0%) &quot; - &quot;per" xfId="27" xr:uid="{AF3E01D1-CBB2-4963-B045-0B0FCF3C6B53}"/>
    <cellStyle name="(0,000) &quot; - &quot;" xfId="28" xr:uid="{4F39776C-E629-4F78-B04A-6298A54A7BAD}"/>
    <cellStyle name="(0,000) &quot; - &quot;num" xfId="29" xr:uid="{22309F4E-F593-460E-A0CD-59B1F6CE5A23}"/>
    <cellStyle name="(0.0%)" xfId="30" xr:uid="{F45DAAE5-9401-42D0-B187-58C858C4196B}"/>
    <cellStyle name="?? [0.00]_laroux" xfId="31" xr:uid="{3A509ECD-FC43-4AC0-BB40-62285CD05D21}"/>
    <cellStyle name="???? [0.00]_laroux" xfId="32" xr:uid="{0869C537-1D89-42DA-93E6-045970359695}"/>
    <cellStyle name="????_laroux" xfId="33" xr:uid="{02230878-D00A-4473-BB99-552042527E2F}"/>
    <cellStyle name="??_??" xfId="34" xr:uid="{87F8AFD4-AB7C-4DFB-9C3F-35A9FCB69049}"/>
    <cellStyle name="_20090319 Inventario GA (2)" xfId="35" xr:uid="{6C411F46-A354-468A-A8AD-E00F468ABC8D}"/>
    <cellStyle name="_Análisis de ARP diciembre 2009 v3" xfId="36" xr:uid="{1EB8A3B6-E01D-413D-B48B-7528155C0654}"/>
    <cellStyle name="_Análisis de ARP diciembre 2009 v3_FCST Subsidy Handset 2010 (Abril-Dic) 20100401v5 ejercicio A final envío con cierre (3) v 4" xfId="37" xr:uid="{517992F3-C496-4F36-8088-4C5BF5694DDA}"/>
    <cellStyle name="_Análisis de ARP diciembre 2009 v3_FCST Subsidy Handset 2010 (Abril-Dic) 20100401v5 ejercicio A final envío con cierre (3) v 4 10" xfId="38" xr:uid="{BB8CD04A-CDDD-48AE-8100-FB0ED624CB3C}"/>
    <cellStyle name="_Análisis de ARP diciembre 2009 v3_FCST Subsidy Handset 2010 (Abril-Dic) 20100401v5 ejercicio A final envío con cierre (3) v 4 11" xfId="39" xr:uid="{6DD4A816-FCC0-4083-BBBA-3EE05AB48CD9}"/>
    <cellStyle name="_Análisis de ARP diciembre 2009 v3_FCST Subsidy Handset 2010 (Abril-Dic) 20100401v5 ejercicio A final envío con cierre (3) v 4 12" xfId="40" xr:uid="{F4B54069-102E-4302-A8EA-0EA3CC9E7945}"/>
    <cellStyle name="_Análisis de ARP diciembre 2009 v3_FCST Subsidy Handset 2010 (Abril-Dic) 20100401v5 ejercicio A final envío con cierre (3) v 4 13" xfId="41" xr:uid="{643A8EEF-24F5-43A7-A04E-3D88D204CC62}"/>
    <cellStyle name="_Análisis de ARP diciembre 2009 v3_FCST Subsidy Handset 2010 (Abril-Dic) 20100401v5 ejercicio A final envío con cierre (3) v 4 14" xfId="42" xr:uid="{2E7176A1-4560-4B21-8D58-0F00679AA098}"/>
    <cellStyle name="_Análisis de ARP diciembre 2009 v3_FCST Subsidy Handset 2010 (Abril-Dic) 20100401v5 ejercicio A final envío con cierre (3) v 4 2" xfId="43" xr:uid="{D6A59B2F-472F-402D-A41E-DB1A9E0FC663}"/>
    <cellStyle name="_Análisis de ARP diciembre 2009 v3_FCST Subsidy Handset 2010 (Abril-Dic) 20100401v5 ejercicio A final envío con cierre (3) v 4 3" xfId="44" xr:uid="{671514EF-E294-47EB-AD73-D01F9FFB8BB5}"/>
    <cellStyle name="_Análisis de ARP diciembre 2009 v3_FCST Subsidy Handset 2010 (Abril-Dic) 20100401v5 ejercicio A final envío con cierre (3) v 4 4" xfId="45" xr:uid="{6C02E8A0-FCE7-46BF-B3E6-7DAC09CAFDFC}"/>
    <cellStyle name="_Análisis de ARP diciembre 2009 v3_FCST Subsidy Handset 2010 (Abril-Dic) 20100401v5 ejercicio A final envío con cierre (3) v 4 5" xfId="46" xr:uid="{8543C9CC-8E93-48DA-8179-6BC164C10A30}"/>
    <cellStyle name="_Análisis de ARP diciembre 2009 v3_FCST Subsidy Handset 2010 (Abril-Dic) 20100401v5 ejercicio A final envío con cierre (3) v 4 6" xfId="47" xr:uid="{F4926480-B683-4A9E-99E3-8BEA8E1722CB}"/>
    <cellStyle name="_Análisis de ARP diciembre 2009 v3_FCST Subsidy Handset 2010 (Abril-Dic) 20100401v5 ejercicio A final envío con cierre (3) v 4 7" xfId="48" xr:uid="{20CFB051-0FD0-4A13-BA84-3C9CC0A575C4}"/>
    <cellStyle name="_Análisis de ARP diciembre 2009 v3_FCST Subsidy Handset 2010 (Abril-Dic) 20100401v5 ejercicio A final envío con cierre (3) v 4 8" xfId="49" xr:uid="{C96A4F1F-4081-4D44-94D1-D0B58C638EA3}"/>
    <cellStyle name="_Análisis de ARP diciembre 2009 v3_FCST Subsidy Handset 2010 (Abril-Dic) 20100401v5 ejercicio A final envío con cierre (3) v 4 9" xfId="50" xr:uid="{54B654EC-C256-461B-BCD5-656EEF46394E}"/>
    <cellStyle name="_Análisis de ARP diciembre 2009 v3_FCST Subsidy Handset 2010 (Mayo-Dic) 20100518 CT1000 $0 y CT500 $0-$699 v4 ER ejerc promo navidad (2) ej4" xfId="51" xr:uid="{21A464DE-29DD-47F7-8B1A-8B919405F183}"/>
    <cellStyle name="_Análisis de ARP diciembre 2009 v3_FCST Subsidy Handset 2010 (Mayo-Dic) 20100518 CT1000 $0 y CT500 $0-$699 v4 ER ejerc promo navidad (2) ej4 10" xfId="52" xr:uid="{CBE0ADEF-2CEE-49B3-8673-43708D1B06BA}"/>
    <cellStyle name="_Análisis de ARP diciembre 2009 v3_FCST Subsidy Handset 2010 (Mayo-Dic) 20100518 CT1000 $0 y CT500 $0-$699 v4 ER ejerc promo navidad (2) ej4 11" xfId="53" xr:uid="{65EC6914-939F-440C-9399-D93714E1BB44}"/>
    <cellStyle name="_Análisis de ARP diciembre 2009 v3_FCST Subsidy Handset 2010 (Mayo-Dic) 20100518 CT1000 $0 y CT500 $0-$699 v4 ER ejerc promo navidad (2) ej4 12" xfId="54" xr:uid="{D19CB68D-7675-436E-A9F9-E3EF856D60A0}"/>
    <cellStyle name="_Análisis de ARP diciembre 2009 v3_FCST Subsidy Handset 2010 (Mayo-Dic) 20100518 CT1000 $0 y CT500 $0-$699 v4 ER ejerc promo navidad (2) ej4 13" xfId="55" xr:uid="{D266CF3C-34E4-420C-8E6C-735E4EEF58A2}"/>
    <cellStyle name="_Análisis de ARP diciembre 2009 v3_FCST Subsidy Handset 2010 (Mayo-Dic) 20100518 CT1000 $0 y CT500 $0-$699 v4 ER ejerc promo navidad (2) ej4 14" xfId="56" xr:uid="{0556C337-F733-4473-84F2-673AF42BB320}"/>
    <cellStyle name="_Análisis de ARP diciembre 2009 v3_FCST Subsidy Handset 2010 (Mayo-Dic) 20100518 CT1000 $0 y CT500 $0-$699 v4 ER ejerc promo navidad (2) ej4 2" xfId="57" xr:uid="{137A450E-FE02-49FE-B5E4-650FBD119E62}"/>
    <cellStyle name="_Análisis de ARP diciembre 2009 v3_FCST Subsidy Handset 2010 (Mayo-Dic) 20100518 CT1000 $0 y CT500 $0-$699 v4 ER ejerc promo navidad (2) ej4 3" xfId="58" xr:uid="{75B71767-DBC2-4A72-91A9-6098A90AEFD8}"/>
    <cellStyle name="_Análisis de ARP diciembre 2009 v3_FCST Subsidy Handset 2010 (Mayo-Dic) 20100518 CT1000 $0 y CT500 $0-$699 v4 ER ejerc promo navidad (2) ej4 4" xfId="59" xr:uid="{3330720A-23B9-4813-BB60-95DAA29DFDC7}"/>
    <cellStyle name="_Análisis de ARP diciembre 2009 v3_FCST Subsidy Handset 2010 (Mayo-Dic) 20100518 CT1000 $0 y CT500 $0-$699 v4 ER ejerc promo navidad (2) ej4 5" xfId="60" xr:uid="{C2840CDB-D1F6-48A3-9CF4-38EAFE867FD5}"/>
    <cellStyle name="_Análisis de ARP diciembre 2009 v3_FCST Subsidy Handset 2010 (Mayo-Dic) 20100518 CT1000 $0 y CT500 $0-$699 v4 ER ejerc promo navidad (2) ej4 6" xfId="61" xr:uid="{BB8F8C12-59FE-4109-889C-32FCE6D8C0E7}"/>
    <cellStyle name="_Análisis de ARP diciembre 2009 v3_FCST Subsidy Handset 2010 (Mayo-Dic) 20100518 CT1000 $0 y CT500 $0-$699 v4 ER ejerc promo navidad (2) ej4 7" xfId="62" xr:uid="{AF2C1412-C418-4C0A-9556-4973723FC897}"/>
    <cellStyle name="_Análisis de ARP diciembre 2009 v3_FCST Subsidy Handset 2010 (Mayo-Dic) 20100518 CT1000 $0 y CT500 $0-$699 v4 ER ejerc promo navidad (2) ej4 8" xfId="63" xr:uid="{9960D007-7A59-4BA2-B245-DF986159BD57}"/>
    <cellStyle name="_Análisis de ARP diciembre 2009 v3_FCST Subsidy Handset 2010 (Mayo-Dic) 20100518 CT1000 $0 y CT500 $0-$699 v4 ER ejerc promo navidad (2) ej4 9" xfId="64" xr:uid="{EAF24DC2-920E-4EDC-84B1-3B4A480A062C}"/>
    <cellStyle name="_Base FCST Febrero" xfId="65" xr:uid="{3F69935D-77A7-4F9E-B1F8-BB9EEF0A1426}"/>
    <cellStyle name="_Base FCST Febrero_FCST Subsidy Handset 2010 (Abril-Dic) 20100401v5 ejercicio A final envío con cierre (3) v 4" xfId="66" xr:uid="{BEFD26FD-70EE-4B2F-A964-25AE0B0FC1BD}"/>
    <cellStyle name="_Base FCST Febrero_FCST Subsidy Handset 2010 (Abril-Dic) 20100401v5 ejercicio A final envío con cierre (3) v 4 10" xfId="67" xr:uid="{383B70FD-A0E4-4883-A225-EC26A9CD633D}"/>
    <cellStyle name="_Base FCST Febrero_FCST Subsidy Handset 2010 (Abril-Dic) 20100401v5 ejercicio A final envío con cierre (3) v 4 11" xfId="68" xr:uid="{955EF9E2-6608-4FAC-B2AC-034A17365828}"/>
    <cellStyle name="_Base FCST Febrero_FCST Subsidy Handset 2010 (Abril-Dic) 20100401v5 ejercicio A final envío con cierre (3) v 4 12" xfId="69" xr:uid="{3FED6D1B-B919-4788-BA51-B27DC40EB131}"/>
    <cellStyle name="_Base FCST Febrero_FCST Subsidy Handset 2010 (Abril-Dic) 20100401v5 ejercicio A final envío con cierre (3) v 4 13" xfId="70" xr:uid="{C450AF55-12B8-41CC-BCF2-A4D41DFFDDE1}"/>
    <cellStyle name="_Base FCST Febrero_FCST Subsidy Handset 2010 (Abril-Dic) 20100401v5 ejercicio A final envío con cierre (3) v 4 14" xfId="71" xr:uid="{6A19C0B1-5FAF-434A-8D73-1CBD9DCA56D5}"/>
    <cellStyle name="_Base FCST Febrero_FCST Subsidy Handset 2010 (Abril-Dic) 20100401v5 ejercicio A final envío con cierre (3) v 4 2" xfId="72" xr:uid="{96C6C470-EAE5-4004-9486-54E3C523ECD6}"/>
    <cellStyle name="_Base FCST Febrero_FCST Subsidy Handset 2010 (Abril-Dic) 20100401v5 ejercicio A final envío con cierre (3) v 4 3" xfId="73" xr:uid="{7E8BD5E0-A6CB-40C5-83DD-38DBE2B6FB80}"/>
    <cellStyle name="_Base FCST Febrero_FCST Subsidy Handset 2010 (Abril-Dic) 20100401v5 ejercicio A final envío con cierre (3) v 4 4" xfId="74" xr:uid="{E40CE3F9-3C80-40E8-8866-37F537B5B49C}"/>
    <cellStyle name="_Base FCST Febrero_FCST Subsidy Handset 2010 (Abril-Dic) 20100401v5 ejercicio A final envío con cierre (3) v 4 5" xfId="75" xr:uid="{28222172-47C0-4B73-A3FF-AD27A07EB82B}"/>
    <cellStyle name="_Base FCST Febrero_FCST Subsidy Handset 2010 (Abril-Dic) 20100401v5 ejercicio A final envío con cierre (3) v 4 6" xfId="76" xr:uid="{B5DF892B-5717-450B-B266-6CBDEB8C84A7}"/>
    <cellStyle name="_Base FCST Febrero_FCST Subsidy Handset 2010 (Abril-Dic) 20100401v5 ejercicio A final envío con cierre (3) v 4 7" xfId="77" xr:uid="{D61E1E99-723D-4F6D-BDE3-1058E85BF697}"/>
    <cellStyle name="_Base FCST Febrero_FCST Subsidy Handset 2010 (Abril-Dic) 20100401v5 ejercicio A final envío con cierre (3) v 4 8" xfId="78" xr:uid="{596663AB-9655-4596-A234-682441E013A9}"/>
    <cellStyle name="_Base FCST Febrero_FCST Subsidy Handset 2010 (Abril-Dic) 20100401v5 ejercicio A final envío con cierre (3) v 4 9" xfId="79" xr:uid="{CE9921A8-2F8E-4730-9273-53A8DAC9C672}"/>
    <cellStyle name="_Base FCST Febrero_FCST Subsidy Handset 2010 (Mayo-Dic) 20100518 CT1000 $0 y CT500 $0-$699 v4 ER ejerc promo navidad (2) ej4" xfId="80" xr:uid="{00B676A5-F342-4B72-B532-D983ED50628D}"/>
    <cellStyle name="_Base FCST Febrero_FCST Subsidy Handset 2010 (Mayo-Dic) 20100518 CT1000 $0 y CT500 $0-$699 v4 ER ejerc promo navidad (2) ej4 10" xfId="81" xr:uid="{7EDD407E-0F47-4837-99B7-3E59CD8D0359}"/>
    <cellStyle name="_Base FCST Febrero_FCST Subsidy Handset 2010 (Mayo-Dic) 20100518 CT1000 $0 y CT500 $0-$699 v4 ER ejerc promo navidad (2) ej4 11" xfId="82" xr:uid="{BF21A75A-9A71-4185-A554-D8658441FD89}"/>
    <cellStyle name="_Base FCST Febrero_FCST Subsidy Handset 2010 (Mayo-Dic) 20100518 CT1000 $0 y CT500 $0-$699 v4 ER ejerc promo navidad (2) ej4 12" xfId="83" xr:uid="{9D1FA955-5099-4AAA-94A0-309A2A5461C8}"/>
    <cellStyle name="_Base FCST Febrero_FCST Subsidy Handset 2010 (Mayo-Dic) 20100518 CT1000 $0 y CT500 $0-$699 v4 ER ejerc promo navidad (2) ej4 13" xfId="84" xr:uid="{29D86344-4D7A-4C8E-9590-F80005A1A1CE}"/>
    <cellStyle name="_Base FCST Febrero_FCST Subsidy Handset 2010 (Mayo-Dic) 20100518 CT1000 $0 y CT500 $0-$699 v4 ER ejerc promo navidad (2) ej4 14" xfId="85" xr:uid="{9ECBBB76-9EEC-47A6-A4DB-AC3F36A3396E}"/>
    <cellStyle name="_Base FCST Febrero_FCST Subsidy Handset 2010 (Mayo-Dic) 20100518 CT1000 $0 y CT500 $0-$699 v4 ER ejerc promo navidad (2) ej4 2" xfId="86" xr:uid="{95D73F6A-479E-4091-BBDE-F030DE191463}"/>
    <cellStyle name="_Base FCST Febrero_FCST Subsidy Handset 2010 (Mayo-Dic) 20100518 CT1000 $0 y CT500 $0-$699 v4 ER ejerc promo navidad (2) ej4 3" xfId="87" xr:uid="{861EBE24-0E6B-4FF4-A97D-9EFB6E14BD3E}"/>
    <cellStyle name="_Base FCST Febrero_FCST Subsidy Handset 2010 (Mayo-Dic) 20100518 CT1000 $0 y CT500 $0-$699 v4 ER ejerc promo navidad (2) ej4 4" xfId="88" xr:uid="{3B1A0D4C-EDD9-419A-A007-9ABFB741DD5B}"/>
    <cellStyle name="_Base FCST Febrero_FCST Subsidy Handset 2010 (Mayo-Dic) 20100518 CT1000 $0 y CT500 $0-$699 v4 ER ejerc promo navidad (2) ej4 5" xfId="89" xr:uid="{743BEE56-9956-42D9-9458-2B7478799B23}"/>
    <cellStyle name="_Base FCST Febrero_FCST Subsidy Handset 2010 (Mayo-Dic) 20100518 CT1000 $0 y CT500 $0-$699 v4 ER ejerc promo navidad (2) ej4 6" xfId="90" xr:uid="{6D43F55C-BD27-4578-B9EB-155F18A72BE9}"/>
    <cellStyle name="_Base FCST Febrero_FCST Subsidy Handset 2010 (Mayo-Dic) 20100518 CT1000 $0 y CT500 $0-$699 v4 ER ejerc promo navidad (2) ej4 7" xfId="91" xr:uid="{E9E16174-97A4-4B94-A9C0-D4BC7349DAAB}"/>
    <cellStyle name="_Base FCST Febrero_FCST Subsidy Handset 2010 (Mayo-Dic) 20100518 CT1000 $0 y CT500 $0-$699 v4 ER ejerc promo navidad (2) ej4 8" xfId="92" xr:uid="{C8635ACF-5747-4FCB-99B7-ACC7E617A66A}"/>
    <cellStyle name="_Base FCST Febrero_FCST Subsidy Handset 2010 (Mayo-Dic) 20100518 CT1000 $0 y CT500 $0-$699 v4 ER ejerc promo navidad (2) ej4 9" xfId="93" xr:uid="{3B022FB5-AF52-4227-BA55-A9AB52DB6C86}"/>
    <cellStyle name="_Base FCST Febrero_Mix y ARP 2010 v2" xfId="94" xr:uid="{BC33055A-F0D2-43F7-9C0F-6505CF41DBAA}"/>
    <cellStyle name="_Base FCST Febrero_Mix y ARP 2010 v2 10" xfId="95" xr:uid="{BA640D6E-3601-42F9-8D82-636E0BDC076C}"/>
    <cellStyle name="_Base FCST Febrero_Mix y ARP 2010 v2 11" xfId="96" xr:uid="{519729D1-083B-4EF0-8BC0-BC2E8E484AA2}"/>
    <cellStyle name="_Base FCST Febrero_Mix y ARP 2010 v2 12" xfId="97" xr:uid="{3060E378-A8DD-4FF7-B000-0D354A7C1D3F}"/>
    <cellStyle name="_Base FCST Febrero_Mix y ARP 2010 v2 13" xfId="98" xr:uid="{B4879FA9-7EE0-4B45-9EB0-D9B49F64F53B}"/>
    <cellStyle name="_Base FCST Febrero_Mix y ARP 2010 v2 14" xfId="99" xr:uid="{CE934256-4C4A-4A7B-B60D-237BA6DD6EAF}"/>
    <cellStyle name="_Base FCST Febrero_Mix y ARP 2010 v2 2" xfId="100" xr:uid="{576A8D60-6A17-4DB3-9477-1AB1F90CFAD0}"/>
    <cellStyle name="_Base FCST Febrero_Mix y ARP 2010 v2 3" xfId="101" xr:uid="{CB8B7EF0-6C76-4FCC-84EA-D24D20BADA1E}"/>
    <cellStyle name="_Base FCST Febrero_Mix y ARP 2010 v2 4" xfId="102" xr:uid="{B11BDADC-FECD-452D-9DD5-2D495106E8ED}"/>
    <cellStyle name="_Base FCST Febrero_Mix y ARP 2010 v2 5" xfId="103" xr:uid="{7F635143-44E0-407B-97CE-4EE634B7B273}"/>
    <cellStyle name="_Base FCST Febrero_Mix y ARP 2010 v2 6" xfId="104" xr:uid="{3A7239EC-B3E6-47F8-8E65-E0AF56706040}"/>
    <cellStyle name="_Base FCST Febrero_Mix y ARP 2010 v2 7" xfId="105" xr:uid="{17CCAAF2-8113-4FC5-87F4-5B1A19345C2B}"/>
    <cellStyle name="_Base FCST Febrero_Mix y ARP 2010 v2 8" xfId="106" xr:uid="{233DEC65-80F4-485E-BD1B-2B0BA145F42D}"/>
    <cellStyle name="_Base FCST Febrero_Mix y ARP 2010 v2 9" xfId="107" xr:uid="{9DC598E0-9A55-456A-9BC0-8E0195D7D1A7}"/>
    <cellStyle name="_Copia de Mexico Q4 2006 FAS 109_Quickplace 01.24.07" xfId="108" xr:uid="{DC0FAFA7-8A49-4E5D-9E21-3C9FDC22388B}"/>
    <cellStyle name="_D.F." xfId="109" xr:uid="{987F7959-8605-4DD7-A800-9012F962C441}"/>
    <cellStyle name="_D.F._FCST Subsidy Handset 2010 (Abril-Dic) 20100401v5 ejercicio A final envío con cierre (3) v 4" xfId="110" xr:uid="{666D47DA-975E-4327-BC38-1FFF54EF3892}"/>
    <cellStyle name="_D.F._FCST Subsidy Handset 2010 (Abril-Dic) 20100401v5 ejercicio A final envío con cierre (3) v 4 10" xfId="111" xr:uid="{98F2C6C9-380F-4D1B-B047-7D7D90AB0B26}"/>
    <cellStyle name="_D.F._FCST Subsidy Handset 2010 (Abril-Dic) 20100401v5 ejercicio A final envío con cierre (3) v 4 11" xfId="112" xr:uid="{6D8361CB-9C44-490D-B324-53EEC4E7B404}"/>
    <cellStyle name="_D.F._FCST Subsidy Handset 2010 (Abril-Dic) 20100401v5 ejercicio A final envío con cierre (3) v 4 12" xfId="113" xr:uid="{1186D452-F20F-4479-8ED9-E9F2B09DDFAA}"/>
    <cellStyle name="_D.F._FCST Subsidy Handset 2010 (Abril-Dic) 20100401v5 ejercicio A final envío con cierre (3) v 4 13" xfId="114" xr:uid="{E7776508-988C-4175-AFB5-6D31BEB7FDB6}"/>
    <cellStyle name="_D.F._FCST Subsidy Handset 2010 (Abril-Dic) 20100401v5 ejercicio A final envío con cierre (3) v 4 14" xfId="115" xr:uid="{685B3EA1-8C70-4CD3-A7D8-E60728547E2A}"/>
    <cellStyle name="_D.F._FCST Subsidy Handset 2010 (Abril-Dic) 20100401v5 ejercicio A final envío con cierre (3) v 4 2" xfId="116" xr:uid="{39B17434-7F8F-410F-B2D9-24C03528A4DA}"/>
    <cellStyle name="_D.F._FCST Subsidy Handset 2010 (Abril-Dic) 20100401v5 ejercicio A final envío con cierre (3) v 4 3" xfId="117" xr:uid="{DFB6A249-239E-4F9D-9B52-41990C8F5ABA}"/>
    <cellStyle name="_D.F._FCST Subsidy Handset 2010 (Abril-Dic) 20100401v5 ejercicio A final envío con cierre (3) v 4 4" xfId="118" xr:uid="{126E2FEE-C26D-4473-8CD9-7301FA00DE1B}"/>
    <cellStyle name="_D.F._FCST Subsidy Handset 2010 (Abril-Dic) 20100401v5 ejercicio A final envío con cierre (3) v 4 5" xfId="119" xr:uid="{0A6918FC-1DE4-457F-AD73-E3E8E144A0AA}"/>
    <cellStyle name="_D.F._FCST Subsidy Handset 2010 (Abril-Dic) 20100401v5 ejercicio A final envío con cierre (3) v 4 6" xfId="120" xr:uid="{9F0ACF96-D29A-4466-91CD-0F97805CED9F}"/>
    <cellStyle name="_D.F._FCST Subsidy Handset 2010 (Abril-Dic) 20100401v5 ejercicio A final envío con cierre (3) v 4 7" xfId="121" xr:uid="{0B3F5222-7726-440A-8067-CC84FE71875C}"/>
    <cellStyle name="_D.F._FCST Subsidy Handset 2010 (Abril-Dic) 20100401v5 ejercicio A final envío con cierre (3) v 4 8" xfId="122" xr:uid="{DB6C01EA-38B6-43DF-96D7-29AD1A83B98C}"/>
    <cellStyle name="_D.F._FCST Subsidy Handset 2010 (Abril-Dic) 20100401v5 ejercicio A final envío con cierre (3) v 4 9" xfId="123" xr:uid="{4EB77156-23E2-4A4E-9E3C-C9B676722F32}"/>
    <cellStyle name="_D.F._FCST Subsidy Handset 2010 (Mayo-Dic) 20100518 CT1000 $0 y CT500 $0-$699 v4 ER ejerc promo navidad (2) ej4" xfId="124" xr:uid="{36861A70-DCFC-414D-9A8D-386681B4BF98}"/>
    <cellStyle name="_D.F._FCST Subsidy Handset 2010 (Mayo-Dic) 20100518 CT1000 $0 y CT500 $0-$699 v4 ER ejerc promo navidad (2) ej4 10" xfId="125" xr:uid="{F4C387F7-5B62-461D-8826-9ECB3415CEC2}"/>
    <cellStyle name="_D.F._FCST Subsidy Handset 2010 (Mayo-Dic) 20100518 CT1000 $0 y CT500 $0-$699 v4 ER ejerc promo navidad (2) ej4 11" xfId="126" xr:uid="{47F30691-9415-4997-8D8D-D8B6260587C5}"/>
    <cellStyle name="_D.F._FCST Subsidy Handset 2010 (Mayo-Dic) 20100518 CT1000 $0 y CT500 $0-$699 v4 ER ejerc promo navidad (2) ej4 12" xfId="127" xr:uid="{355B6B04-E707-40A7-B061-B109531D9DC0}"/>
    <cellStyle name="_D.F._FCST Subsidy Handset 2010 (Mayo-Dic) 20100518 CT1000 $0 y CT500 $0-$699 v4 ER ejerc promo navidad (2) ej4 13" xfId="128" xr:uid="{50DD9887-BE19-4215-821B-CBCE970B567F}"/>
    <cellStyle name="_D.F._FCST Subsidy Handset 2010 (Mayo-Dic) 20100518 CT1000 $0 y CT500 $0-$699 v4 ER ejerc promo navidad (2) ej4 14" xfId="129" xr:uid="{B6B0BCCE-977B-45DD-AA7F-770F5B3BAC02}"/>
    <cellStyle name="_D.F._FCST Subsidy Handset 2010 (Mayo-Dic) 20100518 CT1000 $0 y CT500 $0-$699 v4 ER ejerc promo navidad (2) ej4 2" xfId="130" xr:uid="{0F8058DF-83B3-4F45-B965-68EF54C513D9}"/>
    <cellStyle name="_D.F._FCST Subsidy Handset 2010 (Mayo-Dic) 20100518 CT1000 $0 y CT500 $0-$699 v4 ER ejerc promo navidad (2) ej4 3" xfId="131" xr:uid="{6E8D1A45-019D-4EB1-8DC2-E61029EC2CB4}"/>
    <cellStyle name="_D.F._FCST Subsidy Handset 2010 (Mayo-Dic) 20100518 CT1000 $0 y CT500 $0-$699 v4 ER ejerc promo navidad (2) ej4 4" xfId="132" xr:uid="{D9D6A99C-12E5-4699-9132-9C189B32C6EA}"/>
    <cellStyle name="_D.F._FCST Subsidy Handset 2010 (Mayo-Dic) 20100518 CT1000 $0 y CT500 $0-$699 v4 ER ejerc promo navidad (2) ej4 5" xfId="133" xr:uid="{82F0E7A0-8797-4575-8F83-3B65A7EDCCF0}"/>
    <cellStyle name="_D.F._FCST Subsidy Handset 2010 (Mayo-Dic) 20100518 CT1000 $0 y CT500 $0-$699 v4 ER ejerc promo navidad (2) ej4 6" xfId="134" xr:uid="{ED685559-D4A4-4E5A-9AA0-77AC3DFE202A}"/>
    <cellStyle name="_D.F._FCST Subsidy Handset 2010 (Mayo-Dic) 20100518 CT1000 $0 y CT500 $0-$699 v4 ER ejerc promo navidad (2) ej4 7" xfId="135" xr:uid="{5AD9B4E1-B2F4-410B-81EE-B8442A19566B}"/>
    <cellStyle name="_D.F._FCST Subsidy Handset 2010 (Mayo-Dic) 20100518 CT1000 $0 y CT500 $0-$699 v4 ER ejerc promo navidad (2) ej4 8" xfId="136" xr:uid="{4D676E26-FEF4-4282-941C-6C191616073C}"/>
    <cellStyle name="_D.F._FCST Subsidy Handset 2010 (Mayo-Dic) 20100518 CT1000 $0 y CT500 $0-$699 v4 ER ejerc promo navidad (2) ej4 9" xfId="137" xr:uid="{9E733DCD-3843-4154-BA30-E55365E62307}"/>
    <cellStyle name="_D.F._Mix y ARP 2010 v2" xfId="138" xr:uid="{D21D825B-3438-4ABB-8E3D-4EEF04921AEA}"/>
    <cellStyle name="_D.F._Mix y ARP 2010 v2 10" xfId="139" xr:uid="{A1BCCFDE-41A3-4599-946E-51246D46F9C7}"/>
    <cellStyle name="_D.F._Mix y ARP 2010 v2 11" xfId="140" xr:uid="{BF38A17E-7588-49AD-A703-BA6BA4B103F5}"/>
    <cellStyle name="_D.F._Mix y ARP 2010 v2 12" xfId="141" xr:uid="{0AD437BE-B77F-472E-8BF7-ACC70845BD2F}"/>
    <cellStyle name="_D.F._Mix y ARP 2010 v2 13" xfId="142" xr:uid="{082702FD-EAA2-45D2-B768-72CD2C50208D}"/>
    <cellStyle name="_D.F._Mix y ARP 2010 v2 14" xfId="143" xr:uid="{7060DB31-FF67-4C3C-96F2-0E87E573307B}"/>
    <cellStyle name="_D.F._Mix y ARP 2010 v2 2" xfId="144" xr:uid="{7775588D-043B-490D-B093-9B50D943460B}"/>
    <cellStyle name="_D.F._Mix y ARP 2010 v2 3" xfId="145" xr:uid="{C9C4F2F7-E617-419C-8557-7DBBEBD45A12}"/>
    <cellStyle name="_D.F._Mix y ARP 2010 v2 4" xfId="146" xr:uid="{0C279138-ABBA-46F4-BA69-F53CA78C9513}"/>
    <cellStyle name="_D.F._Mix y ARP 2010 v2 5" xfId="147" xr:uid="{DEBFA226-53F5-4650-87F8-7F3FFDABAA4C}"/>
    <cellStyle name="_D.F._Mix y ARP 2010 v2 6" xfId="148" xr:uid="{30C368E8-6576-4ADF-ACFE-5039560E11ED}"/>
    <cellStyle name="_D.F._Mix y ARP 2010 v2 7" xfId="149" xr:uid="{30F2B1EB-768A-4741-A981-5127C1526951}"/>
    <cellStyle name="_D.F._Mix y ARP 2010 v2 8" xfId="150" xr:uid="{03F0DDE2-9B9E-404F-A9F8-ABD219925521}"/>
    <cellStyle name="_D.F._Mix y ARP 2010 v2 9" xfId="151" xr:uid="{8E1848FF-B1F5-45CF-BBC1-95A6E3FF40F8}"/>
    <cellStyle name="_FCST subsidio 2008 scnV (Jan pricing) var" xfId="152" xr:uid="{2B773854-A0A9-4EC0-BBDE-54703F84DFBA}"/>
    <cellStyle name="_FCST subsidio 2008 scnV (Jan pricing) var 10" xfId="153" xr:uid="{75226F3E-33B6-4606-93BB-EB6A147898AC}"/>
    <cellStyle name="_FCST subsidio 2008 scnV (Jan pricing) var 11" xfId="154" xr:uid="{8AF2C88C-E9E7-49BD-A0E8-6CCC5F10D3C7}"/>
    <cellStyle name="_FCST subsidio 2008 scnV (Jan pricing) var 12" xfId="155" xr:uid="{494AF7ED-766F-48F7-B55C-217DE253A4FA}"/>
    <cellStyle name="_FCST subsidio 2008 scnV (Jan pricing) var 13" xfId="156" xr:uid="{3151AA46-C927-4E65-97B7-D045DF5A0A1C}"/>
    <cellStyle name="_FCST subsidio 2008 scnV (Jan pricing) var 14" xfId="157" xr:uid="{4CBDD627-3A5C-4630-9839-C69CFFA2A077}"/>
    <cellStyle name="_FCST subsidio 2008 scnV (Jan pricing) var 2" xfId="158" xr:uid="{AEDEDAE8-FD90-4DC9-AE61-B34E469CDBC2}"/>
    <cellStyle name="_FCST subsidio 2008 scnV (Jan pricing) var 3" xfId="159" xr:uid="{1F2E6799-1A32-4B7D-8AAB-8DCEE7301045}"/>
    <cellStyle name="_FCST subsidio 2008 scnV (Jan pricing) var 4" xfId="160" xr:uid="{1606CF1C-6609-45BC-A8BD-3A8AC1089774}"/>
    <cellStyle name="_FCST subsidio 2008 scnV (Jan pricing) var 5" xfId="161" xr:uid="{C829E4A1-81A3-4565-AB2D-ACB395E36F1C}"/>
    <cellStyle name="_FCST subsidio 2008 scnV (Jan pricing) var 6" xfId="162" xr:uid="{070DB506-1B6A-4C39-AA03-DF48E0D90EAC}"/>
    <cellStyle name="_FCST subsidio 2008 scnV (Jan pricing) var 7" xfId="163" xr:uid="{F89040B5-BBFF-40AC-9629-C6C74D927099}"/>
    <cellStyle name="_FCST subsidio 2008 scnV (Jan pricing) var 8" xfId="164" xr:uid="{F0CF1E28-D70A-45AC-B014-4FC4583E86DB}"/>
    <cellStyle name="_FCST subsidio 2008 scnV (Jan pricing) var 9" xfId="165" xr:uid="{4B222D66-41D8-4B4C-A0CF-80CCA89A3641}"/>
    <cellStyle name="_FCST subsidio 2008 scnV (Jan pricing) var_20090810 Inventario GA" xfId="166" xr:uid="{3E5FBB25-E908-470D-BCAB-FACFD640EB73}"/>
    <cellStyle name="_FCST subsidio 2008 scnV (Jan pricing) var_200909028 Inventario GA" xfId="167" xr:uid="{95688084-BE45-492E-9E9E-0F109E7DBD02}"/>
    <cellStyle name="_FCST subsidio 2008 scnV (Jan pricing) var_20091005 Inventario GA" xfId="168" xr:uid="{8BB56FEC-C055-4C8B-A4AB-C5D4F685DF62}"/>
    <cellStyle name="_FCST subsidio 2008 scnV (Jan pricing) var_20091026 Inventario GA (2)" xfId="169" xr:uid="{9F4DB94D-9AE5-458B-AFC6-4955D217A651}"/>
    <cellStyle name="_FCST subsidio 2008 scnV (Jan pricing) var_20091103 Inventario GA" xfId="170" xr:uid="{A3986A77-D962-48F7-89A0-746229514E3C}"/>
    <cellStyle name="_FCST subsidio 2008 scnV (Jan pricing) var_20091109 Inventario GA" xfId="171" xr:uid="{8E9D4DB7-1AFA-47ED-B909-A3A8165918B9}"/>
    <cellStyle name="_FCST subsidio 2008 scnV (Jan pricing) var_20091130 Inventario GA" xfId="172" xr:uid="{3784D404-92C4-4B8F-A504-0E0845E21394}"/>
    <cellStyle name="_FCST subsidio 2008 scnV (Jan pricing) var_20091207 Inventario GA" xfId="173" xr:uid="{3E4033A6-4786-46CC-9FB4-A351A6407AC9}"/>
    <cellStyle name="_FCST subsidio 2008 scnV (Jan pricing) var_20100104 Inventario GA" xfId="174" xr:uid="{4DDB579E-60DA-41E3-BFDC-8B6A14959B96}"/>
    <cellStyle name="_FCST subsidio 2008 scnV (Jan pricing) var_20100111 Inventario GA" xfId="175" xr:uid="{36E02C7A-7F11-432D-A1FE-28B6E1B754EA}"/>
    <cellStyle name="_FCST subsidio 2008 scnV (Jan pricing) var_20100118 Inventario GA" xfId="176" xr:uid="{FD87E487-4028-44A5-B000-0202A613F31D}"/>
    <cellStyle name="_FCST subsidio 2008 scnV (Jan pricing) var_20100125 Inventario GA" xfId="177" xr:uid="{9F276C76-D0A0-47FB-BF0E-D806F009D1F8}"/>
    <cellStyle name="_FCST subsidio 2008 scnV (Jan pricing) var_20100202 Cierre Enero Inventario GA" xfId="178" xr:uid="{27CE6507-B482-427C-8C5F-71D715DCBDAF}"/>
    <cellStyle name="_FCST subsidio 2008 scnV (Jan pricing) var_20100205 Inventario GA" xfId="179" xr:uid="{79A6870A-E16C-4D02-A04D-0EE27829FE88}"/>
    <cellStyle name="_FCST subsidio 2008 scnV (Jan pricing) var_20100212 Inventario GA" xfId="180" xr:uid="{58D55C98-A792-4DFD-9DB9-DFF8A12C88DC}"/>
    <cellStyle name="_FCST subsidio 2008 scnV (Jan pricing) var_20100219 Inventario GA" xfId="181" xr:uid="{CE1F1F76-D969-4432-823D-4B555B8E1956}"/>
    <cellStyle name="_FCST subsidio 2008 scnV (Jan pricing) var_20100226 Inventario GA" xfId="182" xr:uid="{0997818F-53FD-436F-96D7-CBAC86E9E229}"/>
    <cellStyle name="_FCST subsidio 2008 scnV (Jan pricing) var_20100301 Cierre Febrero Inventario GA" xfId="183" xr:uid="{E6C58816-C52C-43B7-B7ED-C80069F28D59}"/>
    <cellStyle name="_FCST subsidio 2008 scnV (Jan pricing) var_20100305 Inventario GA" xfId="184" xr:uid="{EE65999A-D2CC-4125-8853-602C28FDEEDC}"/>
    <cellStyle name="_FCST subsidio 2008 scnV (Jan pricing) var_20100308 Inventario GA" xfId="185" xr:uid="{51707392-9859-4DE4-8ED4-3A0485B3D3D2}"/>
    <cellStyle name="_FCST subsidio 2008 scnV (Jan pricing) var_20100312 Inventario GA" xfId="186" xr:uid="{6CA3A4BB-8243-450C-A78A-A4B154990C16}"/>
    <cellStyle name="_FCST subsidio 2008 scnV (Jan pricing) var_20100322 Inventario GA" xfId="187" xr:uid="{D394CBAF-C55E-406E-955E-D6DA9D93B3BF}"/>
    <cellStyle name="_FCST subsidio 2008 scnV (Jan pricing) var_20100329 Inventario GA" xfId="188" xr:uid="{97A4AF84-D5EA-4ABA-A7F9-179633633F1D}"/>
    <cellStyle name="_FCST subsidio 2008 scnV (Jan pricing) var_20100331 Inventario GA" xfId="189" xr:uid="{723AFEBC-B732-464B-8851-2407B5E85A25}"/>
    <cellStyle name="_FCST subsidio 2008 scnV (Jan pricing) var_20100405 Cierre Marzo Inventario GA" xfId="190" xr:uid="{9B9318A4-7E93-4B0A-B476-C92C577CFA79}"/>
    <cellStyle name="_FCST subsidio 2008 scnV (Jan pricing) var_20100409 Inventario GA" xfId="191" xr:uid="{5874773F-F9FC-452F-A76B-533413C9F424}"/>
    <cellStyle name="_FCST subsidio 2008 scnV (Jan pricing) var_20100416 Inventario GA" xfId="192" xr:uid="{AA2975C2-655F-43D9-A12F-7DB68EC383C0}"/>
    <cellStyle name="_FCST subsidio 2008 scnV (Jan pricing) var_20100423 Inventario GA" xfId="193" xr:uid="{6E5B5084-0E78-4A53-9F9B-5AD632E20F8E}"/>
    <cellStyle name="_FCST subsidio 2008 scnV (Jan pricing) var_20100430 Inventario GA" xfId="194" xr:uid="{2DA0A3F2-6744-4C3F-9070-A2ED80573C6E}"/>
    <cellStyle name="_FCST subsidio 2008 scnV (Jan pricing) var_20100503 Inventario GA cierre Abril 2010" xfId="195" xr:uid="{98A4421B-9658-42DF-BBFA-CA8C4C3F3CA1}"/>
    <cellStyle name="_FCST subsidio 2008 scnV (Jan pricing) var_20100507 Inventario GA" xfId="196" xr:uid="{1C202D96-BDCD-4528-8262-BF31C6913616}"/>
    <cellStyle name="_FCST subsidio 2008 scnV (Jan pricing) var_20100514 Inventario GA" xfId="197" xr:uid="{32BBA125-D1BC-420F-8D8B-9415AE093C97}"/>
    <cellStyle name="_FCST subsidio 2008 scnV (Jan pricing) var_20100521 Inventario GA" xfId="198" xr:uid="{3621571E-5763-4B3B-9883-1600A362021A}"/>
    <cellStyle name="_FCST subsidio 2008 scnV (Jan pricing) var_20100528 Inventario GA" xfId="199" xr:uid="{19CDC272-781B-4E92-BB6C-7683AEDFEDFF}"/>
    <cellStyle name="_FCST subsidio 2008 scnV (Jan pricing) var_20100604 Inventario GA" xfId="200" xr:uid="{786B83E2-8A09-44EF-9A39-43F0B75719E2}"/>
    <cellStyle name="_FCST subsidio 2008 scnV (Jan pricing) var_20100611 Inventario GA" xfId="201" xr:uid="{B6E01784-E3C7-413A-A8AB-D054C5266AC4}"/>
    <cellStyle name="_FCST subsidio 2008 scnV (Jan pricing) var_Copia de Weekly Producto-Accesorios (20091026)" xfId="202" xr:uid="{84F20F5C-2E45-4F87-BE67-C7645B64293C}"/>
    <cellStyle name="_FCST subsidio 2008 scnV (Jan pricing) var_Copia de Weekly Producto-Accesorios (20091109)" xfId="203" xr:uid="{48127B27-B575-4651-AABD-867F10A9BC31}"/>
    <cellStyle name="_FCST subsidio 2008 scnV (Jan pricing) var_Subsidio 20090810" xfId="204" xr:uid="{7657E152-7415-4C90-A4CC-0106857FF601}"/>
    <cellStyle name="_FCST subsidio 2008 scnV (Jan pricing) var_Weekly Producto-Accesorios (20090810)1" xfId="205" xr:uid="{B3DA83A4-C8A6-4264-88B7-73B5451578E3}"/>
    <cellStyle name="_FCST subsidio 2008 scnV (Jan pricing) var_Weekly Producto-Accesorios (20090928)1" xfId="206" xr:uid="{785FC23A-8894-45D9-9238-6A4DB3DA17DF}"/>
    <cellStyle name="_FCST subsidio 2008 scnV (Jan pricing) var_Weekly Producto-Accesorios (20090928)2 (2)" xfId="207" xr:uid="{7D462D05-8659-4609-B948-9A24D9A92094}"/>
    <cellStyle name="_FCST subsidio 2008 scnV (Jan pricing) var_Weekly Producto-Accesorios (20091026)1" xfId="208" xr:uid="{DD848DD3-18C9-4F11-A91B-356D83209BDE}"/>
    <cellStyle name="_FCST subsidio 2008 scnV (Jan pricing) var_Weekly Producto-Accesorios (20091103)1" xfId="209" xr:uid="{AA89A818-8356-4FD3-99C5-4CE271A2AF64}"/>
    <cellStyle name="_FCST subsidio 2008 scnV (Jan pricing) var_Weekly Producto-Accesorios (20091109)1" xfId="210" xr:uid="{941315F9-8101-478D-BD59-1F44CEABFC7B}"/>
    <cellStyle name="_FCST subsidio 2008 scnV (Jan pricing) var_Weekly Producto-Accesorios (20091130)" xfId="211" xr:uid="{8CCE65F9-76C2-42D3-8E4D-CF10CD0F7DE3}"/>
    <cellStyle name="_FCST subsidio 2008 scnV (Jan pricing) var_Weekly Producto-Accesorios (20091130)1" xfId="212" xr:uid="{A7431262-CC99-4B3E-8756-BC44D4B730AF}"/>
    <cellStyle name="_FCST subsidio 2008 scnV (Jan pricing) var_Weekly Producto-Accesorios (20091221)" xfId="213" xr:uid="{DE89118A-CD30-453C-8A84-881CE5C5B76D}"/>
    <cellStyle name="_FCST subsidio 2008 scnV (Jan pricing) var_Weekly Producto-Accesorios (20100104)1" xfId="214" xr:uid="{D73B26FF-1767-40C6-AD41-6A22381939DF}"/>
    <cellStyle name="_FCST subsidio 2008 scnV (Jan pricing) var_Weekly Producto-Accesorios (20100111)1" xfId="215" xr:uid="{632257CC-0188-47C6-9FBB-37DD8B851908}"/>
    <cellStyle name="_FCST subsidio 2008 scnV (Jan pricing) var_Weekly Producto-Accesorios (20100111)2" xfId="216" xr:uid="{617EF838-08F3-49CE-A352-C2F3FEE9FEDB}"/>
    <cellStyle name="_FCST subsidio 2008 scnV (Jan pricing) var_Weekly Producto-Accesorios (20100118)" xfId="217" xr:uid="{AD8A48CD-CB2B-4EE7-B96B-11A2B251C543}"/>
    <cellStyle name="_FCST subsidio 2008 scnV (Jan pricing) var_Weekly Producto-Accesorios (20100118)1" xfId="218" xr:uid="{45D22C23-746E-4ED1-85A5-13708E7C9726}"/>
    <cellStyle name="_FCST subsidio 2008 scnV (Jan pricing) var_Weekly Producto-Accesorios (20100125) tzip itzia" xfId="219" xr:uid="{32C29C2A-88B8-4006-BF6B-5A2B80F6B5A3}"/>
    <cellStyle name="_FCST subsidio 2008 scnV (Jan pricing) var_Weekly Producto-Accesorios (20100125)2" xfId="220" xr:uid="{DB63ED2F-0F9F-443F-B92A-022101EF80B0}"/>
    <cellStyle name="_FCST subsidio 2008 scnV (Jan pricing) var_Weekly Producto-Accesorios (20100202)1" xfId="221" xr:uid="{BEA1B79C-AB2B-4728-AF5F-DF9BC8A54DC2}"/>
    <cellStyle name="_FCST subsidio 2008 scnV (Jan pricing) var_Weekly Producto-Accesorios (20100202)2" xfId="222" xr:uid="{F34461A8-E0B3-4968-B611-EA277B6ED91D}"/>
    <cellStyle name="_FCST subsidio 2008 scnV (Jan pricing) var_Weekly Producto-Accesorios (20100208)" xfId="223" xr:uid="{1DFE6C80-8D45-49C5-B1BD-E7DB9297D810}"/>
    <cellStyle name="_FCST subsidio 2008 scnV (Jan pricing) var_Weekly Producto-Accesorios (20100208)1" xfId="224" xr:uid="{75B76F2B-9B31-4B1D-8049-1283B82B6780}"/>
    <cellStyle name="_FCST subsidio 2008 scnV (Jan pricing) var_Weekly Producto-Accesorios (20100215)1" xfId="225" xr:uid="{CF45641C-E8FD-4E88-9212-377CC090A510}"/>
    <cellStyle name="_FCST subsidio 2008 scnV (Jan pricing) var_Weekly Producto-Accesorios (20100215)2" xfId="226" xr:uid="{C0BCC238-08D5-406F-BA50-D233C38CC3EE}"/>
    <cellStyle name="_FCST subsidio 2008 scnV (Jan pricing) var_Weekly Producto-Accesorios (20100222)" xfId="227" xr:uid="{035EE119-101C-4FF2-8F6A-D2D1C331EE0D}"/>
    <cellStyle name="_FCST subsidio 2008 scnV (Jan pricing) var_Weekly Producto-Accesorios (20100222)1" xfId="228" xr:uid="{35E16752-BD83-410C-8625-48333C7A79DB}"/>
    <cellStyle name="_FCST subsidio 2008 scnV (Jan pricing) var_Weekly Producto-Accesorios (20100301)" xfId="229" xr:uid="{A35D3991-FE37-453B-A72E-DF1CDB08D552}"/>
    <cellStyle name="_FCST subsidio 2008 scnV (Jan pricing) var_Weekly Producto-Accesorios (20100301)1" xfId="230" xr:uid="{E7523883-062F-4A87-A8AC-B683CB2BA5E2}"/>
    <cellStyle name="_FCST subsidio 2008 scnV (Jan pricing) var_Weekly Producto-Accesorios (20100301)2" xfId="231" xr:uid="{DAE67CF9-AAD0-4E8A-9269-748C7654E162}"/>
    <cellStyle name="_FCST subsidio 2008 scnV (Jan pricing) var_Weekly Producto-Accesorios (20100308)1" xfId="232" xr:uid="{545AC8BE-9B56-49F3-A16E-50FA80BEDF6B}"/>
    <cellStyle name="_FCST subsidio 2008 scnV (Jan pricing) var_Weekly Producto-Accesorios (20100308)2" xfId="233" xr:uid="{C9BECAE3-ED6E-445B-BF6D-57B8354D1C7C}"/>
    <cellStyle name="_FCST subsidio 2008 scnV (Jan pricing) var_Weekly Producto-Accesorios (20100308)v2" xfId="234" xr:uid="{775F706A-2D70-4D2D-9A8E-9F46B78E3220}"/>
    <cellStyle name="_FCST subsidio 2008 scnV (Jan pricing) var_Weekly Producto-Accesorios (20100316)" xfId="235" xr:uid="{07E2659C-FF86-4582-8855-6C470D1B6C44}"/>
    <cellStyle name="_FCST subsidio 2008 scnV (Jan pricing) var_Weekly Producto-Accesorios (20100316)1" xfId="236" xr:uid="{3854C3CB-D1CB-436B-A00D-C464AC46C76B}"/>
    <cellStyle name="_FCST subsidio 2008 scnV (Jan pricing) var_Weekly Producto-Accesorios (20100322)" xfId="237" xr:uid="{803346DF-E4DB-46DA-B9F1-5FA1F8C7EFE8}"/>
    <cellStyle name="_FCST subsidio 2008 scnV (Jan pricing) var_Weekly Producto-Accesorios (20100322)1" xfId="238" xr:uid="{06BECD22-2905-447E-AE29-36F82B4D5370}"/>
    <cellStyle name="_FCST subsidio 2008 scnV (Jan pricing) var_Weekly Producto-Accesorios (20100329)" xfId="239" xr:uid="{5504E132-0316-4032-9B68-7180E565D83E}"/>
    <cellStyle name="_FCST subsidio 2008 scnV (Jan pricing) var_Weekly Producto-Accesorios (20100329)1" xfId="240" xr:uid="{BFC18598-4F08-4BDC-8A30-512F0FDD466F}"/>
    <cellStyle name="_FCST subsidio 2008 scnV (Jan pricing) var_Weekly Producto-Accesorios (20100405)" xfId="241" xr:uid="{2D263835-1309-48BF-BDE6-812060BD1D8C}"/>
    <cellStyle name="_FCST subsidio 2008 scnV (Jan pricing) var_Weekly Producto-Accesorios (20100405)1" xfId="242" xr:uid="{654E6815-ACAB-4D60-BF93-49A6F4DCFB4B}"/>
    <cellStyle name="_FCST subsidio 2008 scnV (Jan pricing) var_Weekly Producto-Accesorios (20100412)" xfId="243" xr:uid="{F08F1880-66BC-49F4-B889-A02CEC75F78E}"/>
    <cellStyle name="_FCST subsidio 2008 scnV (Jan pricing) var_Weekly Producto-Accesorios (20100412)1" xfId="244" xr:uid="{CBE0BE79-5D60-4410-AA82-CA5282F418B6}"/>
    <cellStyle name="_FCST subsidio 2008 scnV (Jan pricing) var_Weekly Producto-Accesorios (20100419)" xfId="245" xr:uid="{DC4B3B44-92B1-4783-9F7C-E7855DE6E032}"/>
    <cellStyle name="_FCST subsidio 2008 scnV (Jan pricing) var_Weekly Producto-Accesorios (20100419)1" xfId="246" xr:uid="{31A2393E-5B19-447E-8D51-333279057411}"/>
    <cellStyle name="_FCST subsidio 2008 scnV (Jan pricing) var_Weekly Producto-Accesorios (20100426)" xfId="247" xr:uid="{4A18A09B-7212-4D42-8E88-39EDB43FA7A2}"/>
    <cellStyle name="_FCST subsidio 2008 scnV (Jan pricing) var_Weekly Producto-Accesorios (20100426)1" xfId="248" xr:uid="{CC2EEC9E-3BAC-4080-9B4A-5FA7BCCB365D}"/>
    <cellStyle name="_FCST subsidio 2008 scnV (Jan pricing) var_Weekly Producto-Accesorios (20100503)1" xfId="249" xr:uid="{E40408F0-35A6-417A-97D9-96DB389764F8}"/>
    <cellStyle name="_FCST subsidio 2008 scnV (Jan pricing) var_Weekly Producto-Accesorios (20100503)2" xfId="250" xr:uid="{A44FA6FE-5C2A-4E15-9333-9E2920C0795A}"/>
    <cellStyle name="_FCST subsidio 2008 scnV (Jan pricing) var_Weekly Producto-Accesorios (20100510)" xfId="251" xr:uid="{471ABEF0-F98B-440C-8D08-20B47427D01B}"/>
    <cellStyle name="_FCST subsidio 2008 scnV (Jan pricing) var_Weekly Producto-Accesorios (20100510)1" xfId="252" xr:uid="{6BBA72E7-99EF-451E-B00B-61755268D506}"/>
    <cellStyle name="_FCST subsidio 2008 scnV (Jan pricing) var_Weekly Producto-Accesorios (20100517)" xfId="253" xr:uid="{31D1BC16-96EC-4BD4-A2B2-9489E312CD5B}"/>
    <cellStyle name="_FCST subsidio 2008 scnV (Jan pricing) var_Weekly Producto-Accesorios (20100517)1" xfId="254" xr:uid="{116715DD-A076-47D7-9B20-D8F6FC35325E}"/>
    <cellStyle name="_FCST subsidio 2008 scnV (Jan pricing) var_Weekly Producto-Accesorios (20100524)" xfId="255" xr:uid="{C6309F9F-7D3D-4ED2-9AD1-1FF7EDA155EE}"/>
    <cellStyle name="_FCST subsidio 2008 scnV (Jan pricing) var_Weekly Producto-Accesorios (20100524)1" xfId="256" xr:uid="{584C40BE-A670-42F8-92DC-64DBD62F3921}"/>
    <cellStyle name="_FCST subsidio 2008 scnV (Jan pricing) var_Weekly Producto-Accesorios (20100531)1" xfId="257" xr:uid="{A5EE33C8-786F-458D-9B7A-ECCC97F3F825}"/>
    <cellStyle name="_FCST subsidio 2008 scnV (Jan pricing) var_Weekly Producto-Accesorios (20100531)2" xfId="258" xr:uid="{9F2682DC-EFA3-47C2-9B29-C9E2104B73BE}"/>
    <cellStyle name="_FCST subsidio 2008 scnV (Jan pricing) var_Weekly Producto-Accesorios (20100607)" xfId="259" xr:uid="{9B25AE69-2847-460E-9515-5DDB122709D5}"/>
    <cellStyle name="_FCST subsidio 2008 scnV (Jan pricing) var_Weekly Producto-Accesorios (20100607)1" xfId="260" xr:uid="{029310A2-3326-47C0-9CA9-206801E73777}"/>
    <cellStyle name="_FCST subsidio 2008 scnV (Jan pricing) var_Weekly Producto-Accesorios (20100614)1" xfId="261" xr:uid="{08828321-B2B0-442A-BC4B-995DB98BE440}"/>
    <cellStyle name="_FCST Subsidio Ene08 (230108)" xfId="262" xr:uid="{96A2DBAE-E6F0-4F60-9B7C-FA204204EC02}"/>
    <cellStyle name="_FCST Subsidio Ene08 (230108)_FCST Subsidy Handset 2010 (Abril-Dic) 20100401v5 ejercicio A final envío con cierre (3) v 4" xfId="263" xr:uid="{0EE36B90-4F7D-4958-AF56-15C067C468F9}"/>
    <cellStyle name="_FCST Subsidio Ene08 (230108)_FCST Subsidy Handset 2010 (Abril-Dic) 20100401v5 ejercicio A final envío con cierre (3) v 4 10" xfId="264" xr:uid="{9433F8B7-32B9-48DA-93E9-99B5739F2D0F}"/>
    <cellStyle name="_FCST Subsidio Ene08 (230108)_FCST Subsidy Handset 2010 (Abril-Dic) 20100401v5 ejercicio A final envío con cierre (3) v 4 11" xfId="265" xr:uid="{3CB8363C-42EE-4E85-9B74-2713A0230C93}"/>
    <cellStyle name="_FCST Subsidio Ene08 (230108)_FCST Subsidy Handset 2010 (Abril-Dic) 20100401v5 ejercicio A final envío con cierre (3) v 4 12" xfId="266" xr:uid="{CCC5C25C-E891-4B8D-B376-2E838EF2D7F1}"/>
    <cellStyle name="_FCST Subsidio Ene08 (230108)_FCST Subsidy Handset 2010 (Abril-Dic) 20100401v5 ejercicio A final envío con cierre (3) v 4 13" xfId="267" xr:uid="{DF1135AB-1148-44F9-ACB3-2FBDCE584044}"/>
    <cellStyle name="_FCST Subsidio Ene08 (230108)_FCST Subsidy Handset 2010 (Abril-Dic) 20100401v5 ejercicio A final envío con cierre (3) v 4 14" xfId="268" xr:uid="{A0C3BE59-DD07-400B-9FD1-41116EA875FA}"/>
    <cellStyle name="_FCST Subsidio Ene08 (230108)_FCST Subsidy Handset 2010 (Abril-Dic) 20100401v5 ejercicio A final envío con cierre (3) v 4 2" xfId="269" xr:uid="{926F01F3-0C9F-4549-9437-0AE27E63DC74}"/>
    <cellStyle name="_FCST Subsidio Ene08 (230108)_FCST Subsidy Handset 2010 (Abril-Dic) 20100401v5 ejercicio A final envío con cierre (3) v 4 3" xfId="270" xr:uid="{CDCA7364-4C1D-4F0D-85C6-8FE9180FBB2A}"/>
    <cellStyle name="_FCST Subsidio Ene08 (230108)_FCST Subsidy Handset 2010 (Abril-Dic) 20100401v5 ejercicio A final envío con cierre (3) v 4 4" xfId="271" xr:uid="{B928AD77-D8C0-413F-ABBB-9CF297CD0DBA}"/>
    <cellStyle name="_FCST Subsidio Ene08 (230108)_FCST Subsidy Handset 2010 (Abril-Dic) 20100401v5 ejercicio A final envío con cierre (3) v 4 5" xfId="272" xr:uid="{2C010E79-7A80-40EE-827C-CC687DA632AE}"/>
    <cellStyle name="_FCST Subsidio Ene08 (230108)_FCST Subsidy Handset 2010 (Abril-Dic) 20100401v5 ejercicio A final envío con cierre (3) v 4 6" xfId="273" xr:uid="{A296D9C2-BCF3-4A2A-9DC4-8A86550C5A93}"/>
    <cellStyle name="_FCST Subsidio Ene08 (230108)_FCST Subsidy Handset 2010 (Abril-Dic) 20100401v5 ejercicio A final envío con cierre (3) v 4 7" xfId="274" xr:uid="{C1D21779-6C52-4EB3-A938-6D175CE75491}"/>
    <cellStyle name="_FCST Subsidio Ene08 (230108)_FCST Subsidy Handset 2010 (Abril-Dic) 20100401v5 ejercicio A final envío con cierre (3) v 4 8" xfId="275" xr:uid="{9F03C60D-0D5A-4DCB-8CE8-90FCA616167E}"/>
    <cellStyle name="_FCST Subsidio Ene08 (230108)_FCST Subsidy Handset 2010 (Abril-Dic) 20100401v5 ejercicio A final envío con cierre (3) v 4 9" xfId="276" xr:uid="{D617D018-7448-449C-B744-E46F1005F1A5}"/>
    <cellStyle name="_FCST Subsidio Ene08 (230108)_FCST Subsidy Handset 2010 (Mayo-Dic) 20100518 CT1000 $0 y CT500 $0-$699 v4 ER ejerc promo navidad (2) ej4" xfId="277" xr:uid="{A0B0A1D8-5F27-4088-BFED-879CDD3DC364}"/>
    <cellStyle name="_FCST Subsidio Ene08 (230108)_FCST Subsidy Handset 2010 (Mayo-Dic) 20100518 CT1000 $0 y CT500 $0-$699 v4 ER ejerc promo navidad (2) ej4 10" xfId="278" xr:uid="{96C56054-7250-4C64-B4EC-7CE86F476BB9}"/>
    <cellStyle name="_FCST Subsidio Ene08 (230108)_FCST Subsidy Handset 2010 (Mayo-Dic) 20100518 CT1000 $0 y CT500 $0-$699 v4 ER ejerc promo navidad (2) ej4 11" xfId="279" xr:uid="{F72574B7-8DAF-4406-9C4D-57BEA41BDFBD}"/>
    <cellStyle name="_FCST Subsidio Ene08 (230108)_FCST Subsidy Handset 2010 (Mayo-Dic) 20100518 CT1000 $0 y CT500 $0-$699 v4 ER ejerc promo navidad (2) ej4 12" xfId="280" xr:uid="{AE8D3583-D49A-45D1-A62B-9B70C0AA8F69}"/>
    <cellStyle name="_FCST Subsidio Ene08 (230108)_FCST Subsidy Handset 2010 (Mayo-Dic) 20100518 CT1000 $0 y CT500 $0-$699 v4 ER ejerc promo navidad (2) ej4 13" xfId="281" xr:uid="{283F207E-3C11-4F82-B406-84E11AFF5D08}"/>
    <cellStyle name="_FCST Subsidio Ene08 (230108)_FCST Subsidy Handset 2010 (Mayo-Dic) 20100518 CT1000 $0 y CT500 $0-$699 v4 ER ejerc promo navidad (2) ej4 14" xfId="282" xr:uid="{7015E8BB-2241-4374-982D-E15A63DE6703}"/>
    <cellStyle name="_FCST Subsidio Ene08 (230108)_FCST Subsidy Handset 2010 (Mayo-Dic) 20100518 CT1000 $0 y CT500 $0-$699 v4 ER ejerc promo navidad (2) ej4 2" xfId="283" xr:uid="{225AC17C-1E26-475F-BEED-359FC61E8DDA}"/>
    <cellStyle name="_FCST Subsidio Ene08 (230108)_FCST Subsidy Handset 2010 (Mayo-Dic) 20100518 CT1000 $0 y CT500 $0-$699 v4 ER ejerc promo navidad (2) ej4 3" xfId="284" xr:uid="{79F4F0BD-8371-4CD2-8F2D-EB5A3458BEE5}"/>
    <cellStyle name="_FCST Subsidio Ene08 (230108)_FCST Subsidy Handset 2010 (Mayo-Dic) 20100518 CT1000 $0 y CT500 $0-$699 v4 ER ejerc promo navidad (2) ej4 4" xfId="285" xr:uid="{1B2EEAF6-B463-42E3-91C3-6DDAB6EE2211}"/>
    <cellStyle name="_FCST Subsidio Ene08 (230108)_FCST Subsidy Handset 2010 (Mayo-Dic) 20100518 CT1000 $0 y CT500 $0-$699 v4 ER ejerc promo navidad (2) ej4 5" xfId="286" xr:uid="{80E6B2FD-B631-4A0B-9DFE-EAF7D9B0915F}"/>
    <cellStyle name="_FCST Subsidio Ene08 (230108)_FCST Subsidy Handset 2010 (Mayo-Dic) 20100518 CT1000 $0 y CT500 $0-$699 v4 ER ejerc promo navidad (2) ej4 6" xfId="287" xr:uid="{DC45BC0F-2FE5-421A-9F6F-C816F72AF4AD}"/>
    <cellStyle name="_FCST Subsidio Ene08 (230108)_FCST Subsidy Handset 2010 (Mayo-Dic) 20100518 CT1000 $0 y CT500 $0-$699 v4 ER ejerc promo navidad (2) ej4 7" xfId="288" xr:uid="{05E4E0A2-F902-4C12-8DA9-88E240D82384}"/>
    <cellStyle name="_FCST Subsidio Ene08 (230108)_FCST Subsidy Handset 2010 (Mayo-Dic) 20100518 CT1000 $0 y CT500 $0-$699 v4 ER ejerc promo navidad (2) ej4 8" xfId="289" xr:uid="{649C1394-F272-446A-9460-E83B8E9458D8}"/>
    <cellStyle name="_FCST Subsidio Ene08 (230108)_FCST Subsidy Handset 2010 (Mayo-Dic) 20100518 CT1000 $0 y CT500 $0-$699 v4 ER ejerc promo navidad (2) ej4 9" xfId="290" xr:uid="{D615BB26-3F4C-48F2-9992-C619E2ABEEF7}"/>
    <cellStyle name="_FCST Subsidio Ene08 (230108)_Mix y ARP 2010 v2" xfId="291" xr:uid="{AF46E1B8-42B4-43B0-9E30-C9CDEFE34CA0}"/>
    <cellStyle name="_FCST Subsidio Ene08 (230108)_Mix y ARP 2010 v2 10" xfId="292" xr:uid="{0024DEBC-B6C3-43D2-9E48-24CE77662459}"/>
    <cellStyle name="_FCST Subsidio Ene08 (230108)_Mix y ARP 2010 v2 11" xfId="293" xr:uid="{549FFE9F-5DA1-4476-9A19-1756EABDA3A3}"/>
    <cellStyle name="_FCST Subsidio Ene08 (230108)_Mix y ARP 2010 v2 12" xfId="294" xr:uid="{FFC32B0F-A1FC-489E-9E6C-6055C1B7B416}"/>
    <cellStyle name="_FCST Subsidio Ene08 (230108)_Mix y ARP 2010 v2 13" xfId="295" xr:uid="{A6654B9F-0E35-4743-9B84-2F1491674627}"/>
    <cellStyle name="_FCST Subsidio Ene08 (230108)_Mix y ARP 2010 v2 14" xfId="296" xr:uid="{2D187DB5-DF37-4EC9-82FB-600920E2BB0A}"/>
    <cellStyle name="_FCST Subsidio Ene08 (230108)_Mix y ARP 2010 v2 2" xfId="297" xr:uid="{01DF5189-DA4E-47D0-8D3E-C702D9D00787}"/>
    <cellStyle name="_FCST Subsidio Ene08 (230108)_Mix y ARP 2010 v2 3" xfId="298" xr:uid="{9EAE6113-CB01-4634-9DCB-C31D3A2214DA}"/>
    <cellStyle name="_FCST Subsidio Ene08 (230108)_Mix y ARP 2010 v2 4" xfId="299" xr:uid="{27C96159-8B33-4C07-A532-C821C2A0D3A9}"/>
    <cellStyle name="_FCST Subsidio Ene08 (230108)_Mix y ARP 2010 v2 5" xfId="300" xr:uid="{34BC2BF9-3AF5-462E-A7F1-78EB6488D07B}"/>
    <cellStyle name="_FCST Subsidio Ene08 (230108)_Mix y ARP 2010 v2 6" xfId="301" xr:uid="{45F82295-0839-449C-B3A0-EACA8419143A}"/>
    <cellStyle name="_FCST Subsidio Ene08 (230108)_Mix y ARP 2010 v2 7" xfId="302" xr:uid="{636AF766-FE67-42E1-B3F2-99FC6C800585}"/>
    <cellStyle name="_FCST Subsidio Ene08 (230108)_Mix y ARP 2010 v2 8" xfId="303" xr:uid="{3FF33AEB-8E4E-4739-B4B3-9D733F6D6BC8}"/>
    <cellStyle name="_FCST Subsidio Ene08 (230108)_Mix y ARP 2010 v2 9" xfId="304" xr:uid="{DCBCD41C-5129-44AC-8923-7E7DF9ABE3BF}"/>
    <cellStyle name="_Formato reporte diario y acum (nuevas promos)" xfId="305" xr:uid="{045AB962-F80D-4F75-B9F5-C58E384763E6}"/>
    <cellStyle name="_Formato reporte diario y acum (nuevas promos) 2" xfId="306" xr:uid="{07B8DA5B-7FC0-4830-881C-BBDF8F4AF3EE}"/>
    <cellStyle name="_Formato reporte diario y acum (nuevas promos)_20090810 Inventario GA" xfId="307" xr:uid="{C8B365F6-97C7-4743-B552-04F15F23F62B}"/>
    <cellStyle name="_Formato reporte diario y acum (nuevas promos)_200909028 Inventario GA" xfId="308" xr:uid="{7E524550-EC7A-4060-8010-EFA6745EFF68}"/>
    <cellStyle name="_Formato reporte diario y acum (nuevas promos)_20091005 Inventario GA" xfId="309" xr:uid="{B2A54B88-0B01-4D4E-818F-ACB0AD3D49CD}"/>
    <cellStyle name="_Formato reporte diario y acum (nuevas promos)_20091026 Inventario GA (2)" xfId="310" xr:uid="{19070652-71EA-456F-81E4-B49AA8F9F32E}"/>
    <cellStyle name="_Formato reporte diario y acum (nuevas promos)_20091103 Inventario GA" xfId="311" xr:uid="{DFFBB0DC-C77A-4A91-A28E-FCBB4279A702}"/>
    <cellStyle name="_Formato reporte diario y acum (nuevas promos)_20091109 Inventario GA" xfId="312" xr:uid="{3CC602B5-63BA-4D91-9537-2886002807D0}"/>
    <cellStyle name="_Formato reporte diario y acum (nuevas promos)_20091130 Inventario GA" xfId="313" xr:uid="{C8E206AD-0BEA-4264-877B-850BD04D4F23}"/>
    <cellStyle name="_Formato reporte diario y acum (nuevas promos)_20091207 Inventario GA" xfId="314" xr:uid="{C87959AE-EA28-4F4D-A21E-7F7D7E2E0FCC}"/>
    <cellStyle name="_Formato reporte diario y acum (nuevas promos)_20100104 Inventario GA" xfId="315" xr:uid="{CE4119D3-A873-4472-ACDD-46CCE6FB4786}"/>
    <cellStyle name="_Formato reporte diario y acum (nuevas promos)_20100111 Inventario GA" xfId="316" xr:uid="{C80C575B-AC1C-460E-A4FF-AE032873BF41}"/>
    <cellStyle name="_Formato reporte diario y acum (nuevas promos)_20100118 Inventario GA" xfId="317" xr:uid="{4AD7F329-AE8D-48BA-84A5-735D278FE037}"/>
    <cellStyle name="_Formato reporte diario y acum (nuevas promos)_20100125 Inventario GA" xfId="318" xr:uid="{978E28CF-96B4-4DB5-BE7A-851E36EB06E1}"/>
    <cellStyle name="_Formato reporte diario y acum (nuevas promos)_20100202 Cierre Enero Inventario GA" xfId="319" xr:uid="{094E1C6A-9158-402A-A778-5F85CCF21A62}"/>
    <cellStyle name="_Formato reporte diario y acum (nuevas promos)_20100205 Inventario GA" xfId="320" xr:uid="{DAC420BA-389A-4D10-96DC-6C6ED6198EAC}"/>
    <cellStyle name="_Formato reporte diario y acum (nuevas promos)_20100212 Inventario GA" xfId="321" xr:uid="{4A698F14-84DB-4CA9-9873-B5252C267E57}"/>
    <cellStyle name="_Formato reporte diario y acum (nuevas promos)_20100219 Inventario GA" xfId="322" xr:uid="{00466318-C7A8-4DDE-A2E8-CCB488C884DC}"/>
    <cellStyle name="_Formato reporte diario y acum (nuevas promos)_20100226 Inventario GA" xfId="323" xr:uid="{5BDF1E6C-BDC8-4FB7-B6F8-086BDA8B0EF3}"/>
    <cellStyle name="_Formato reporte diario y acum (nuevas promos)_20100301 Cierre Febrero Inventario GA" xfId="324" xr:uid="{0F5AF5EB-8988-4C36-8AFF-1E98AAA2587F}"/>
    <cellStyle name="_Formato reporte diario y acum (nuevas promos)_20100305 Inventario GA" xfId="325" xr:uid="{8992A03D-BF29-44AD-A0C4-2B4F76BC7349}"/>
    <cellStyle name="_Formato reporte diario y acum (nuevas promos)_20100308 Inventario GA" xfId="326" xr:uid="{3A5C61CD-FE42-42A0-97C2-D7BF1C02B50C}"/>
    <cellStyle name="_Formato reporte diario y acum (nuevas promos)_20100312 Inventario GA" xfId="327" xr:uid="{52A79D51-BB03-47F4-A39E-15C8C31B9FCF}"/>
    <cellStyle name="_Formato reporte diario y acum (nuevas promos)_20100322 Inventario GA" xfId="328" xr:uid="{539A3609-A8E1-456F-B7F7-DD0D56BC2A7C}"/>
    <cellStyle name="_Formato reporte diario y acum (nuevas promos)_20100329 Inventario GA" xfId="329" xr:uid="{608A2CED-593B-487B-B367-A2B226347E85}"/>
    <cellStyle name="_Formato reporte diario y acum (nuevas promos)_20100331 Inventario GA" xfId="330" xr:uid="{4CC1641A-3FD6-476F-9017-B26849E8631C}"/>
    <cellStyle name="_Formato reporte diario y acum (nuevas promos)_20100405 Cierre Marzo Inventario GA" xfId="331" xr:uid="{1BA3DE34-FAB8-480E-9ACA-F59445DA3E8E}"/>
    <cellStyle name="_Formato reporte diario y acum (nuevas promos)_20100409 Inventario GA" xfId="332" xr:uid="{01D07799-E88E-4B34-8D37-5C5D6A83DF4D}"/>
    <cellStyle name="_Formato reporte diario y acum (nuevas promos)_20100416 Inventario GA" xfId="333" xr:uid="{3EEC905C-38C3-4012-BFA7-5E3E8BA7C7C3}"/>
    <cellStyle name="_Formato reporte diario y acum (nuevas promos)_20100423 Inventario GA" xfId="334" xr:uid="{36D08E78-5D8D-4A1A-AA5F-515229E893EB}"/>
    <cellStyle name="_Formato reporte diario y acum (nuevas promos)_20100430 Inventario GA" xfId="335" xr:uid="{E2F2CB6C-5455-4B24-8DC7-6D6CB11BDD5C}"/>
    <cellStyle name="_Formato reporte diario y acum (nuevas promos)_20100503 Inventario GA cierre Abril 2010" xfId="336" xr:uid="{D906067B-94FC-4042-83CB-678D3753EF58}"/>
    <cellStyle name="_Formato reporte diario y acum (nuevas promos)_20100507 Inventario GA" xfId="337" xr:uid="{E1A155B1-A189-4B9B-9B2C-BFCCA40CD04B}"/>
    <cellStyle name="_Formato reporte diario y acum (nuevas promos)_20100514 Inventario GA" xfId="338" xr:uid="{B65A1B32-AABB-423C-B9CF-0511758999EE}"/>
    <cellStyle name="_Formato reporte diario y acum (nuevas promos)_20100521 Inventario GA" xfId="339" xr:uid="{323CC2C7-625E-4A6D-B63A-385B82A2758B}"/>
    <cellStyle name="_Formato reporte diario y acum (nuevas promos)_20100528 Inventario GA" xfId="340" xr:uid="{8626C67D-1442-4AF8-872C-09BF82D7160F}"/>
    <cellStyle name="_Formato reporte diario y acum (nuevas promos)_20100604 Inventario GA" xfId="341" xr:uid="{83DB747A-C854-4DB2-8887-6891062491C5}"/>
    <cellStyle name="_Formato reporte diario y acum (nuevas promos)_20100611 Inventario GA" xfId="342" xr:uid="{AEE4D2EF-9E2A-4522-BADC-E929CE8D3D62}"/>
    <cellStyle name="_Formato reporte diario y acum (nuevas promos)_Copia de Weekly Producto-Accesorios (20091026)" xfId="343" xr:uid="{B7135414-4B22-4E3D-9333-E105096210E7}"/>
    <cellStyle name="_Formato reporte diario y acum (nuevas promos)_Copia de Weekly Producto-Accesorios (20091109)" xfId="344" xr:uid="{B8E2213B-046E-413C-8E4E-EC3CFF67F404}"/>
    <cellStyle name="_Formato reporte diario y acum (nuevas promos)_Subsidio 20090810" xfId="345" xr:uid="{8CDEBD56-163D-4115-BAA5-9619AFF9B599}"/>
    <cellStyle name="_Formato reporte diario y acum (nuevas promos)_Weekly Producto-Accesorios (20090810)1" xfId="346" xr:uid="{6F2E5D47-3551-4671-8210-F5E8BDFEAB41}"/>
    <cellStyle name="_Formato reporte diario y acum (nuevas promos)_Weekly Producto-Accesorios (20090928)1" xfId="347" xr:uid="{B61F4DB9-D7DC-4757-8413-CB852CF9EED3}"/>
    <cellStyle name="_Formato reporte diario y acum (nuevas promos)_Weekly Producto-Accesorios (20090928)2 (2)" xfId="348" xr:uid="{904EF9CF-BB11-4BD9-9A06-DA45DE1FEDE4}"/>
    <cellStyle name="_Formato reporte diario y acum (nuevas promos)_Weekly Producto-Accesorios (20091026)1" xfId="349" xr:uid="{BE87C58C-D3D3-4B8C-81BA-8968DD383C0C}"/>
    <cellStyle name="_Formato reporte diario y acum (nuevas promos)_Weekly Producto-Accesorios (20091103)1" xfId="350" xr:uid="{23DEEFFA-0C3C-48C4-B121-707AA22D8E4D}"/>
    <cellStyle name="_Formato reporte diario y acum (nuevas promos)_Weekly Producto-Accesorios (20091109)1" xfId="351" xr:uid="{D4C8788F-AD8F-4376-A9CA-36380AB8E2C9}"/>
    <cellStyle name="_Formato reporte diario y acum (nuevas promos)_Weekly Producto-Accesorios (20091130)" xfId="352" xr:uid="{877D9328-A1D5-4D6F-B76C-7EC3F8CAD609}"/>
    <cellStyle name="_Formato reporte diario y acum (nuevas promos)_Weekly Producto-Accesorios (20091130)1" xfId="353" xr:uid="{3C44F441-AEC7-41BA-907D-46A457CEE391}"/>
    <cellStyle name="_Formato reporte diario y acum (nuevas promos)_Weekly Producto-Accesorios (20091221)" xfId="354" xr:uid="{831C467C-F5A9-418E-83A7-88AEE8134A72}"/>
    <cellStyle name="_Formato reporte diario y acum (nuevas promos)_Weekly Producto-Accesorios (20100104)1" xfId="355" xr:uid="{2E018DAB-5F0B-4A33-B86B-AE507EC6BDAB}"/>
    <cellStyle name="_Formato reporte diario y acum (nuevas promos)_Weekly Producto-Accesorios (20100111)1" xfId="356" xr:uid="{960C35A2-7B47-48B2-8332-63F560D0A683}"/>
    <cellStyle name="_Formato reporte diario y acum (nuevas promos)_Weekly Producto-Accesorios (20100111)2" xfId="357" xr:uid="{533AE34E-E49F-4F74-B4B6-2DE953AD1EF8}"/>
    <cellStyle name="_Formato reporte diario y acum (nuevas promos)_Weekly Producto-Accesorios (20100118)" xfId="358" xr:uid="{DFD043E7-493C-48BD-A5CB-E04A0B385C7A}"/>
    <cellStyle name="_Formato reporte diario y acum (nuevas promos)_Weekly Producto-Accesorios (20100118)1" xfId="359" xr:uid="{2A2E5D75-DF9B-488C-B07C-5AE58CF41AD6}"/>
    <cellStyle name="_Formato reporte diario y acum (nuevas promos)_Weekly Producto-Accesorios (20100125) tzip itzia" xfId="360" xr:uid="{C56B359B-1BCF-43FC-AEB8-245D45293A5D}"/>
    <cellStyle name="_Formato reporte diario y acum (nuevas promos)_Weekly Producto-Accesorios (20100125)2" xfId="361" xr:uid="{F3A57B97-770D-487E-9CF0-BBF537A98855}"/>
    <cellStyle name="_Formato reporte diario y acum (nuevas promos)_Weekly Producto-Accesorios (20100202)1" xfId="362" xr:uid="{F76ED561-35C9-415F-ADA7-3AE4277823A4}"/>
    <cellStyle name="_Formato reporte diario y acum (nuevas promos)_Weekly Producto-Accesorios (20100202)2" xfId="363" xr:uid="{C1BF48C5-BAC4-46FD-BF1E-3F565C15A0A7}"/>
    <cellStyle name="_Formato reporte diario y acum (nuevas promos)_Weekly Producto-Accesorios (20100208)" xfId="364" xr:uid="{DCE3184D-993B-4F9D-BCC3-6920CE3EA4CD}"/>
    <cellStyle name="_Formato reporte diario y acum (nuevas promos)_Weekly Producto-Accesorios (20100208)1" xfId="365" xr:uid="{DEDA9B1C-88AF-41A6-816A-D930FD968BBD}"/>
    <cellStyle name="_Formato reporte diario y acum (nuevas promos)_Weekly Producto-Accesorios (20100215)1" xfId="366" xr:uid="{18931F68-035E-47FC-B301-6462EDC080FC}"/>
    <cellStyle name="_Formato reporte diario y acum (nuevas promos)_Weekly Producto-Accesorios (20100215)2" xfId="367" xr:uid="{4BE8B049-A240-4968-B38F-FF496F755D65}"/>
    <cellStyle name="_Formato reporte diario y acum (nuevas promos)_Weekly Producto-Accesorios (20100222)" xfId="368" xr:uid="{44C56870-86A1-4FB0-9F30-FB88E6246862}"/>
    <cellStyle name="_Formato reporte diario y acum (nuevas promos)_Weekly Producto-Accesorios (20100222)1" xfId="369" xr:uid="{30A3B9F8-26A6-466B-BD39-A91DF7E96A29}"/>
    <cellStyle name="_Formato reporte diario y acum (nuevas promos)_Weekly Producto-Accesorios (20100301)" xfId="370" xr:uid="{C413F9DE-ABF7-4E09-AAC0-28B02E297BF6}"/>
    <cellStyle name="_Formato reporte diario y acum (nuevas promos)_Weekly Producto-Accesorios (20100301)1" xfId="371" xr:uid="{938646B8-7BCC-40A1-82BA-775B0BED8B13}"/>
    <cellStyle name="_Formato reporte diario y acum (nuevas promos)_Weekly Producto-Accesorios (20100301)2" xfId="372" xr:uid="{6C98C630-D021-4DE4-AD9C-DA5DA3C613C2}"/>
    <cellStyle name="_Formato reporte diario y acum (nuevas promos)_Weekly Producto-Accesorios (20100308)1" xfId="373" xr:uid="{E028C4C5-E48F-4B1E-94BE-E071E93184DF}"/>
    <cellStyle name="_Formato reporte diario y acum (nuevas promos)_Weekly Producto-Accesorios (20100308)2" xfId="374" xr:uid="{C0E9A464-41C2-420C-A420-A39ADFBE5ED2}"/>
    <cellStyle name="_Formato reporte diario y acum (nuevas promos)_Weekly Producto-Accesorios (20100308)v2" xfId="375" xr:uid="{91868119-0E63-45D1-97AF-65ED7F81ED7F}"/>
    <cellStyle name="_Formato reporte diario y acum (nuevas promos)_Weekly Producto-Accesorios (20100316)" xfId="376" xr:uid="{C9A4B5E5-E0B5-47B9-92A4-C6401B038DC9}"/>
    <cellStyle name="_Formato reporte diario y acum (nuevas promos)_Weekly Producto-Accesorios (20100316)1" xfId="377" xr:uid="{4F21F658-2D93-4CC9-B863-389DEFA82A68}"/>
    <cellStyle name="_Formato reporte diario y acum (nuevas promos)_Weekly Producto-Accesorios (20100322)" xfId="378" xr:uid="{2A2CA542-374C-4308-BD17-0FB1AEC99E60}"/>
    <cellStyle name="_Formato reporte diario y acum (nuevas promos)_Weekly Producto-Accesorios (20100322)1" xfId="379" xr:uid="{4824C485-C7D0-4942-B110-3DE3CE1DB56B}"/>
    <cellStyle name="_Formato reporte diario y acum (nuevas promos)_Weekly Producto-Accesorios (20100329)" xfId="380" xr:uid="{5CD25D01-0327-42B6-BEAB-09BF6ED82642}"/>
    <cellStyle name="_Formato reporte diario y acum (nuevas promos)_Weekly Producto-Accesorios (20100329)1" xfId="381" xr:uid="{1889C112-1243-4401-8B4D-EFD0348C9202}"/>
    <cellStyle name="_Formato reporte diario y acum (nuevas promos)_Weekly Producto-Accesorios (20100405)" xfId="382" xr:uid="{E4F08106-2391-44C7-B0A3-46DB6062983F}"/>
    <cellStyle name="_Formato reporte diario y acum (nuevas promos)_Weekly Producto-Accesorios (20100405)1" xfId="383" xr:uid="{945BE390-0898-473D-B6B2-6D9B3E6192EF}"/>
    <cellStyle name="_Formato reporte diario y acum (nuevas promos)_Weekly Producto-Accesorios (20100412)" xfId="384" xr:uid="{57F6C1EA-37FF-4358-9AF6-BDBF56FD310A}"/>
    <cellStyle name="_Formato reporte diario y acum (nuevas promos)_Weekly Producto-Accesorios (20100412)1" xfId="385" xr:uid="{C5C20CF5-D386-4A1D-BEA0-B0A8D68783E7}"/>
    <cellStyle name="_Formato reporte diario y acum (nuevas promos)_Weekly Producto-Accesorios (20100419)" xfId="386" xr:uid="{6D712C45-5E0D-40A1-A7A8-133873994168}"/>
    <cellStyle name="_Formato reporte diario y acum (nuevas promos)_Weekly Producto-Accesorios (20100419)1" xfId="387" xr:uid="{C1A417A5-0C41-4324-A23A-D37CDA270AF6}"/>
    <cellStyle name="_Formato reporte diario y acum (nuevas promos)_Weekly Producto-Accesorios (20100426)" xfId="388" xr:uid="{A927F662-AD14-4427-804F-DCF1E33A74F7}"/>
    <cellStyle name="_Formato reporte diario y acum (nuevas promos)_Weekly Producto-Accesorios (20100426)1" xfId="389" xr:uid="{B61D7C3C-E694-413E-A5C2-69888CA5F438}"/>
    <cellStyle name="_Formato reporte diario y acum (nuevas promos)_Weekly Producto-Accesorios (20100503)1" xfId="390" xr:uid="{637184A0-76E6-41AD-AA52-93FCFF2805DB}"/>
    <cellStyle name="_Formato reporte diario y acum (nuevas promos)_Weekly Producto-Accesorios (20100503)2" xfId="391" xr:uid="{AAEF615A-7A76-4496-BA14-88DD03D8E3C8}"/>
    <cellStyle name="_Formato reporte diario y acum (nuevas promos)_Weekly Producto-Accesorios (20100510)" xfId="392" xr:uid="{0664642C-C88F-491F-819D-1F94273185CC}"/>
    <cellStyle name="_Formato reporte diario y acum (nuevas promos)_Weekly Producto-Accesorios (20100510)1" xfId="393" xr:uid="{949CE43F-0A68-451B-BFB5-E0A11A5E3BA2}"/>
    <cellStyle name="_Formato reporte diario y acum (nuevas promos)_Weekly Producto-Accesorios (20100517)" xfId="394" xr:uid="{A7EC394D-9145-4ADB-B37C-DBDE70C16DEB}"/>
    <cellStyle name="_Formato reporte diario y acum (nuevas promos)_Weekly Producto-Accesorios (20100517)1" xfId="395" xr:uid="{0883A0E6-E74D-4D87-9FDE-48C7C9D8FA22}"/>
    <cellStyle name="_Formato reporte diario y acum (nuevas promos)_Weekly Producto-Accesorios (20100524)" xfId="396" xr:uid="{269D9991-A421-492E-A51A-3611150CE609}"/>
    <cellStyle name="_Formato reporte diario y acum (nuevas promos)_Weekly Producto-Accesorios (20100524)1" xfId="397" xr:uid="{8DA5D97E-7E3C-413B-A85A-AA5CFD7E6695}"/>
    <cellStyle name="_Formato reporte diario y acum (nuevas promos)_Weekly Producto-Accesorios (20100531)1" xfId="398" xr:uid="{9F2CBA52-45CE-4354-BAE0-1CABF8BC6080}"/>
    <cellStyle name="_Formato reporte diario y acum (nuevas promos)_Weekly Producto-Accesorios (20100531)2" xfId="399" xr:uid="{5F12E186-58AE-4B3A-A716-CB4DA5B9EF64}"/>
    <cellStyle name="_Formato reporte diario y acum (nuevas promos)_Weekly Producto-Accesorios (20100607)" xfId="400" xr:uid="{42DD6E8E-AF84-4B21-A670-CB3365B2F4F5}"/>
    <cellStyle name="_Formato reporte diario y acum (nuevas promos)_Weekly Producto-Accesorios (20100607)1" xfId="401" xr:uid="{5E1C0200-FEFC-496F-ABE5-303795197729}"/>
    <cellStyle name="_Formato reporte diario y acum (nuevas promos)_Weekly Producto-Accesorios (20100614)1" xfId="402" xr:uid="{3A4274CD-0240-486E-BA20-1CA962081EA0}"/>
    <cellStyle name="_Golfo-Centro" xfId="403" xr:uid="{FEE49C4D-869E-4799-8612-6C5889DC4356}"/>
    <cellStyle name="_Golfo-Centro_FCST Subsidy Handset 2010 (Abril-Dic) 20100401v5 ejercicio A final envío con cierre (3) v 4" xfId="404" xr:uid="{171A2CFD-F74D-4495-9963-15FC64740E40}"/>
    <cellStyle name="_Golfo-Centro_FCST Subsidy Handset 2010 (Abril-Dic) 20100401v5 ejercicio A final envío con cierre (3) v 4 10" xfId="405" xr:uid="{31BA1709-E6B7-407A-BBF3-1DEC53BC3F18}"/>
    <cellStyle name="_Golfo-Centro_FCST Subsidy Handset 2010 (Abril-Dic) 20100401v5 ejercicio A final envío con cierre (3) v 4 11" xfId="406" xr:uid="{4742F9CF-56A8-4855-9E46-328E68F25D56}"/>
    <cellStyle name="_Golfo-Centro_FCST Subsidy Handset 2010 (Abril-Dic) 20100401v5 ejercicio A final envío con cierre (3) v 4 12" xfId="407" xr:uid="{713B5165-C0F0-4A23-84B7-29008B593174}"/>
    <cellStyle name="_Golfo-Centro_FCST Subsidy Handset 2010 (Abril-Dic) 20100401v5 ejercicio A final envío con cierre (3) v 4 13" xfId="408" xr:uid="{874C23A0-E5ED-4BE7-97FA-477EAFBA6F22}"/>
    <cellStyle name="_Golfo-Centro_FCST Subsidy Handset 2010 (Abril-Dic) 20100401v5 ejercicio A final envío con cierre (3) v 4 14" xfId="409" xr:uid="{4DC9164B-48ED-430D-B0A5-EA845BEBED73}"/>
    <cellStyle name="_Golfo-Centro_FCST Subsidy Handset 2010 (Abril-Dic) 20100401v5 ejercicio A final envío con cierre (3) v 4 2" xfId="410" xr:uid="{91F2D897-7633-48A7-9392-C9FC0488B21E}"/>
    <cellStyle name="_Golfo-Centro_FCST Subsidy Handset 2010 (Abril-Dic) 20100401v5 ejercicio A final envío con cierre (3) v 4 3" xfId="411" xr:uid="{F5BD0715-D84C-4DFC-8803-9783F08A6C18}"/>
    <cellStyle name="_Golfo-Centro_FCST Subsidy Handset 2010 (Abril-Dic) 20100401v5 ejercicio A final envío con cierre (3) v 4 4" xfId="412" xr:uid="{1A216E28-CBB1-44EB-A2CC-E9C53C7500F2}"/>
    <cellStyle name="_Golfo-Centro_FCST Subsidy Handset 2010 (Abril-Dic) 20100401v5 ejercicio A final envío con cierre (3) v 4 5" xfId="413" xr:uid="{7B70B00E-1AC9-4A11-AAE1-C1960FA9515C}"/>
    <cellStyle name="_Golfo-Centro_FCST Subsidy Handset 2010 (Abril-Dic) 20100401v5 ejercicio A final envío con cierre (3) v 4 6" xfId="414" xr:uid="{A16CB902-AD4D-4E70-88DE-138228A7FD34}"/>
    <cellStyle name="_Golfo-Centro_FCST Subsidy Handset 2010 (Abril-Dic) 20100401v5 ejercicio A final envío con cierre (3) v 4 7" xfId="415" xr:uid="{AAD897A8-29CD-42F3-9A0C-0625CCA6DEA3}"/>
    <cellStyle name="_Golfo-Centro_FCST Subsidy Handset 2010 (Abril-Dic) 20100401v5 ejercicio A final envío con cierre (3) v 4 8" xfId="416" xr:uid="{F4AB22A0-A3B1-4B80-86D1-0569AFF863DB}"/>
    <cellStyle name="_Golfo-Centro_FCST Subsidy Handset 2010 (Abril-Dic) 20100401v5 ejercicio A final envío con cierre (3) v 4 9" xfId="417" xr:uid="{CD27ED9C-9484-4677-9803-857D8B183791}"/>
    <cellStyle name="_Golfo-Centro_FCST Subsidy Handset 2010 (Mayo-Dic) 20100518 CT1000 $0 y CT500 $0-$699 v4 ER ejerc promo navidad (2) ej4" xfId="418" xr:uid="{3DDAF131-F7B7-42D5-A757-28F93FB8FE6C}"/>
    <cellStyle name="_Golfo-Centro_FCST Subsidy Handset 2010 (Mayo-Dic) 20100518 CT1000 $0 y CT500 $0-$699 v4 ER ejerc promo navidad (2) ej4 10" xfId="419" xr:uid="{3CE6968B-6EB4-4788-B427-8BE156E1BEC5}"/>
    <cellStyle name="_Golfo-Centro_FCST Subsidy Handset 2010 (Mayo-Dic) 20100518 CT1000 $0 y CT500 $0-$699 v4 ER ejerc promo navidad (2) ej4 11" xfId="420" xr:uid="{9E68D723-7C3B-4699-BDE1-77146A491532}"/>
    <cellStyle name="_Golfo-Centro_FCST Subsidy Handset 2010 (Mayo-Dic) 20100518 CT1000 $0 y CT500 $0-$699 v4 ER ejerc promo navidad (2) ej4 12" xfId="421" xr:uid="{F1A6954C-7A5A-43EF-96AF-C334C7046E15}"/>
    <cellStyle name="_Golfo-Centro_FCST Subsidy Handset 2010 (Mayo-Dic) 20100518 CT1000 $0 y CT500 $0-$699 v4 ER ejerc promo navidad (2) ej4 13" xfId="422" xr:uid="{DF0E578F-9B0C-4452-BF09-E787ED666FFD}"/>
    <cellStyle name="_Golfo-Centro_FCST Subsidy Handset 2010 (Mayo-Dic) 20100518 CT1000 $0 y CT500 $0-$699 v4 ER ejerc promo navidad (2) ej4 14" xfId="423" xr:uid="{5C1BF7C6-D23B-46B4-9D23-05C1B4BD8D37}"/>
    <cellStyle name="_Golfo-Centro_FCST Subsidy Handset 2010 (Mayo-Dic) 20100518 CT1000 $0 y CT500 $0-$699 v4 ER ejerc promo navidad (2) ej4 2" xfId="424" xr:uid="{C949250D-7058-4C02-8BFB-E7072B74B72B}"/>
    <cellStyle name="_Golfo-Centro_FCST Subsidy Handset 2010 (Mayo-Dic) 20100518 CT1000 $0 y CT500 $0-$699 v4 ER ejerc promo navidad (2) ej4 3" xfId="425" xr:uid="{4B6752BA-C0A2-4CA3-91F3-B3888C47C031}"/>
    <cellStyle name="_Golfo-Centro_FCST Subsidy Handset 2010 (Mayo-Dic) 20100518 CT1000 $0 y CT500 $0-$699 v4 ER ejerc promo navidad (2) ej4 4" xfId="426" xr:uid="{10EDB82D-23E5-4CC8-8885-9BE09B45DBEA}"/>
    <cellStyle name="_Golfo-Centro_FCST Subsidy Handset 2010 (Mayo-Dic) 20100518 CT1000 $0 y CT500 $0-$699 v4 ER ejerc promo navidad (2) ej4 5" xfId="427" xr:uid="{F06A0DBA-46EB-4A8F-ACE9-3D7FCDDD714F}"/>
    <cellStyle name="_Golfo-Centro_FCST Subsidy Handset 2010 (Mayo-Dic) 20100518 CT1000 $0 y CT500 $0-$699 v4 ER ejerc promo navidad (2) ej4 6" xfId="428" xr:uid="{D05B594F-6697-4C2D-94D2-9EDC153ED661}"/>
    <cellStyle name="_Golfo-Centro_FCST Subsidy Handset 2010 (Mayo-Dic) 20100518 CT1000 $0 y CT500 $0-$699 v4 ER ejerc promo navidad (2) ej4 7" xfId="429" xr:uid="{0D772635-472C-4901-933C-654B8EFB37E7}"/>
    <cellStyle name="_Golfo-Centro_FCST Subsidy Handset 2010 (Mayo-Dic) 20100518 CT1000 $0 y CT500 $0-$699 v4 ER ejerc promo navidad (2) ej4 8" xfId="430" xr:uid="{CC7C117F-C365-40AF-9BCC-6B174CE02914}"/>
    <cellStyle name="_Golfo-Centro_FCST Subsidy Handset 2010 (Mayo-Dic) 20100518 CT1000 $0 y CT500 $0-$699 v4 ER ejerc promo navidad (2) ej4 9" xfId="431" xr:uid="{47501610-3FEF-4032-A2D7-8FF378D56BBB}"/>
    <cellStyle name="_Golfo-Centro_Mix y ARP 2010 v2" xfId="432" xr:uid="{A4A02E3C-C3AB-47E3-B8E1-0A64EA07D57E}"/>
    <cellStyle name="_Golfo-Centro_Mix y ARP 2010 v2 10" xfId="433" xr:uid="{70B84356-B9FD-4540-ABF1-A59210FCAC58}"/>
    <cellStyle name="_Golfo-Centro_Mix y ARP 2010 v2 11" xfId="434" xr:uid="{E32A199B-9F0E-490D-BF6E-12E03FD87911}"/>
    <cellStyle name="_Golfo-Centro_Mix y ARP 2010 v2 12" xfId="435" xr:uid="{B1948CF3-BA38-4F4C-9ECC-37545304C4A3}"/>
    <cellStyle name="_Golfo-Centro_Mix y ARP 2010 v2 13" xfId="436" xr:uid="{A7D81A0B-00E0-4DA9-ABF9-F73AEE3A371A}"/>
    <cellStyle name="_Golfo-Centro_Mix y ARP 2010 v2 14" xfId="437" xr:uid="{A126039D-90A8-4DC4-99B2-33047894F116}"/>
    <cellStyle name="_Golfo-Centro_Mix y ARP 2010 v2 2" xfId="438" xr:uid="{AE261909-2137-4200-8C87-0EAF4BB0DCB8}"/>
    <cellStyle name="_Golfo-Centro_Mix y ARP 2010 v2 3" xfId="439" xr:uid="{54B3982E-65C2-42A5-BA99-BBD432CC7B44}"/>
    <cellStyle name="_Golfo-Centro_Mix y ARP 2010 v2 4" xfId="440" xr:uid="{79A4C6C3-51FD-4B7E-90BF-53510078B170}"/>
    <cellStyle name="_Golfo-Centro_Mix y ARP 2010 v2 5" xfId="441" xr:uid="{4A651364-4662-4457-9395-C57BDC51FA6B}"/>
    <cellStyle name="_Golfo-Centro_Mix y ARP 2010 v2 6" xfId="442" xr:uid="{692A710A-95BC-41C7-9907-E983BD3B3B68}"/>
    <cellStyle name="_Golfo-Centro_Mix y ARP 2010 v2 7" xfId="443" xr:uid="{D9C02C81-80F6-4BF1-8E8B-BBBEAD829D5A}"/>
    <cellStyle name="_Golfo-Centro_Mix y ARP 2010 v2 8" xfId="444" xr:uid="{CCC40265-A5D9-4990-8B2C-8EC714BBB4DB}"/>
    <cellStyle name="_Golfo-Centro_Mix y ARP 2010 v2 9" xfId="445" xr:uid="{F148A85B-3412-4BDD-A50E-100A1747AC20}"/>
    <cellStyle name="_INAR_ABRIL_29042008 (modif)" xfId="446" xr:uid="{0624942C-3623-4462-90A4-670D12B96DF4}"/>
    <cellStyle name="_INAR_ABRIL_29042008 (modif)_FCST Subsidy Handset 2010 (Abril-Dic) 20100401v5 ejercicio A final envío con cierre (3) v 4" xfId="447" xr:uid="{90E55BA4-9CD9-4D49-90A0-1CD6A30C2AA4}"/>
    <cellStyle name="_INAR_ABRIL_29042008 (modif)_FCST Subsidy Handset 2010 (Abril-Dic) 20100401v5 ejercicio A final envío con cierre (3) v 4 10" xfId="448" xr:uid="{05FF63DB-23BD-4212-9D54-F1B0AFEDE622}"/>
    <cellStyle name="_INAR_ABRIL_29042008 (modif)_FCST Subsidy Handset 2010 (Abril-Dic) 20100401v5 ejercicio A final envío con cierre (3) v 4 11" xfId="449" xr:uid="{BC74BF08-5031-455B-829F-0A5744D6BAB2}"/>
    <cellStyle name="_INAR_ABRIL_29042008 (modif)_FCST Subsidy Handset 2010 (Abril-Dic) 20100401v5 ejercicio A final envío con cierre (3) v 4 12" xfId="450" xr:uid="{A960D686-7B2C-4DAE-8CC0-552614F34438}"/>
    <cellStyle name="_INAR_ABRIL_29042008 (modif)_FCST Subsidy Handset 2010 (Abril-Dic) 20100401v5 ejercicio A final envío con cierre (3) v 4 13" xfId="451" xr:uid="{0C75CAB1-F45D-436C-8E42-F488EE98005B}"/>
    <cellStyle name="_INAR_ABRIL_29042008 (modif)_FCST Subsidy Handset 2010 (Abril-Dic) 20100401v5 ejercicio A final envío con cierre (3) v 4 14" xfId="452" xr:uid="{7FBA3F66-6737-4F3A-BA96-18D1FEF416BC}"/>
    <cellStyle name="_INAR_ABRIL_29042008 (modif)_FCST Subsidy Handset 2010 (Abril-Dic) 20100401v5 ejercicio A final envío con cierre (3) v 4 2" xfId="453" xr:uid="{844DDBC3-EA36-43DF-B94A-B69F5CF30CAE}"/>
    <cellStyle name="_INAR_ABRIL_29042008 (modif)_FCST Subsidy Handset 2010 (Abril-Dic) 20100401v5 ejercicio A final envío con cierre (3) v 4 3" xfId="454" xr:uid="{3A872C6D-E41F-4831-BAD5-69B5F55C3C19}"/>
    <cellStyle name="_INAR_ABRIL_29042008 (modif)_FCST Subsidy Handset 2010 (Abril-Dic) 20100401v5 ejercicio A final envío con cierre (3) v 4 4" xfId="455" xr:uid="{C2F50BFA-2947-4FDA-9513-7161DFD9BD39}"/>
    <cellStyle name="_INAR_ABRIL_29042008 (modif)_FCST Subsidy Handset 2010 (Abril-Dic) 20100401v5 ejercicio A final envío con cierre (3) v 4 5" xfId="456" xr:uid="{494344C2-662C-4585-9F4F-BDA00771BDE9}"/>
    <cellStyle name="_INAR_ABRIL_29042008 (modif)_FCST Subsidy Handset 2010 (Abril-Dic) 20100401v5 ejercicio A final envío con cierre (3) v 4 6" xfId="457" xr:uid="{530C9F14-7081-48CA-9F72-B29E917D16AF}"/>
    <cellStyle name="_INAR_ABRIL_29042008 (modif)_FCST Subsidy Handset 2010 (Abril-Dic) 20100401v5 ejercicio A final envío con cierre (3) v 4 7" xfId="458" xr:uid="{5285A5CE-8103-4E2A-8010-9370A30CD37B}"/>
    <cellStyle name="_INAR_ABRIL_29042008 (modif)_FCST Subsidy Handset 2010 (Abril-Dic) 20100401v5 ejercicio A final envío con cierre (3) v 4 8" xfId="459" xr:uid="{BECB5F0E-67D7-48BB-9982-1989CC32E9B0}"/>
    <cellStyle name="_INAR_ABRIL_29042008 (modif)_FCST Subsidy Handset 2010 (Abril-Dic) 20100401v5 ejercicio A final envío con cierre (3) v 4 9" xfId="460" xr:uid="{A253E1E9-8B2D-41FB-A97F-C79E2D32031B}"/>
    <cellStyle name="_INAR_ABRIL_29042008 (modif)_FCST Subsidy Handset 2010 (Mayo-Dic) 20100518 CT1000 $0 y CT500 $0-$699 v4 ER ejerc promo navidad (2) ej4" xfId="461" xr:uid="{F5F1D9C4-1C98-4A40-AD00-5C154F9DF250}"/>
    <cellStyle name="_INAR_ABRIL_29042008 (modif)_FCST Subsidy Handset 2010 (Mayo-Dic) 20100518 CT1000 $0 y CT500 $0-$699 v4 ER ejerc promo navidad (2) ej4 10" xfId="462" xr:uid="{7157DAAA-0E2B-42AF-92F6-8212DE6679C3}"/>
    <cellStyle name="_INAR_ABRIL_29042008 (modif)_FCST Subsidy Handset 2010 (Mayo-Dic) 20100518 CT1000 $0 y CT500 $0-$699 v4 ER ejerc promo navidad (2) ej4 11" xfId="463" xr:uid="{E251A1AE-3617-4111-A0EB-E7F5EB6F7EC3}"/>
    <cellStyle name="_INAR_ABRIL_29042008 (modif)_FCST Subsidy Handset 2010 (Mayo-Dic) 20100518 CT1000 $0 y CT500 $0-$699 v4 ER ejerc promo navidad (2) ej4 12" xfId="464" xr:uid="{F8C75B37-AA5A-4A93-AB42-E8E04A1FCDAA}"/>
    <cellStyle name="_INAR_ABRIL_29042008 (modif)_FCST Subsidy Handset 2010 (Mayo-Dic) 20100518 CT1000 $0 y CT500 $0-$699 v4 ER ejerc promo navidad (2) ej4 13" xfId="465" xr:uid="{75F96F8A-0B61-46A5-975B-07051C690409}"/>
    <cellStyle name="_INAR_ABRIL_29042008 (modif)_FCST Subsidy Handset 2010 (Mayo-Dic) 20100518 CT1000 $0 y CT500 $0-$699 v4 ER ejerc promo navidad (2) ej4 14" xfId="466" xr:uid="{54514970-5214-4BD0-828B-FA7DA3C963CC}"/>
    <cellStyle name="_INAR_ABRIL_29042008 (modif)_FCST Subsidy Handset 2010 (Mayo-Dic) 20100518 CT1000 $0 y CT500 $0-$699 v4 ER ejerc promo navidad (2) ej4 2" xfId="467" xr:uid="{B007E05B-14E7-40E2-903E-AF354F78C9A0}"/>
    <cellStyle name="_INAR_ABRIL_29042008 (modif)_FCST Subsidy Handset 2010 (Mayo-Dic) 20100518 CT1000 $0 y CT500 $0-$699 v4 ER ejerc promo navidad (2) ej4 3" xfId="468" xr:uid="{EB28BD26-6EB2-411F-8A63-3159CEF9822C}"/>
    <cellStyle name="_INAR_ABRIL_29042008 (modif)_FCST Subsidy Handset 2010 (Mayo-Dic) 20100518 CT1000 $0 y CT500 $0-$699 v4 ER ejerc promo navidad (2) ej4 4" xfId="469" xr:uid="{2D7E22BA-4E77-4D46-97BA-021926E522F7}"/>
    <cellStyle name="_INAR_ABRIL_29042008 (modif)_FCST Subsidy Handset 2010 (Mayo-Dic) 20100518 CT1000 $0 y CT500 $0-$699 v4 ER ejerc promo navidad (2) ej4 5" xfId="470" xr:uid="{695F99D8-C167-4A52-86FD-28206750C08D}"/>
    <cellStyle name="_INAR_ABRIL_29042008 (modif)_FCST Subsidy Handset 2010 (Mayo-Dic) 20100518 CT1000 $0 y CT500 $0-$699 v4 ER ejerc promo navidad (2) ej4 6" xfId="471" xr:uid="{AC9EE62C-F05F-48A8-9940-ABBDF86345B6}"/>
    <cellStyle name="_INAR_ABRIL_29042008 (modif)_FCST Subsidy Handset 2010 (Mayo-Dic) 20100518 CT1000 $0 y CT500 $0-$699 v4 ER ejerc promo navidad (2) ej4 7" xfId="472" xr:uid="{13ECF3FB-2827-47A4-AD64-60793F65D1E9}"/>
    <cellStyle name="_INAR_ABRIL_29042008 (modif)_FCST Subsidy Handset 2010 (Mayo-Dic) 20100518 CT1000 $0 y CT500 $0-$699 v4 ER ejerc promo navidad (2) ej4 8" xfId="473" xr:uid="{8F1971EF-209E-476C-A454-52358790BB29}"/>
    <cellStyle name="_INAR_ABRIL_29042008 (modif)_FCST Subsidy Handset 2010 (Mayo-Dic) 20100518 CT1000 $0 y CT500 $0-$699 v4 ER ejerc promo navidad (2) ej4 9" xfId="474" xr:uid="{A88D1D94-6374-4363-8071-C96856D0C14D}"/>
    <cellStyle name="_INAR_ABRIL_29042008 (modif)_Mix y ARP 2010 v2" xfId="475" xr:uid="{79988765-A9B7-48EC-99A0-6F71EDD32C19}"/>
    <cellStyle name="_INAR_ABRIL_29042008 (modif)_Mix y ARP 2010 v2 10" xfId="476" xr:uid="{73D2A0B3-2B50-499E-A6F1-A323DAC815C8}"/>
    <cellStyle name="_INAR_ABRIL_29042008 (modif)_Mix y ARP 2010 v2 11" xfId="477" xr:uid="{6F703F69-5223-4DF5-A572-FABAC654F159}"/>
    <cellStyle name="_INAR_ABRIL_29042008 (modif)_Mix y ARP 2010 v2 12" xfId="478" xr:uid="{8D447E07-A56F-4BC9-A2AD-998AFF5036E3}"/>
    <cellStyle name="_INAR_ABRIL_29042008 (modif)_Mix y ARP 2010 v2 13" xfId="479" xr:uid="{A3399839-0285-48BC-AC89-C13D65D50BF6}"/>
    <cellStyle name="_INAR_ABRIL_29042008 (modif)_Mix y ARP 2010 v2 14" xfId="480" xr:uid="{7CF49306-88AD-4031-9962-175C655E2320}"/>
    <cellStyle name="_INAR_ABRIL_29042008 (modif)_Mix y ARP 2010 v2 2" xfId="481" xr:uid="{0C9A49B8-262C-4517-93B4-CA3C3A777E25}"/>
    <cellStyle name="_INAR_ABRIL_29042008 (modif)_Mix y ARP 2010 v2 3" xfId="482" xr:uid="{9FBC863A-5A84-4E54-8196-379BE642BD78}"/>
    <cellStyle name="_INAR_ABRIL_29042008 (modif)_Mix y ARP 2010 v2 4" xfId="483" xr:uid="{570DECEC-DD86-42FB-BA0E-1287B859BBB0}"/>
    <cellStyle name="_INAR_ABRIL_29042008 (modif)_Mix y ARP 2010 v2 5" xfId="484" xr:uid="{C861AFD0-571E-43C9-AF6B-706AABE27531}"/>
    <cellStyle name="_INAR_ABRIL_29042008 (modif)_Mix y ARP 2010 v2 6" xfId="485" xr:uid="{F697A7C0-1C2F-484F-A502-0FA905576CF8}"/>
    <cellStyle name="_INAR_ABRIL_29042008 (modif)_Mix y ARP 2010 v2 7" xfId="486" xr:uid="{EAAB8618-A5E1-4FE2-B29C-CAA70A860ACF}"/>
    <cellStyle name="_INAR_ABRIL_29042008 (modif)_Mix y ARP 2010 v2 8" xfId="487" xr:uid="{CB526A11-8DAC-4D7D-852D-12C167B95767}"/>
    <cellStyle name="_INAR_ABRIL_29042008 (modif)_Mix y ARP 2010 v2 9" xfId="488" xr:uid="{27BB44A8-E3D9-4AF3-9E3E-940EC69D4B5D}"/>
    <cellStyle name="_INAR_ABRIL_30042008 (modif)" xfId="489" xr:uid="{39D76589-ABCD-4CEC-BA0B-073568378E4C}"/>
    <cellStyle name="_INAR_ABRIL_30042008 (modif)_FCST Subsidy Handset 2010 (Abril-Dic) 20100401v5 ejercicio A final envío con cierre (3) v 4" xfId="490" xr:uid="{BD7CA24F-2892-4079-AA0B-5AB192A2C644}"/>
    <cellStyle name="_INAR_ABRIL_30042008 (modif)_FCST Subsidy Handset 2010 (Abril-Dic) 20100401v5 ejercicio A final envío con cierre (3) v 4 10" xfId="491" xr:uid="{8501243F-606D-4AB8-B03D-623C4255915E}"/>
    <cellStyle name="_INAR_ABRIL_30042008 (modif)_FCST Subsidy Handset 2010 (Abril-Dic) 20100401v5 ejercicio A final envío con cierre (3) v 4 11" xfId="492" xr:uid="{7A12DBFF-21A1-4584-AC74-8D1C1A37FC14}"/>
    <cellStyle name="_INAR_ABRIL_30042008 (modif)_FCST Subsidy Handset 2010 (Abril-Dic) 20100401v5 ejercicio A final envío con cierre (3) v 4 12" xfId="493" xr:uid="{DB28C93E-CFA1-45CF-9A57-C674FE3BDC8E}"/>
    <cellStyle name="_INAR_ABRIL_30042008 (modif)_FCST Subsidy Handset 2010 (Abril-Dic) 20100401v5 ejercicio A final envío con cierre (3) v 4 13" xfId="494" xr:uid="{E6ABFA1D-F5AB-4CE4-8F3C-4190FBDAEC24}"/>
    <cellStyle name="_INAR_ABRIL_30042008 (modif)_FCST Subsidy Handset 2010 (Abril-Dic) 20100401v5 ejercicio A final envío con cierre (3) v 4 14" xfId="495" xr:uid="{F57EB7FC-31AF-420E-AFD8-7813EC1C6FD6}"/>
    <cellStyle name="_INAR_ABRIL_30042008 (modif)_FCST Subsidy Handset 2010 (Abril-Dic) 20100401v5 ejercicio A final envío con cierre (3) v 4 2" xfId="496" xr:uid="{C495A395-E2F5-4535-8387-BDB71A877740}"/>
    <cellStyle name="_INAR_ABRIL_30042008 (modif)_FCST Subsidy Handset 2010 (Abril-Dic) 20100401v5 ejercicio A final envío con cierre (3) v 4 3" xfId="497" xr:uid="{CA0B0D90-3763-462E-B920-5D9AD0D1BB0B}"/>
    <cellStyle name="_INAR_ABRIL_30042008 (modif)_FCST Subsidy Handset 2010 (Abril-Dic) 20100401v5 ejercicio A final envío con cierre (3) v 4 4" xfId="498" xr:uid="{7B6B32AF-56D7-474F-B099-938B87255441}"/>
    <cellStyle name="_INAR_ABRIL_30042008 (modif)_FCST Subsidy Handset 2010 (Abril-Dic) 20100401v5 ejercicio A final envío con cierre (3) v 4 5" xfId="499" xr:uid="{5AF7B6FE-0C03-49BE-8840-3B8E6233041F}"/>
    <cellStyle name="_INAR_ABRIL_30042008 (modif)_FCST Subsidy Handset 2010 (Abril-Dic) 20100401v5 ejercicio A final envío con cierre (3) v 4 6" xfId="500" xr:uid="{C4849335-AD54-4141-B2BD-3F9385109A37}"/>
    <cellStyle name="_INAR_ABRIL_30042008 (modif)_FCST Subsidy Handset 2010 (Abril-Dic) 20100401v5 ejercicio A final envío con cierre (3) v 4 7" xfId="501" xr:uid="{58B5E1CC-B5AC-4C89-BF5A-0B5BDDEA313C}"/>
    <cellStyle name="_INAR_ABRIL_30042008 (modif)_FCST Subsidy Handset 2010 (Abril-Dic) 20100401v5 ejercicio A final envío con cierre (3) v 4 8" xfId="502" xr:uid="{88B448A6-F599-4D35-BCC0-B6D95D6A28B7}"/>
    <cellStyle name="_INAR_ABRIL_30042008 (modif)_FCST Subsidy Handset 2010 (Abril-Dic) 20100401v5 ejercicio A final envío con cierre (3) v 4 9" xfId="503" xr:uid="{6887E4C9-D7FF-4474-841D-533E79899F52}"/>
    <cellStyle name="_INAR_ABRIL_30042008 (modif)_FCST Subsidy Handset 2010 (Mayo-Dic) 20100518 CT1000 $0 y CT500 $0-$699 v4 ER ejerc promo navidad (2) ej4" xfId="504" xr:uid="{FE855C72-7071-4A0B-B09B-E8C2E40A5443}"/>
    <cellStyle name="_INAR_ABRIL_30042008 (modif)_FCST Subsidy Handset 2010 (Mayo-Dic) 20100518 CT1000 $0 y CT500 $0-$699 v4 ER ejerc promo navidad (2) ej4 10" xfId="505" xr:uid="{93A70B2B-541E-4036-A0C0-501A5048874F}"/>
    <cellStyle name="_INAR_ABRIL_30042008 (modif)_FCST Subsidy Handset 2010 (Mayo-Dic) 20100518 CT1000 $0 y CT500 $0-$699 v4 ER ejerc promo navidad (2) ej4 11" xfId="506" xr:uid="{700E2C64-C918-40C5-A7BB-DCDC10434C90}"/>
    <cellStyle name="_INAR_ABRIL_30042008 (modif)_FCST Subsidy Handset 2010 (Mayo-Dic) 20100518 CT1000 $0 y CT500 $0-$699 v4 ER ejerc promo navidad (2) ej4 12" xfId="507" xr:uid="{920EB560-D587-4BC8-B5FF-4091966F8048}"/>
    <cellStyle name="_INAR_ABRIL_30042008 (modif)_FCST Subsidy Handset 2010 (Mayo-Dic) 20100518 CT1000 $0 y CT500 $0-$699 v4 ER ejerc promo navidad (2) ej4 13" xfId="508" xr:uid="{0F5356E9-CCE8-459A-A5A3-FC53A24E2D24}"/>
    <cellStyle name="_INAR_ABRIL_30042008 (modif)_FCST Subsidy Handset 2010 (Mayo-Dic) 20100518 CT1000 $0 y CT500 $0-$699 v4 ER ejerc promo navidad (2) ej4 14" xfId="509" xr:uid="{5B052053-5268-4EC2-A48D-B3C30570D3E1}"/>
    <cellStyle name="_INAR_ABRIL_30042008 (modif)_FCST Subsidy Handset 2010 (Mayo-Dic) 20100518 CT1000 $0 y CT500 $0-$699 v4 ER ejerc promo navidad (2) ej4 2" xfId="510" xr:uid="{E21347D7-FA6B-464E-85D7-4BB873E713EB}"/>
    <cellStyle name="_INAR_ABRIL_30042008 (modif)_FCST Subsidy Handset 2010 (Mayo-Dic) 20100518 CT1000 $0 y CT500 $0-$699 v4 ER ejerc promo navidad (2) ej4 3" xfId="511" xr:uid="{065B0A2C-469C-46B4-848B-B0C05E623070}"/>
    <cellStyle name="_INAR_ABRIL_30042008 (modif)_FCST Subsidy Handset 2010 (Mayo-Dic) 20100518 CT1000 $0 y CT500 $0-$699 v4 ER ejerc promo navidad (2) ej4 4" xfId="512" xr:uid="{283F6300-48EB-4193-B8BF-C4724BC5F15A}"/>
    <cellStyle name="_INAR_ABRIL_30042008 (modif)_FCST Subsidy Handset 2010 (Mayo-Dic) 20100518 CT1000 $0 y CT500 $0-$699 v4 ER ejerc promo navidad (2) ej4 5" xfId="513" xr:uid="{5BAA47E5-BD75-498C-AE95-E8B31DCFA8E7}"/>
    <cellStyle name="_INAR_ABRIL_30042008 (modif)_FCST Subsidy Handset 2010 (Mayo-Dic) 20100518 CT1000 $0 y CT500 $0-$699 v4 ER ejerc promo navidad (2) ej4 6" xfId="514" xr:uid="{4B73A50F-B094-4019-847A-97CED181FE6C}"/>
    <cellStyle name="_INAR_ABRIL_30042008 (modif)_FCST Subsidy Handset 2010 (Mayo-Dic) 20100518 CT1000 $0 y CT500 $0-$699 v4 ER ejerc promo navidad (2) ej4 7" xfId="515" xr:uid="{119E009B-EB16-410F-BA53-3D30FD3008EA}"/>
    <cellStyle name="_INAR_ABRIL_30042008 (modif)_FCST Subsidy Handset 2010 (Mayo-Dic) 20100518 CT1000 $0 y CT500 $0-$699 v4 ER ejerc promo navidad (2) ej4 8" xfId="516" xr:uid="{0440E2DD-F1D3-4AAC-AE80-06C0A805CAE3}"/>
    <cellStyle name="_INAR_ABRIL_30042008 (modif)_FCST Subsidy Handset 2010 (Mayo-Dic) 20100518 CT1000 $0 y CT500 $0-$699 v4 ER ejerc promo navidad (2) ej4 9" xfId="517" xr:uid="{E8A5D13B-8F9C-4F78-9075-3713384BA864}"/>
    <cellStyle name="_INAR_ABRIL_30042008 (modif)_Mix y ARP 2010 v2" xfId="518" xr:uid="{769E84F4-444B-4C2F-9734-7E8822893ACD}"/>
    <cellStyle name="_INAR_ABRIL_30042008 (modif)_Mix y ARP 2010 v2 10" xfId="519" xr:uid="{512625F6-BF24-4A18-B6A7-E8AEF01F2E09}"/>
    <cellStyle name="_INAR_ABRIL_30042008 (modif)_Mix y ARP 2010 v2 11" xfId="520" xr:uid="{33FDB302-6DCF-4A8F-AFF7-89526A4CFE41}"/>
    <cellStyle name="_INAR_ABRIL_30042008 (modif)_Mix y ARP 2010 v2 12" xfId="521" xr:uid="{BD7F14BA-86C0-4DE3-896D-A2ED3C60F489}"/>
    <cellStyle name="_INAR_ABRIL_30042008 (modif)_Mix y ARP 2010 v2 13" xfId="522" xr:uid="{B6FA591A-4415-42D1-BAF9-64F7FA39C7A1}"/>
    <cellStyle name="_INAR_ABRIL_30042008 (modif)_Mix y ARP 2010 v2 14" xfId="523" xr:uid="{43654AB9-A5CF-4B67-9924-9022FFE6F93A}"/>
    <cellStyle name="_INAR_ABRIL_30042008 (modif)_Mix y ARP 2010 v2 2" xfId="524" xr:uid="{DFE32BCF-AD23-45FE-988E-8555B0FA1E21}"/>
    <cellStyle name="_INAR_ABRIL_30042008 (modif)_Mix y ARP 2010 v2 3" xfId="525" xr:uid="{AAB42D30-04BC-4AE6-AD7E-FA00A34F5734}"/>
    <cellStyle name="_INAR_ABRIL_30042008 (modif)_Mix y ARP 2010 v2 4" xfId="526" xr:uid="{4A31D9BD-8F38-4DE8-A848-092C38B5EFA4}"/>
    <cellStyle name="_INAR_ABRIL_30042008 (modif)_Mix y ARP 2010 v2 5" xfId="527" xr:uid="{B1BB7F30-BECA-48F4-856A-403B304A04BC}"/>
    <cellStyle name="_INAR_ABRIL_30042008 (modif)_Mix y ARP 2010 v2 6" xfId="528" xr:uid="{82865987-EE4C-4AB0-ACFA-7A9DE698882B}"/>
    <cellStyle name="_INAR_ABRIL_30042008 (modif)_Mix y ARP 2010 v2 7" xfId="529" xr:uid="{094E8DF6-E7E6-47ED-9D81-6641CF1E0023}"/>
    <cellStyle name="_INAR_ABRIL_30042008 (modif)_Mix y ARP 2010 v2 8" xfId="530" xr:uid="{F2CD6210-3811-4B2D-B784-60015299BFBA}"/>
    <cellStyle name="_INAR_ABRIL_30042008 (modif)_Mix y ARP 2010 v2 9" xfId="531" xr:uid="{0E083DE4-CF56-4FAE-85F9-3D16220B8716}"/>
    <cellStyle name="_INAR_DICIEMBRE_05122007 (modif)" xfId="532" xr:uid="{79AC0F0E-BF0A-42B6-8B7F-84E57C6C7A8C}"/>
    <cellStyle name="_INAR_DICIEMBRE_05122007 (modif)_FCST Subsidy Handset 2010 (Abril-Dic) 20100401v5 ejercicio A final envío con cierre (3) v 4" xfId="533" xr:uid="{3C8D4F78-09C6-4CAA-A49D-BED60CE8EC8E}"/>
    <cellStyle name="_INAR_DICIEMBRE_05122007 (modif)_FCST Subsidy Handset 2010 (Abril-Dic) 20100401v5 ejercicio A final envío con cierre (3) v 4 10" xfId="534" xr:uid="{A5AC32B9-7198-455D-8CC6-FC47A76B972E}"/>
    <cellStyle name="_INAR_DICIEMBRE_05122007 (modif)_FCST Subsidy Handset 2010 (Abril-Dic) 20100401v5 ejercicio A final envío con cierre (3) v 4 11" xfId="535" xr:uid="{0A58F335-B6DF-403D-9C52-CE13D89F0383}"/>
    <cellStyle name="_INAR_DICIEMBRE_05122007 (modif)_FCST Subsidy Handset 2010 (Abril-Dic) 20100401v5 ejercicio A final envío con cierre (3) v 4 12" xfId="536" xr:uid="{96D38985-8CC8-4F9D-92E8-DAAD597B6284}"/>
    <cellStyle name="_INAR_DICIEMBRE_05122007 (modif)_FCST Subsidy Handset 2010 (Abril-Dic) 20100401v5 ejercicio A final envío con cierre (3) v 4 13" xfId="537" xr:uid="{3C6D0B62-1FFA-48F8-81D6-261A0EBAF8EF}"/>
    <cellStyle name="_INAR_DICIEMBRE_05122007 (modif)_FCST Subsidy Handset 2010 (Abril-Dic) 20100401v5 ejercicio A final envío con cierre (3) v 4 14" xfId="538" xr:uid="{207B7EC5-8605-40F0-8969-083E36946E0B}"/>
    <cellStyle name="_INAR_DICIEMBRE_05122007 (modif)_FCST Subsidy Handset 2010 (Abril-Dic) 20100401v5 ejercicio A final envío con cierre (3) v 4 2" xfId="539" xr:uid="{EA3D57FB-74F8-4014-A76A-73351FB43D5C}"/>
    <cellStyle name="_INAR_DICIEMBRE_05122007 (modif)_FCST Subsidy Handset 2010 (Abril-Dic) 20100401v5 ejercicio A final envío con cierre (3) v 4 3" xfId="540" xr:uid="{23E3162F-D93E-428B-BF93-B1FBAC6C97FC}"/>
    <cellStyle name="_INAR_DICIEMBRE_05122007 (modif)_FCST Subsidy Handset 2010 (Abril-Dic) 20100401v5 ejercicio A final envío con cierre (3) v 4 4" xfId="541" xr:uid="{342A1779-62A2-472C-B921-19243CCB1015}"/>
    <cellStyle name="_INAR_DICIEMBRE_05122007 (modif)_FCST Subsidy Handset 2010 (Abril-Dic) 20100401v5 ejercicio A final envío con cierre (3) v 4 5" xfId="542" xr:uid="{6DB7B4E1-B8F2-4A18-9B49-35861AD50778}"/>
    <cellStyle name="_INAR_DICIEMBRE_05122007 (modif)_FCST Subsidy Handset 2010 (Abril-Dic) 20100401v5 ejercicio A final envío con cierre (3) v 4 6" xfId="543" xr:uid="{02447121-8861-4E29-90F8-A646C77D5164}"/>
    <cellStyle name="_INAR_DICIEMBRE_05122007 (modif)_FCST Subsidy Handset 2010 (Abril-Dic) 20100401v5 ejercicio A final envío con cierre (3) v 4 7" xfId="544" xr:uid="{05AB2D62-0479-4A74-9285-76A85EA2D449}"/>
    <cellStyle name="_INAR_DICIEMBRE_05122007 (modif)_FCST Subsidy Handset 2010 (Abril-Dic) 20100401v5 ejercicio A final envío con cierre (3) v 4 8" xfId="545" xr:uid="{D2E94628-C2C4-48EE-AB47-67C9EF1A0EC5}"/>
    <cellStyle name="_INAR_DICIEMBRE_05122007 (modif)_FCST Subsidy Handset 2010 (Abril-Dic) 20100401v5 ejercicio A final envío con cierre (3) v 4 9" xfId="546" xr:uid="{62A31AC1-3E24-47B4-8823-E234383FE938}"/>
    <cellStyle name="_INAR_DICIEMBRE_05122007 (modif)_FCST Subsidy Handset 2010 (Mayo-Dic) 20100518 CT1000 $0 y CT500 $0-$699 v4 ER ejerc promo navidad (2) ej4" xfId="547" xr:uid="{E4450D95-B627-45E0-B920-9BD5FAD11023}"/>
    <cellStyle name="_INAR_DICIEMBRE_05122007 (modif)_FCST Subsidy Handset 2010 (Mayo-Dic) 20100518 CT1000 $0 y CT500 $0-$699 v4 ER ejerc promo navidad (2) ej4 10" xfId="548" xr:uid="{10D23318-0668-4B0F-AEA2-B1171377F452}"/>
    <cellStyle name="_INAR_DICIEMBRE_05122007 (modif)_FCST Subsidy Handset 2010 (Mayo-Dic) 20100518 CT1000 $0 y CT500 $0-$699 v4 ER ejerc promo navidad (2) ej4 11" xfId="549" xr:uid="{29D1A469-B3D8-47A0-B843-7D3589342BA3}"/>
    <cellStyle name="_INAR_DICIEMBRE_05122007 (modif)_FCST Subsidy Handset 2010 (Mayo-Dic) 20100518 CT1000 $0 y CT500 $0-$699 v4 ER ejerc promo navidad (2) ej4 12" xfId="550" xr:uid="{ACFE1140-0011-433A-B544-950A3DB24C94}"/>
    <cellStyle name="_INAR_DICIEMBRE_05122007 (modif)_FCST Subsidy Handset 2010 (Mayo-Dic) 20100518 CT1000 $0 y CT500 $0-$699 v4 ER ejerc promo navidad (2) ej4 13" xfId="551" xr:uid="{5F5195CB-B220-48B8-8D90-124E14747AFF}"/>
    <cellStyle name="_INAR_DICIEMBRE_05122007 (modif)_FCST Subsidy Handset 2010 (Mayo-Dic) 20100518 CT1000 $0 y CT500 $0-$699 v4 ER ejerc promo navidad (2) ej4 14" xfId="552" xr:uid="{45A3988F-7B90-4A56-9AFB-053BE82990E6}"/>
    <cellStyle name="_INAR_DICIEMBRE_05122007 (modif)_FCST Subsidy Handset 2010 (Mayo-Dic) 20100518 CT1000 $0 y CT500 $0-$699 v4 ER ejerc promo navidad (2) ej4 2" xfId="553" xr:uid="{F3464B1C-EB51-4095-834D-2BAA2C915D31}"/>
    <cellStyle name="_INAR_DICIEMBRE_05122007 (modif)_FCST Subsidy Handset 2010 (Mayo-Dic) 20100518 CT1000 $0 y CT500 $0-$699 v4 ER ejerc promo navidad (2) ej4 3" xfId="554" xr:uid="{BF025349-2FDB-4CC6-87B6-C2CACFDF941E}"/>
    <cellStyle name="_INAR_DICIEMBRE_05122007 (modif)_FCST Subsidy Handset 2010 (Mayo-Dic) 20100518 CT1000 $0 y CT500 $0-$699 v4 ER ejerc promo navidad (2) ej4 4" xfId="555" xr:uid="{8A6E7A66-AA3B-47E4-AA7F-49A398EB84B5}"/>
    <cellStyle name="_INAR_DICIEMBRE_05122007 (modif)_FCST Subsidy Handset 2010 (Mayo-Dic) 20100518 CT1000 $0 y CT500 $0-$699 v4 ER ejerc promo navidad (2) ej4 5" xfId="556" xr:uid="{A3E8588B-1765-4D4C-9E47-39048E95A9EE}"/>
    <cellStyle name="_INAR_DICIEMBRE_05122007 (modif)_FCST Subsidy Handset 2010 (Mayo-Dic) 20100518 CT1000 $0 y CT500 $0-$699 v4 ER ejerc promo navidad (2) ej4 6" xfId="557" xr:uid="{3FB9A253-3996-486B-812C-8CE3B1B6B449}"/>
    <cellStyle name="_INAR_DICIEMBRE_05122007 (modif)_FCST Subsidy Handset 2010 (Mayo-Dic) 20100518 CT1000 $0 y CT500 $0-$699 v4 ER ejerc promo navidad (2) ej4 7" xfId="558" xr:uid="{EAF00CD7-A7A1-4CB5-8ABB-246740E9D03E}"/>
    <cellStyle name="_INAR_DICIEMBRE_05122007 (modif)_FCST Subsidy Handset 2010 (Mayo-Dic) 20100518 CT1000 $0 y CT500 $0-$699 v4 ER ejerc promo navidad (2) ej4 8" xfId="559" xr:uid="{33C5936B-8015-476C-A8B3-493E0CB00D3E}"/>
    <cellStyle name="_INAR_DICIEMBRE_05122007 (modif)_FCST Subsidy Handset 2010 (Mayo-Dic) 20100518 CT1000 $0 y CT500 $0-$699 v4 ER ejerc promo navidad (2) ej4 9" xfId="560" xr:uid="{D222D83B-F25B-4EF9-BD4E-F14258B5B226}"/>
    <cellStyle name="_INAR_DICIEMBRE_05122007 (modif)_Mix y ARP 2010 v2" xfId="561" xr:uid="{72314C5A-C472-467A-90BC-B7535A865352}"/>
    <cellStyle name="_INAR_DICIEMBRE_05122007 (modif)_Mix y ARP 2010 v2 10" xfId="562" xr:uid="{057256DA-A99D-4854-BCEF-73387BC94B48}"/>
    <cellStyle name="_INAR_DICIEMBRE_05122007 (modif)_Mix y ARP 2010 v2 11" xfId="563" xr:uid="{50311046-57EE-483A-B003-14163474EBD3}"/>
    <cellStyle name="_INAR_DICIEMBRE_05122007 (modif)_Mix y ARP 2010 v2 12" xfId="564" xr:uid="{15A8DB53-CC4B-47B0-8C7F-01A766A25646}"/>
    <cellStyle name="_INAR_DICIEMBRE_05122007 (modif)_Mix y ARP 2010 v2 13" xfId="565" xr:uid="{1177D013-907A-4839-AA46-E9414CF041C3}"/>
    <cellStyle name="_INAR_DICIEMBRE_05122007 (modif)_Mix y ARP 2010 v2 14" xfId="566" xr:uid="{86E5B589-2872-410C-A6F2-F8A317369464}"/>
    <cellStyle name="_INAR_DICIEMBRE_05122007 (modif)_Mix y ARP 2010 v2 2" xfId="567" xr:uid="{F34DA349-932F-4416-BD57-EA53B93BFB82}"/>
    <cellStyle name="_INAR_DICIEMBRE_05122007 (modif)_Mix y ARP 2010 v2 3" xfId="568" xr:uid="{B7492F81-6EA9-4D9D-AC86-2A9081F58790}"/>
    <cellStyle name="_INAR_DICIEMBRE_05122007 (modif)_Mix y ARP 2010 v2 4" xfId="569" xr:uid="{96579F64-3D93-4376-9800-6BAECF20BC3C}"/>
    <cellStyle name="_INAR_DICIEMBRE_05122007 (modif)_Mix y ARP 2010 v2 5" xfId="570" xr:uid="{35D8ECDF-4FBB-44BE-BF7B-AE9C1A1F6112}"/>
    <cellStyle name="_INAR_DICIEMBRE_05122007 (modif)_Mix y ARP 2010 v2 6" xfId="571" xr:uid="{56DECCFD-5941-4E8A-A5C4-9410B53659C0}"/>
    <cellStyle name="_INAR_DICIEMBRE_05122007 (modif)_Mix y ARP 2010 v2 7" xfId="572" xr:uid="{82114CA5-FCF0-4FDC-B9A8-82273E206AE7}"/>
    <cellStyle name="_INAR_DICIEMBRE_05122007 (modif)_Mix y ARP 2010 v2 8" xfId="573" xr:uid="{01FD973A-0A41-4BF0-AD31-12171978C190}"/>
    <cellStyle name="_INAR_DICIEMBRE_05122007 (modif)_Mix y ARP 2010 v2 9" xfId="574" xr:uid="{0D012A35-A486-4A77-B814-ED68256FBB7D}"/>
    <cellStyle name="_INAR_DICIEMBRE_07122007" xfId="575" xr:uid="{4637D5DD-6CE6-4FF6-8707-0D4DC7F5388E}"/>
    <cellStyle name="_INAR_DICIEMBRE_07122007_FCST Subsidy Handset 2010 (Abril-Dic) 20100401v5 ejercicio A final envío con cierre (3) v 4" xfId="576" xr:uid="{992A92E2-0D2B-4A2C-8217-8D5BE6299375}"/>
    <cellStyle name="_INAR_DICIEMBRE_07122007_FCST Subsidy Handset 2010 (Abril-Dic) 20100401v5 ejercicio A final envío con cierre (3) v 4 10" xfId="577" xr:uid="{703394B3-CD19-479C-90D9-915219F864E3}"/>
    <cellStyle name="_INAR_DICIEMBRE_07122007_FCST Subsidy Handset 2010 (Abril-Dic) 20100401v5 ejercicio A final envío con cierre (3) v 4 11" xfId="578" xr:uid="{DC71A079-4CC0-4EC4-902D-CA5D2BA63B50}"/>
    <cellStyle name="_INAR_DICIEMBRE_07122007_FCST Subsidy Handset 2010 (Abril-Dic) 20100401v5 ejercicio A final envío con cierre (3) v 4 12" xfId="579" xr:uid="{2DAF1227-4F63-4A5D-B047-7E84D4375CE9}"/>
    <cellStyle name="_INAR_DICIEMBRE_07122007_FCST Subsidy Handset 2010 (Abril-Dic) 20100401v5 ejercicio A final envío con cierre (3) v 4 13" xfId="580" xr:uid="{811620A5-514C-45F6-9323-38EFDFC3951D}"/>
    <cellStyle name="_INAR_DICIEMBRE_07122007_FCST Subsidy Handset 2010 (Abril-Dic) 20100401v5 ejercicio A final envío con cierre (3) v 4 14" xfId="581" xr:uid="{0B928511-77CF-43E6-BB8C-CEBAA5727CB7}"/>
    <cellStyle name="_INAR_DICIEMBRE_07122007_FCST Subsidy Handset 2010 (Abril-Dic) 20100401v5 ejercicio A final envío con cierre (3) v 4 2" xfId="582" xr:uid="{8BAC618F-11B2-4B86-862F-CCF8683D3732}"/>
    <cellStyle name="_INAR_DICIEMBRE_07122007_FCST Subsidy Handset 2010 (Abril-Dic) 20100401v5 ejercicio A final envío con cierre (3) v 4 3" xfId="583" xr:uid="{3D016628-F531-42A3-A3BE-3D32BB1F3AA8}"/>
    <cellStyle name="_INAR_DICIEMBRE_07122007_FCST Subsidy Handset 2010 (Abril-Dic) 20100401v5 ejercicio A final envío con cierre (3) v 4 4" xfId="584" xr:uid="{493EE79D-0214-4496-BA9F-11B085B78F0F}"/>
    <cellStyle name="_INAR_DICIEMBRE_07122007_FCST Subsidy Handset 2010 (Abril-Dic) 20100401v5 ejercicio A final envío con cierre (3) v 4 5" xfId="585" xr:uid="{6972DEDC-D1BA-4722-A34C-0A7F43814C46}"/>
    <cellStyle name="_INAR_DICIEMBRE_07122007_FCST Subsidy Handset 2010 (Abril-Dic) 20100401v5 ejercicio A final envío con cierre (3) v 4 6" xfId="586" xr:uid="{D4FF79D0-7D90-4A73-9AA1-5083025BA4C8}"/>
    <cellStyle name="_INAR_DICIEMBRE_07122007_FCST Subsidy Handset 2010 (Abril-Dic) 20100401v5 ejercicio A final envío con cierre (3) v 4 7" xfId="587" xr:uid="{D54832CF-A7B0-4796-8C50-9270B154C42F}"/>
    <cellStyle name="_INAR_DICIEMBRE_07122007_FCST Subsidy Handset 2010 (Abril-Dic) 20100401v5 ejercicio A final envío con cierre (3) v 4 8" xfId="588" xr:uid="{28F974FF-8272-43DB-A0DF-E84A04F24F14}"/>
    <cellStyle name="_INAR_DICIEMBRE_07122007_FCST Subsidy Handset 2010 (Abril-Dic) 20100401v5 ejercicio A final envío con cierre (3) v 4 9" xfId="589" xr:uid="{492A3398-3BD2-468D-A3C8-5B5B430A0295}"/>
    <cellStyle name="_INAR_DICIEMBRE_07122007_FCST Subsidy Handset 2010 (Mayo-Dic) 20100518 CT1000 $0 y CT500 $0-$699 v4 ER ejerc promo navidad (2) ej4" xfId="590" xr:uid="{93BB9F50-CF3A-406A-8BC3-1CC24975EE50}"/>
    <cellStyle name="_INAR_DICIEMBRE_07122007_FCST Subsidy Handset 2010 (Mayo-Dic) 20100518 CT1000 $0 y CT500 $0-$699 v4 ER ejerc promo navidad (2) ej4 10" xfId="591" xr:uid="{B0D3490C-5C15-43B5-A3F3-41505036F817}"/>
    <cellStyle name="_INAR_DICIEMBRE_07122007_FCST Subsidy Handset 2010 (Mayo-Dic) 20100518 CT1000 $0 y CT500 $0-$699 v4 ER ejerc promo navidad (2) ej4 11" xfId="592" xr:uid="{236EB99C-B732-4E8C-8F6E-CDD509598CAA}"/>
    <cellStyle name="_INAR_DICIEMBRE_07122007_FCST Subsidy Handset 2010 (Mayo-Dic) 20100518 CT1000 $0 y CT500 $0-$699 v4 ER ejerc promo navidad (2) ej4 12" xfId="593" xr:uid="{A61C9B86-B490-40CB-B3D5-DB1BAFD60340}"/>
    <cellStyle name="_INAR_DICIEMBRE_07122007_FCST Subsidy Handset 2010 (Mayo-Dic) 20100518 CT1000 $0 y CT500 $0-$699 v4 ER ejerc promo navidad (2) ej4 13" xfId="594" xr:uid="{D98C90C0-BAF1-48CD-AB7C-E34647E2E777}"/>
    <cellStyle name="_INAR_DICIEMBRE_07122007_FCST Subsidy Handset 2010 (Mayo-Dic) 20100518 CT1000 $0 y CT500 $0-$699 v4 ER ejerc promo navidad (2) ej4 14" xfId="595" xr:uid="{7D0C52CF-B30E-4CE6-9979-86E7D3E31F00}"/>
    <cellStyle name="_INAR_DICIEMBRE_07122007_FCST Subsidy Handset 2010 (Mayo-Dic) 20100518 CT1000 $0 y CT500 $0-$699 v4 ER ejerc promo navidad (2) ej4 2" xfId="596" xr:uid="{346C5B4D-E122-43A9-A0E5-E1839C1D1BC6}"/>
    <cellStyle name="_INAR_DICIEMBRE_07122007_FCST Subsidy Handset 2010 (Mayo-Dic) 20100518 CT1000 $0 y CT500 $0-$699 v4 ER ejerc promo navidad (2) ej4 3" xfId="597" xr:uid="{AF308E45-C78A-48C0-AE72-D10F6A59068C}"/>
    <cellStyle name="_INAR_DICIEMBRE_07122007_FCST Subsidy Handset 2010 (Mayo-Dic) 20100518 CT1000 $0 y CT500 $0-$699 v4 ER ejerc promo navidad (2) ej4 4" xfId="598" xr:uid="{402FA91D-D288-4EA8-A361-C8A78D42205E}"/>
    <cellStyle name="_INAR_DICIEMBRE_07122007_FCST Subsidy Handset 2010 (Mayo-Dic) 20100518 CT1000 $0 y CT500 $0-$699 v4 ER ejerc promo navidad (2) ej4 5" xfId="599" xr:uid="{118290E1-6BFF-4C6C-926F-4538F5F0CA44}"/>
    <cellStyle name="_INAR_DICIEMBRE_07122007_FCST Subsidy Handset 2010 (Mayo-Dic) 20100518 CT1000 $0 y CT500 $0-$699 v4 ER ejerc promo navidad (2) ej4 6" xfId="600" xr:uid="{4981DC3B-51EF-46C3-8F5D-9E7614F3C1F0}"/>
    <cellStyle name="_INAR_DICIEMBRE_07122007_FCST Subsidy Handset 2010 (Mayo-Dic) 20100518 CT1000 $0 y CT500 $0-$699 v4 ER ejerc promo navidad (2) ej4 7" xfId="601" xr:uid="{E4F738D7-621B-4FAE-8633-E66EA3D786BF}"/>
    <cellStyle name="_INAR_DICIEMBRE_07122007_FCST Subsidy Handset 2010 (Mayo-Dic) 20100518 CT1000 $0 y CT500 $0-$699 v4 ER ejerc promo navidad (2) ej4 8" xfId="602" xr:uid="{C9300CC1-B8D6-4CE1-B507-F2B2E80F6F44}"/>
    <cellStyle name="_INAR_DICIEMBRE_07122007_FCST Subsidy Handset 2010 (Mayo-Dic) 20100518 CT1000 $0 y CT500 $0-$699 v4 ER ejerc promo navidad (2) ej4 9" xfId="603" xr:uid="{4DD7D1FE-C167-4C37-8000-4D496DFFA9F6}"/>
    <cellStyle name="_INAR_DICIEMBRE_07122007_Mix y ARP 2010 v2" xfId="604" xr:uid="{53F301D3-A191-4D18-ABC4-4F3D842A8BC1}"/>
    <cellStyle name="_INAR_DICIEMBRE_07122007_Mix y ARP 2010 v2 10" xfId="605" xr:uid="{06E7BA25-9CE6-4A35-BA13-9E888C61BAB1}"/>
    <cellStyle name="_INAR_DICIEMBRE_07122007_Mix y ARP 2010 v2 11" xfId="606" xr:uid="{47B2C6D8-F0D4-4798-9B6A-05EBFB169D87}"/>
    <cellStyle name="_INAR_DICIEMBRE_07122007_Mix y ARP 2010 v2 12" xfId="607" xr:uid="{C7EBFB88-C1F2-47D4-B541-084A2A4D95E1}"/>
    <cellStyle name="_INAR_DICIEMBRE_07122007_Mix y ARP 2010 v2 13" xfId="608" xr:uid="{7D333747-65A5-4AA2-98FE-51DAF41E19D6}"/>
    <cellStyle name="_INAR_DICIEMBRE_07122007_Mix y ARP 2010 v2 14" xfId="609" xr:uid="{8A98FEAD-5865-4826-9C9C-7EAA9FB3D1CA}"/>
    <cellStyle name="_INAR_DICIEMBRE_07122007_Mix y ARP 2010 v2 2" xfId="610" xr:uid="{D9C267EC-770C-4734-9B12-7CE49DB031C5}"/>
    <cellStyle name="_INAR_DICIEMBRE_07122007_Mix y ARP 2010 v2 3" xfId="611" xr:uid="{878DCBCE-C309-4F65-B00B-587EB244BB8D}"/>
    <cellStyle name="_INAR_DICIEMBRE_07122007_Mix y ARP 2010 v2 4" xfId="612" xr:uid="{138DDF48-6AC6-4920-8469-D820A9979EF7}"/>
    <cellStyle name="_INAR_DICIEMBRE_07122007_Mix y ARP 2010 v2 5" xfId="613" xr:uid="{22EECC02-5A3B-4224-A27D-89A4F67F00E6}"/>
    <cellStyle name="_INAR_DICIEMBRE_07122007_Mix y ARP 2010 v2 6" xfId="614" xr:uid="{17360A26-1E67-4DEC-85C1-505F0F6F9526}"/>
    <cellStyle name="_INAR_DICIEMBRE_07122007_Mix y ARP 2010 v2 7" xfId="615" xr:uid="{F7147E21-8AA9-422B-B41D-9D979AA35C9F}"/>
    <cellStyle name="_INAR_DICIEMBRE_07122007_Mix y ARP 2010 v2 8" xfId="616" xr:uid="{4999B61E-9463-46AF-BCD0-E063CAA8A39B}"/>
    <cellStyle name="_INAR_DICIEMBRE_07122007_Mix y ARP 2010 v2 9" xfId="617" xr:uid="{7E8E5531-5BE6-4117-935D-03732C88D11D}"/>
    <cellStyle name="_INAR_DICIEMBRE_14122007 (modif)" xfId="618" xr:uid="{10B9546A-C011-40A6-8343-77CEEFF44C6F}"/>
    <cellStyle name="_INAR_DICIEMBRE_14122007 (modif)_FCST Subsidy Handset 2010 (Abril-Dic) 20100401v5 ejercicio A final envío con cierre (3) v 4" xfId="619" xr:uid="{744D153E-094B-4D21-B129-D6E0FC1221F8}"/>
    <cellStyle name="_INAR_DICIEMBRE_14122007 (modif)_FCST Subsidy Handset 2010 (Abril-Dic) 20100401v5 ejercicio A final envío con cierre (3) v 4 10" xfId="620" xr:uid="{F5E38A8C-EFC1-4A5B-9CED-319FF53FBEF5}"/>
    <cellStyle name="_INAR_DICIEMBRE_14122007 (modif)_FCST Subsidy Handset 2010 (Abril-Dic) 20100401v5 ejercicio A final envío con cierre (3) v 4 11" xfId="621" xr:uid="{91507D5B-7EF6-4892-80DD-4C0C555DDFDB}"/>
    <cellStyle name="_INAR_DICIEMBRE_14122007 (modif)_FCST Subsidy Handset 2010 (Abril-Dic) 20100401v5 ejercicio A final envío con cierre (3) v 4 12" xfId="622" xr:uid="{7850A0F2-3130-410F-9AD6-309D64F22E16}"/>
    <cellStyle name="_INAR_DICIEMBRE_14122007 (modif)_FCST Subsidy Handset 2010 (Abril-Dic) 20100401v5 ejercicio A final envío con cierre (3) v 4 13" xfId="623" xr:uid="{91C26A00-F517-4E1D-BEE5-807ACB493B36}"/>
    <cellStyle name="_INAR_DICIEMBRE_14122007 (modif)_FCST Subsidy Handset 2010 (Abril-Dic) 20100401v5 ejercicio A final envío con cierre (3) v 4 14" xfId="624" xr:uid="{D5538BA0-6BD3-40BC-AD54-D552CC53601D}"/>
    <cellStyle name="_INAR_DICIEMBRE_14122007 (modif)_FCST Subsidy Handset 2010 (Abril-Dic) 20100401v5 ejercicio A final envío con cierre (3) v 4 2" xfId="625" xr:uid="{AAF38BC3-AED9-48DC-BFC8-30755E0ED103}"/>
    <cellStyle name="_INAR_DICIEMBRE_14122007 (modif)_FCST Subsidy Handset 2010 (Abril-Dic) 20100401v5 ejercicio A final envío con cierre (3) v 4 3" xfId="626" xr:uid="{4E0CD375-58FD-40BB-BB34-4C0349934475}"/>
    <cellStyle name="_INAR_DICIEMBRE_14122007 (modif)_FCST Subsidy Handset 2010 (Abril-Dic) 20100401v5 ejercicio A final envío con cierre (3) v 4 4" xfId="627" xr:uid="{8B24A27E-D2DD-4B99-B131-56B611C93E4F}"/>
    <cellStyle name="_INAR_DICIEMBRE_14122007 (modif)_FCST Subsidy Handset 2010 (Abril-Dic) 20100401v5 ejercicio A final envío con cierre (3) v 4 5" xfId="628" xr:uid="{13717A45-BB28-495F-8CB8-BB3415E419D0}"/>
    <cellStyle name="_INAR_DICIEMBRE_14122007 (modif)_FCST Subsidy Handset 2010 (Abril-Dic) 20100401v5 ejercicio A final envío con cierre (3) v 4 6" xfId="629" xr:uid="{9BF02B96-5122-4BE9-8368-C37280717B2F}"/>
    <cellStyle name="_INAR_DICIEMBRE_14122007 (modif)_FCST Subsidy Handset 2010 (Abril-Dic) 20100401v5 ejercicio A final envío con cierre (3) v 4 7" xfId="630" xr:uid="{9C4D4A0B-F3DA-488C-B313-AC1FFD1C2CFD}"/>
    <cellStyle name="_INAR_DICIEMBRE_14122007 (modif)_FCST Subsidy Handset 2010 (Abril-Dic) 20100401v5 ejercicio A final envío con cierre (3) v 4 8" xfId="631" xr:uid="{7BB1F369-938B-43CE-957B-632DA93F1A7E}"/>
    <cellStyle name="_INAR_DICIEMBRE_14122007 (modif)_FCST Subsidy Handset 2010 (Abril-Dic) 20100401v5 ejercicio A final envío con cierre (3) v 4 9" xfId="632" xr:uid="{E80CDD97-327A-47F2-B4C0-3DC6B291BAE1}"/>
    <cellStyle name="_INAR_DICIEMBRE_14122007 (modif)_FCST Subsidy Handset 2010 (Mayo-Dic) 20100518 CT1000 $0 y CT500 $0-$699 v4 ER ejerc promo navidad (2) ej4" xfId="633" xr:uid="{7B2C116F-8A18-4CFD-B405-B6DE9B35F32F}"/>
    <cellStyle name="_INAR_DICIEMBRE_14122007 (modif)_FCST Subsidy Handset 2010 (Mayo-Dic) 20100518 CT1000 $0 y CT500 $0-$699 v4 ER ejerc promo navidad (2) ej4 10" xfId="634" xr:uid="{65070242-BE93-46E2-B0CF-50FA8FBB0935}"/>
    <cellStyle name="_INAR_DICIEMBRE_14122007 (modif)_FCST Subsidy Handset 2010 (Mayo-Dic) 20100518 CT1000 $0 y CT500 $0-$699 v4 ER ejerc promo navidad (2) ej4 11" xfId="635" xr:uid="{818FBC86-4D48-4D14-A09D-54BA20846C33}"/>
    <cellStyle name="_INAR_DICIEMBRE_14122007 (modif)_FCST Subsidy Handset 2010 (Mayo-Dic) 20100518 CT1000 $0 y CT500 $0-$699 v4 ER ejerc promo navidad (2) ej4 12" xfId="636" xr:uid="{257D9B79-39DE-4E23-AE6C-5E2835DF41DA}"/>
    <cellStyle name="_INAR_DICIEMBRE_14122007 (modif)_FCST Subsidy Handset 2010 (Mayo-Dic) 20100518 CT1000 $0 y CT500 $0-$699 v4 ER ejerc promo navidad (2) ej4 13" xfId="637" xr:uid="{F5F20977-8C01-412B-8DC2-29314F1A58DC}"/>
    <cellStyle name="_INAR_DICIEMBRE_14122007 (modif)_FCST Subsidy Handset 2010 (Mayo-Dic) 20100518 CT1000 $0 y CT500 $0-$699 v4 ER ejerc promo navidad (2) ej4 14" xfId="638" xr:uid="{EC9B5AF0-5EBD-4140-B321-157921E82027}"/>
    <cellStyle name="_INAR_DICIEMBRE_14122007 (modif)_FCST Subsidy Handset 2010 (Mayo-Dic) 20100518 CT1000 $0 y CT500 $0-$699 v4 ER ejerc promo navidad (2) ej4 2" xfId="639" xr:uid="{370149E5-DC4F-462E-B829-6E02B80807C5}"/>
    <cellStyle name="_INAR_DICIEMBRE_14122007 (modif)_FCST Subsidy Handset 2010 (Mayo-Dic) 20100518 CT1000 $0 y CT500 $0-$699 v4 ER ejerc promo navidad (2) ej4 3" xfId="640" xr:uid="{8691D1F7-BF9B-45C0-AF64-2A18912EF462}"/>
    <cellStyle name="_INAR_DICIEMBRE_14122007 (modif)_FCST Subsidy Handset 2010 (Mayo-Dic) 20100518 CT1000 $0 y CT500 $0-$699 v4 ER ejerc promo navidad (2) ej4 4" xfId="641" xr:uid="{3BF6732F-7EE5-4080-B142-2DC13744E159}"/>
    <cellStyle name="_INAR_DICIEMBRE_14122007 (modif)_FCST Subsidy Handset 2010 (Mayo-Dic) 20100518 CT1000 $0 y CT500 $0-$699 v4 ER ejerc promo navidad (2) ej4 5" xfId="642" xr:uid="{416B53A6-F75D-4D3E-A0AA-8E2E1466B6C1}"/>
    <cellStyle name="_INAR_DICIEMBRE_14122007 (modif)_FCST Subsidy Handset 2010 (Mayo-Dic) 20100518 CT1000 $0 y CT500 $0-$699 v4 ER ejerc promo navidad (2) ej4 6" xfId="643" xr:uid="{297A6724-A0F2-4853-AFE1-EAB909AA39DB}"/>
    <cellStyle name="_INAR_DICIEMBRE_14122007 (modif)_FCST Subsidy Handset 2010 (Mayo-Dic) 20100518 CT1000 $0 y CT500 $0-$699 v4 ER ejerc promo navidad (2) ej4 7" xfId="644" xr:uid="{31F813AE-FC86-4A54-8C91-753A982A8470}"/>
    <cellStyle name="_INAR_DICIEMBRE_14122007 (modif)_FCST Subsidy Handset 2010 (Mayo-Dic) 20100518 CT1000 $0 y CT500 $0-$699 v4 ER ejerc promo navidad (2) ej4 8" xfId="645" xr:uid="{FBA5CC84-E8BD-4EA4-93D2-0BD49E51FB30}"/>
    <cellStyle name="_INAR_DICIEMBRE_14122007 (modif)_FCST Subsidy Handset 2010 (Mayo-Dic) 20100518 CT1000 $0 y CT500 $0-$699 v4 ER ejerc promo navidad (2) ej4 9" xfId="646" xr:uid="{32B322DA-BB7C-4324-B050-2DDE49FA8046}"/>
    <cellStyle name="_INAR_DICIEMBRE_14122007 (modif)_Mix y ARP 2010 v2" xfId="647" xr:uid="{FF93A40F-6641-4164-AEA7-D8E960D066FF}"/>
    <cellStyle name="_INAR_DICIEMBRE_14122007 (modif)_Mix y ARP 2010 v2 10" xfId="648" xr:uid="{6A5107B5-DBBF-4DEB-97A2-72613E50A175}"/>
    <cellStyle name="_INAR_DICIEMBRE_14122007 (modif)_Mix y ARP 2010 v2 11" xfId="649" xr:uid="{6F81F22C-B10E-4239-8BA0-DEC3EB0746E9}"/>
    <cellStyle name="_INAR_DICIEMBRE_14122007 (modif)_Mix y ARP 2010 v2 12" xfId="650" xr:uid="{B5A8AAD2-222B-4FB1-BD11-7947B83DAE3C}"/>
    <cellStyle name="_INAR_DICIEMBRE_14122007 (modif)_Mix y ARP 2010 v2 13" xfId="651" xr:uid="{FF2E079C-8985-4E2D-BFDF-2B9C29209524}"/>
    <cellStyle name="_INAR_DICIEMBRE_14122007 (modif)_Mix y ARP 2010 v2 14" xfId="652" xr:uid="{24241AD4-4932-481C-824C-E1E08BDF8F2B}"/>
    <cellStyle name="_INAR_DICIEMBRE_14122007 (modif)_Mix y ARP 2010 v2 2" xfId="653" xr:uid="{84CBC08D-8719-491F-A72E-A6812F86B090}"/>
    <cellStyle name="_INAR_DICIEMBRE_14122007 (modif)_Mix y ARP 2010 v2 3" xfId="654" xr:uid="{7FB0AEE2-3904-4447-8A8B-4A2299BCB39C}"/>
    <cellStyle name="_INAR_DICIEMBRE_14122007 (modif)_Mix y ARP 2010 v2 4" xfId="655" xr:uid="{0F973861-F59A-4E37-9CEB-EAF552ABABB3}"/>
    <cellStyle name="_INAR_DICIEMBRE_14122007 (modif)_Mix y ARP 2010 v2 5" xfId="656" xr:uid="{34C369A2-BDB8-4FCA-BFB4-C2215AD4F3EB}"/>
    <cellStyle name="_INAR_DICIEMBRE_14122007 (modif)_Mix y ARP 2010 v2 6" xfId="657" xr:uid="{D3E60532-6D29-4489-9221-7640E2A3E2F6}"/>
    <cellStyle name="_INAR_DICIEMBRE_14122007 (modif)_Mix y ARP 2010 v2 7" xfId="658" xr:uid="{E32CCE6B-174C-4F4A-9C02-29C98904AAA9}"/>
    <cellStyle name="_INAR_DICIEMBRE_14122007 (modif)_Mix y ARP 2010 v2 8" xfId="659" xr:uid="{E742863F-030E-4FD6-BB4C-F4E51907FA13}"/>
    <cellStyle name="_INAR_DICIEMBRE_14122007 (modif)_Mix y ARP 2010 v2 9" xfId="660" xr:uid="{07F8BD72-D890-4997-A8B5-229B9158063E}"/>
    <cellStyle name="_INAR_DICIEMBRE_17122007 (modif)" xfId="661" xr:uid="{F4FB7710-5F17-4F11-A4EC-BAA0E3460970}"/>
    <cellStyle name="_INAR_DICIEMBRE_17122007 (modif)_FCST Subsidy Handset 2010 (Abril-Dic) 20100401v5 ejercicio A final envío con cierre (3) v 4" xfId="662" xr:uid="{1C405072-02DD-41BD-9314-2F3BEC391DDD}"/>
    <cellStyle name="_INAR_DICIEMBRE_17122007 (modif)_FCST Subsidy Handset 2010 (Abril-Dic) 20100401v5 ejercicio A final envío con cierre (3) v 4 10" xfId="663" xr:uid="{D3BE3675-39FA-4598-80D3-6F210993DCF6}"/>
    <cellStyle name="_INAR_DICIEMBRE_17122007 (modif)_FCST Subsidy Handset 2010 (Abril-Dic) 20100401v5 ejercicio A final envío con cierre (3) v 4 11" xfId="664" xr:uid="{6DA31697-571B-438E-975D-27FF5BC5D14C}"/>
    <cellStyle name="_INAR_DICIEMBRE_17122007 (modif)_FCST Subsidy Handset 2010 (Abril-Dic) 20100401v5 ejercicio A final envío con cierre (3) v 4 12" xfId="665" xr:uid="{43F66DDC-DC65-4D44-A4FE-A7483E14A887}"/>
    <cellStyle name="_INAR_DICIEMBRE_17122007 (modif)_FCST Subsidy Handset 2010 (Abril-Dic) 20100401v5 ejercicio A final envío con cierre (3) v 4 13" xfId="666" xr:uid="{2F2B4FFB-C8F6-413E-ADB9-3E3E0E6D7BA8}"/>
    <cellStyle name="_INAR_DICIEMBRE_17122007 (modif)_FCST Subsidy Handset 2010 (Abril-Dic) 20100401v5 ejercicio A final envío con cierre (3) v 4 14" xfId="667" xr:uid="{813544A6-5084-41FD-AD8E-DA181667D0EC}"/>
    <cellStyle name="_INAR_DICIEMBRE_17122007 (modif)_FCST Subsidy Handset 2010 (Abril-Dic) 20100401v5 ejercicio A final envío con cierre (3) v 4 2" xfId="668" xr:uid="{7A5A5E54-2298-45CA-8E73-9C5A8AF36A42}"/>
    <cellStyle name="_INAR_DICIEMBRE_17122007 (modif)_FCST Subsidy Handset 2010 (Abril-Dic) 20100401v5 ejercicio A final envío con cierre (3) v 4 3" xfId="669" xr:uid="{30629482-476D-4938-91DC-E6286C73AA8B}"/>
    <cellStyle name="_INAR_DICIEMBRE_17122007 (modif)_FCST Subsidy Handset 2010 (Abril-Dic) 20100401v5 ejercicio A final envío con cierre (3) v 4 4" xfId="670" xr:uid="{7FB496C8-F279-4584-A163-3D5CBE5B2BEE}"/>
    <cellStyle name="_INAR_DICIEMBRE_17122007 (modif)_FCST Subsidy Handset 2010 (Abril-Dic) 20100401v5 ejercicio A final envío con cierre (3) v 4 5" xfId="671" xr:uid="{9B01BBCB-B52D-4C8D-9297-282A8CEC3FDD}"/>
    <cellStyle name="_INAR_DICIEMBRE_17122007 (modif)_FCST Subsidy Handset 2010 (Abril-Dic) 20100401v5 ejercicio A final envío con cierre (3) v 4 6" xfId="672" xr:uid="{D7152E02-BCCD-4779-8175-13CCF6E1FC59}"/>
    <cellStyle name="_INAR_DICIEMBRE_17122007 (modif)_FCST Subsidy Handset 2010 (Abril-Dic) 20100401v5 ejercicio A final envío con cierre (3) v 4 7" xfId="673" xr:uid="{8963E8A9-AA55-4AB5-8EFA-AF539295862F}"/>
    <cellStyle name="_INAR_DICIEMBRE_17122007 (modif)_FCST Subsidy Handset 2010 (Abril-Dic) 20100401v5 ejercicio A final envío con cierre (3) v 4 8" xfId="674" xr:uid="{9A59EE05-7BCD-4F5D-82AD-DAB5EC21FC93}"/>
    <cellStyle name="_INAR_DICIEMBRE_17122007 (modif)_FCST Subsidy Handset 2010 (Abril-Dic) 20100401v5 ejercicio A final envío con cierre (3) v 4 9" xfId="675" xr:uid="{1446FBA4-18BF-4887-997E-7C237ABB0C61}"/>
    <cellStyle name="_INAR_DICIEMBRE_17122007 (modif)_FCST Subsidy Handset 2010 (Mayo-Dic) 20100518 CT1000 $0 y CT500 $0-$699 v4 ER ejerc promo navidad (2) ej4" xfId="676" xr:uid="{9BE0A618-9862-47CD-9F38-3737BC912B37}"/>
    <cellStyle name="_INAR_DICIEMBRE_17122007 (modif)_FCST Subsidy Handset 2010 (Mayo-Dic) 20100518 CT1000 $0 y CT500 $0-$699 v4 ER ejerc promo navidad (2) ej4 10" xfId="677" xr:uid="{5569ED66-FE48-4617-8EF2-3BF3383DEC36}"/>
    <cellStyle name="_INAR_DICIEMBRE_17122007 (modif)_FCST Subsidy Handset 2010 (Mayo-Dic) 20100518 CT1000 $0 y CT500 $0-$699 v4 ER ejerc promo navidad (2) ej4 11" xfId="678" xr:uid="{0CCA2ED9-E040-442F-B5F5-94D9065A420E}"/>
    <cellStyle name="_INAR_DICIEMBRE_17122007 (modif)_FCST Subsidy Handset 2010 (Mayo-Dic) 20100518 CT1000 $0 y CT500 $0-$699 v4 ER ejerc promo navidad (2) ej4 12" xfId="679" xr:uid="{848A8E52-EB3F-4245-82EC-153B98314A93}"/>
    <cellStyle name="_INAR_DICIEMBRE_17122007 (modif)_FCST Subsidy Handset 2010 (Mayo-Dic) 20100518 CT1000 $0 y CT500 $0-$699 v4 ER ejerc promo navidad (2) ej4 13" xfId="680" xr:uid="{0C8FCCC4-6DF6-4D8B-87B8-4B178E65AC13}"/>
    <cellStyle name="_INAR_DICIEMBRE_17122007 (modif)_FCST Subsidy Handset 2010 (Mayo-Dic) 20100518 CT1000 $0 y CT500 $0-$699 v4 ER ejerc promo navidad (2) ej4 14" xfId="681" xr:uid="{B1B982F0-425D-4E23-9A07-4A58D66B2E60}"/>
    <cellStyle name="_INAR_DICIEMBRE_17122007 (modif)_FCST Subsidy Handset 2010 (Mayo-Dic) 20100518 CT1000 $0 y CT500 $0-$699 v4 ER ejerc promo navidad (2) ej4 2" xfId="682" xr:uid="{390B9910-8397-4135-B329-68D50786776D}"/>
    <cellStyle name="_INAR_DICIEMBRE_17122007 (modif)_FCST Subsidy Handset 2010 (Mayo-Dic) 20100518 CT1000 $0 y CT500 $0-$699 v4 ER ejerc promo navidad (2) ej4 3" xfId="683" xr:uid="{2E717BAD-78AC-4472-B9CD-7EB5EDBC63B9}"/>
    <cellStyle name="_INAR_DICIEMBRE_17122007 (modif)_FCST Subsidy Handset 2010 (Mayo-Dic) 20100518 CT1000 $0 y CT500 $0-$699 v4 ER ejerc promo navidad (2) ej4 4" xfId="684" xr:uid="{B8E0F1E3-2287-439E-913D-A34797EC2E75}"/>
    <cellStyle name="_INAR_DICIEMBRE_17122007 (modif)_FCST Subsidy Handset 2010 (Mayo-Dic) 20100518 CT1000 $0 y CT500 $0-$699 v4 ER ejerc promo navidad (2) ej4 5" xfId="685" xr:uid="{B3EE2B14-4AC9-453F-A4D9-E00A8470100B}"/>
    <cellStyle name="_INAR_DICIEMBRE_17122007 (modif)_FCST Subsidy Handset 2010 (Mayo-Dic) 20100518 CT1000 $0 y CT500 $0-$699 v4 ER ejerc promo navidad (2) ej4 6" xfId="686" xr:uid="{E865CCD9-749A-4A6B-81A2-328022C93942}"/>
    <cellStyle name="_INAR_DICIEMBRE_17122007 (modif)_FCST Subsidy Handset 2010 (Mayo-Dic) 20100518 CT1000 $0 y CT500 $0-$699 v4 ER ejerc promo navidad (2) ej4 7" xfId="687" xr:uid="{20B42246-7EE1-48C5-8DF9-0544C5B68F29}"/>
    <cellStyle name="_INAR_DICIEMBRE_17122007 (modif)_FCST Subsidy Handset 2010 (Mayo-Dic) 20100518 CT1000 $0 y CT500 $0-$699 v4 ER ejerc promo navidad (2) ej4 8" xfId="688" xr:uid="{2F2DD477-0598-4D49-A821-DAF2123AD110}"/>
    <cellStyle name="_INAR_DICIEMBRE_17122007 (modif)_FCST Subsidy Handset 2010 (Mayo-Dic) 20100518 CT1000 $0 y CT500 $0-$699 v4 ER ejerc promo navidad (2) ej4 9" xfId="689" xr:uid="{BB9984E7-5892-4B4B-9DEC-D3D0A26D5928}"/>
    <cellStyle name="_INAR_DICIEMBRE_17122007 (modif)_Mix y ARP 2010 v2" xfId="690" xr:uid="{9D33683B-B017-45D9-B72A-D3C0A979D5D4}"/>
    <cellStyle name="_INAR_DICIEMBRE_17122007 (modif)_Mix y ARP 2010 v2 10" xfId="691" xr:uid="{0E3471E8-5D12-4F25-B5F9-ED47666C9B62}"/>
    <cellStyle name="_INAR_DICIEMBRE_17122007 (modif)_Mix y ARP 2010 v2 11" xfId="692" xr:uid="{1D46AC9C-1102-488F-9AE5-2FB311C0E002}"/>
    <cellStyle name="_INAR_DICIEMBRE_17122007 (modif)_Mix y ARP 2010 v2 12" xfId="693" xr:uid="{284E5516-8F12-4785-ACB6-C21753D50E52}"/>
    <cellStyle name="_INAR_DICIEMBRE_17122007 (modif)_Mix y ARP 2010 v2 13" xfId="694" xr:uid="{90D7444E-75D1-43C7-998B-448159B5AB47}"/>
    <cellStyle name="_INAR_DICIEMBRE_17122007 (modif)_Mix y ARP 2010 v2 14" xfId="695" xr:uid="{9E78F977-03BA-439B-9AA8-AFD2342008D8}"/>
    <cellStyle name="_INAR_DICIEMBRE_17122007 (modif)_Mix y ARP 2010 v2 2" xfId="696" xr:uid="{0E453361-D50C-4666-9EC2-DB6CCBA05951}"/>
    <cellStyle name="_INAR_DICIEMBRE_17122007 (modif)_Mix y ARP 2010 v2 3" xfId="697" xr:uid="{D37D9D6F-103B-4188-88D2-75B68ECA7BDB}"/>
    <cellStyle name="_INAR_DICIEMBRE_17122007 (modif)_Mix y ARP 2010 v2 4" xfId="698" xr:uid="{3947AFD3-FF67-4033-A38A-EB85FA8DBEA8}"/>
    <cellStyle name="_INAR_DICIEMBRE_17122007 (modif)_Mix y ARP 2010 v2 5" xfId="699" xr:uid="{B83DCDCD-AC37-457E-99C7-8A4A599D97CF}"/>
    <cellStyle name="_INAR_DICIEMBRE_17122007 (modif)_Mix y ARP 2010 v2 6" xfId="700" xr:uid="{33CD0461-C804-48E2-9E62-9722B4F482BD}"/>
    <cellStyle name="_INAR_DICIEMBRE_17122007 (modif)_Mix y ARP 2010 v2 7" xfId="701" xr:uid="{797DDD83-6C3D-42F3-AB5B-90DB855E25AB}"/>
    <cellStyle name="_INAR_DICIEMBRE_17122007 (modif)_Mix y ARP 2010 v2 8" xfId="702" xr:uid="{1BA00118-9766-449F-97FE-C05FD2C2C322}"/>
    <cellStyle name="_INAR_DICIEMBRE_17122007 (modif)_Mix y ARP 2010 v2 9" xfId="703" xr:uid="{24EE3159-D25D-4991-ACDA-1F9E10E693CC}"/>
    <cellStyle name="_INAR_DICIEMBRE_18122007 (modif) (version 1)" xfId="704" xr:uid="{66CA85F6-6BCF-497E-9CD7-0F1ECAEACCC2}"/>
    <cellStyle name="_INAR_DICIEMBRE_18122007 (modif) (version 1)_FCST Subsidy Handset 2010 (Abril-Dic) 20100401v5 ejercicio A final envío con cierre (3) v 4" xfId="705" xr:uid="{903CC7AE-DA05-4798-978A-2F7171298EE2}"/>
    <cellStyle name="_INAR_DICIEMBRE_18122007 (modif) (version 1)_FCST Subsidy Handset 2010 (Abril-Dic) 20100401v5 ejercicio A final envío con cierre (3) v 4 10" xfId="706" xr:uid="{4D3F78F5-47A1-4623-A182-1A6A3DCA2DAB}"/>
    <cellStyle name="_INAR_DICIEMBRE_18122007 (modif) (version 1)_FCST Subsidy Handset 2010 (Abril-Dic) 20100401v5 ejercicio A final envío con cierre (3) v 4 11" xfId="707" xr:uid="{EA169DCD-A8A1-43F2-A47A-8C5BE151496A}"/>
    <cellStyle name="_INAR_DICIEMBRE_18122007 (modif) (version 1)_FCST Subsidy Handset 2010 (Abril-Dic) 20100401v5 ejercicio A final envío con cierre (3) v 4 12" xfId="708" xr:uid="{FB2E9B3F-F772-4C6D-B6CE-DD86E10EFC07}"/>
    <cellStyle name="_INAR_DICIEMBRE_18122007 (modif) (version 1)_FCST Subsidy Handset 2010 (Abril-Dic) 20100401v5 ejercicio A final envío con cierre (3) v 4 13" xfId="709" xr:uid="{1B7C6C4F-05BA-4BF4-8843-BCD2F0B6E6EE}"/>
    <cellStyle name="_INAR_DICIEMBRE_18122007 (modif) (version 1)_FCST Subsidy Handset 2010 (Abril-Dic) 20100401v5 ejercicio A final envío con cierre (3) v 4 14" xfId="710" xr:uid="{FC51551C-3552-47DE-AF17-E2B40A822C9C}"/>
    <cellStyle name="_INAR_DICIEMBRE_18122007 (modif) (version 1)_FCST Subsidy Handset 2010 (Abril-Dic) 20100401v5 ejercicio A final envío con cierre (3) v 4 2" xfId="711" xr:uid="{150C4FD7-BC20-4458-A244-879D0999CC07}"/>
    <cellStyle name="_INAR_DICIEMBRE_18122007 (modif) (version 1)_FCST Subsidy Handset 2010 (Abril-Dic) 20100401v5 ejercicio A final envío con cierre (3) v 4 3" xfId="712" xr:uid="{08635313-1CE7-470F-A0BE-CFA76B0C87FF}"/>
    <cellStyle name="_INAR_DICIEMBRE_18122007 (modif) (version 1)_FCST Subsidy Handset 2010 (Abril-Dic) 20100401v5 ejercicio A final envío con cierre (3) v 4 4" xfId="713" xr:uid="{4C60CC26-7DFD-4A40-B4E9-5175CB4C733B}"/>
    <cellStyle name="_INAR_DICIEMBRE_18122007 (modif) (version 1)_FCST Subsidy Handset 2010 (Abril-Dic) 20100401v5 ejercicio A final envío con cierre (3) v 4 5" xfId="714" xr:uid="{5B95F83D-2C7C-4684-81F9-176F2B07D5AB}"/>
    <cellStyle name="_INAR_DICIEMBRE_18122007 (modif) (version 1)_FCST Subsidy Handset 2010 (Abril-Dic) 20100401v5 ejercicio A final envío con cierre (3) v 4 6" xfId="715" xr:uid="{EAEF295C-4D7D-4101-A2A9-F6C067876C7F}"/>
    <cellStyle name="_INAR_DICIEMBRE_18122007 (modif) (version 1)_FCST Subsidy Handset 2010 (Abril-Dic) 20100401v5 ejercicio A final envío con cierre (3) v 4 7" xfId="716" xr:uid="{A5E373E5-7849-4AF7-9C37-57F1ABDF2178}"/>
    <cellStyle name="_INAR_DICIEMBRE_18122007 (modif) (version 1)_FCST Subsidy Handset 2010 (Abril-Dic) 20100401v5 ejercicio A final envío con cierre (3) v 4 8" xfId="717" xr:uid="{482A86D1-E4B4-4593-8F7F-3C991B561F18}"/>
    <cellStyle name="_INAR_DICIEMBRE_18122007 (modif) (version 1)_FCST Subsidy Handset 2010 (Abril-Dic) 20100401v5 ejercicio A final envío con cierre (3) v 4 9" xfId="718" xr:uid="{9C0FA6E5-028A-41ED-B4F1-ED2C71F32099}"/>
    <cellStyle name="_INAR_DICIEMBRE_18122007 (modif) (version 1)_FCST Subsidy Handset 2010 (Mayo-Dic) 20100518 CT1000 $0 y CT500 $0-$699 v4 ER ejerc promo navidad (2) ej4" xfId="719" xr:uid="{9379DFFF-0C92-40C2-8023-B715315956CB}"/>
    <cellStyle name="_INAR_DICIEMBRE_18122007 (modif) (version 1)_FCST Subsidy Handset 2010 (Mayo-Dic) 20100518 CT1000 $0 y CT500 $0-$699 v4 ER ejerc promo navidad (2) ej4 10" xfId="720" xr:uid="{BB7C2D9C-40A4-458D-889E-5029169CCC4B}"/>
    <cellStyle name="_INAR_DICIEMBRE_18122007 (modif) (version 1)_FCST Subsidy Handset 2010 (Mayo-Dic) 20100518 CT1000 $0 y CT500 $0-$699 v4 ER ejerc promo navidad (2) ej4 11" xfId="721" xr:uid="{08424A45-F8C1-481C-BD5C-700AB2E83A4D}"/>
    <cellStyle name="_INAR_DICIEMBRE_18122007 (modif) (version 1)_FCST Subsidy Handset 2010 (Mayo-Dic) 20100518 CT1000 $0 y CT500 $0-$699 v4 ER ejerc promo navidad (2) ej4 12" xfId="722" xr:uid="{76E10197-ED8C-4421-9B9C-0FA078554723}"/>
    <cellStyle name="_INAR_DICIEMBRE_18122007 (modif) (version 1)_FCST Subsidy Handset 2010 (Mayo-Dic) 20100518 CT1000 $0 y CT500 $0-$699 v4 ER ejerc promo navidad (2) ej4 13" xfId="723" xr:uid="{7AC57BA3-927E-4547-8C7E-DBE80BCB1522}"/>
    <cellStyle name="_INAR_DICIEMBRE_18122007 (modif) (version 1)_FCST Subsidy Handset 2010 (Mayo-Dic) 20100518 CT1000 $0 y CT500 $0-$699 v4 ER ejerc promo navidad (2) ej4 14" xfId="724" xr:uid="{25926BB7-C03E-445D-9E76-3C1DA598E80E}"/>
    <cellStyle name="_INAR_DICIEMBRE_18122007 (modif) (version 1)_FCST Subsidy Handset 2010 (Mayo-Dic) 20100518 CT1000 $0 y CT500 $0-$699 v4 ER ejerc promo navidad (2) ej4 2" xfId="725" xr:uid="{4E5E03BA-02A1-41B0-81E2-5D3C9182264D}"/>
    <cellStyle name="_INAR_DICIEMBRE_18122007 (modif) (version 1)_FCST Subsidy Handset 2010 (Mayo-Dic) 20100518 CT1000 $0 y CT500 $0-$699 v4 ER ejerc promo navidad (2) ej4 3" xfId="726" xr:uid="{2199F719-A3AD-46C4-B3B2-CEABE8C53875}"/>
    <cellStyle name="_INAR_DICIEMBRE_18122007 (modif) (version 1)_FCST Subsidy Handset 2010 (Mayo-Dic) 20100518 CT1000 $0 y CT500 $0-$699 v4 ER ejerc promo navidad (2) ej4 4" xfId="727" xr:uid="{D80616E3-F5C8-43CB-8613-6B3ADF257CDE}"/>
    <cellStyle name="_INAR_DICIEMBRE_18122007 (modif) (version 1)_FCST Subsidy Handset 2010 (Mayo-Dic) 20100518 CT1000 $0 y CT500 $0-$699 v4 ER ejerc promo navidad (2) ej4 5" xfId="728" xr:uid="{2B78263E-93B4-4B6C-9B9F-923A813AD83C}"/>
    <cellStyle name="_INAR_DICIEMBRE_18122007 (modif) (version 1)_FCST Subsidy Handset 2010 (Mayo-Dic) 20100518 CT1000 $0 y CT500 $0-$699 v4 ER ejerc promo navidad (2) ej4 6" xfId="729" xr:uid="{B673945A-61F5-4CFB-81A0-13528C313996}"/>
    <cellStyle name="_INAR_DICIEMBRE_18122007 (modif) (version 1)_FCST Subsidy Handset 2010 (Mayo-Dic) 20100518 CT1000 $0 y CT500 $0-$699 v4 ER ejerc promo navidad (2) ej4 7" xfId="730" xr:uid="{DDED7524-D041-4DC7-BC49-106B02E36944}"/>
    <cellStyle name="_INAR_DICIEMBRE_18122007 (modif) (version 1)_FCST Subsidy Handset 2010 (Mayo-Dic) 20100518 CT1000 $0 y CT500 $0-$699 v4 ER ejerc promo navidad (2) ej4 8" xfId="731" xr:uid="{1FE4DA61-A830-4704-B3D4-21EDA6CAE716}"/>
    <cellStyle name="_INAR_DICIEMBRE_18122007 (modif) (version 1)_FCST Subsidy Handset 2010 (Mayo-Dic) 20100518 CT1000 $0 y CT500 $0-$699 v4 ER ejerc promo navidad (2) ej4 9" xfId="732" xr:uid="{403EE96D-E3C1-4E08-8251-C6DBA8F67666}"/>
    <cellStyle name="_INAR_DICIEMBRE_18122007 (modif) (version 1)_Mix y ARP 2010 v2" xfId="733" xr:uid="{8A42070B-19CE-447A-B5F7-D73C6713495E}"/>
    <cellStyle name="_INAR_DICIEMBRE_18122007 (modif) (version 1)_Mix y ARP 2010 v2 10" xfId="734" xr:uid="{405EB13D-0A50-455B-8E83-A46CE5418283}"/>
    <cellStyle name="_INAR_DICIEMBRE_18122007 (modif) (version 1)_Mix y ARP 2010 v2 11" xfId="735" xr:uid="{948CF326-D9E4-4EB1-89A5-3D360CF351E9}"/>
    <cellStyle name="_INAR_DICIEMBRE_18122007 (modif) (version 1)_Mix y ARP 2010 v2 12" xfId="736" xr:uid="{1F2AA26B-3BFD-453F-8523-1574738FA246}"/>
    <cellStyle name="_INAR_DICIEMBRE_18122007 (modif) (version 1)_Mix y ARP 2010 v2 13" xfId="737" xr:uid="{9B1FDCCF-1B9F-4B4E-8BEC-123A22DD1711}"/>
    <cellStyle name="_INAR_DICIEMBRE_18122007 (modif) (version 1)_Mix y ARP 2010 v2 14" xfId="738" xr:uid="{CAB76CDB-3F64-4023-84B8-5B81EB1B57F6}"/>
    <cellStyle name="_INAR_DICIEMBRE_18122007 (modif) (version 1)_Mix y ARP 2010 v2 2" xfId="739" xr:uid="{98379341-DD76-42A3-BD35-BE1659E2E777}"/>
    <cellStyle name="_INAR_DICIEMBRE_18122007 (modif) (version 1)_Mix y ARP 2010 v2 3" xfId="740" xr:uid="{5DC7699F-9E0C-4AB1-A970-856B27FF9137}"/>
    <cellStyle name="_INAR_DICIEMBRE_18122007 (modif) (version 1)_Mix y ARP 2010 v2 4" xfId="741" xr:uid="{19C192D5-674A-4E27-9F8D-520606D4AF59}"/>
    <cellStyle name="_INAR_DICIEMBRE_18122007 (modif) (version 1)_Mix y ARP 2010 v2 5" xfId="742" xr:uid="{F6E45449-32CC-4ADB-8AFB-F39683C87F5C}"/>
    <cellStyle name="_INAR_DICIEMBRE_18122007 (modif) (version 1)_Mix y ARP 2010 v2 6" xfId="743" xr:uid="{613A950F-A73E-4380-90F6-A4903F2B407B}"/>
    <cellStyle name="_INAR_DICIEMBRE_18122007 (modif) (version 1)_Mix y ARP 2010 v2 7" xfId="744" xr:uid="{292FE3DB-36C1-4825-8A8B-0B745919F041}"/>
    <cellStyle name="_INAR_DICIEMBRE_18122007 (modif) (version 1)_Mix y ARP 2010 v2 8" xfId="745" xr:uid="{61FA98F0-6F27-49D4-B178-7F64B5420F0E}"/>
    <cellStyle name="_INAR_DICIEMBRE_18122007 (modif) (version 1)_Mix y ARP 2010 v2 9" xfId="746" xr:uid="{4573CBD7-DBAD-4704-BA39-091746D203BF}"/>
    <cellStyle name="_INAR_DICIEMBRE_19122007 (modif)" xfId="747" xr:uid="{3C97D637-02C9-4CFE-92C9-25D1604845B9}"/>
    <cellStyle name="_INAR_DICIEMBRE_19122007 (modif)_FCST Subsidy Handset 2010 (Abril-Dic) 20100401v5 ejercicio A final envío con cierre (3) v 4" xfId="748" xr:uid="{B0415873-6F37-4A05-87F1-E42DAC707F99}"/>
    <cellStyle name="_INAR_DICIEMBRE_19122007 (modif)_FCST Subsidy Handset 2010 (Abril-Dic) 20100401v5 ejercicio A final envío con cierre (3) v 4 10" xfId="749" xr:uid="{D2878757-70A9-4750-82A8-B42C69EDED2C}"/>
    <cellStyle name="_INAR_DICIEMBRE_19122007 (modif)_FCST Subsidy Handset 2010 (Abril-Dic) 20100401v5 ejercicio A final envío con cierre (3) v 4 11" xfId="750" xr:uid="{84924444-73E8-484C-AB5C-CCD747FB6E2D}"/>
    <cellStyle name="_INAR_DICIEMBRE_19122007 (modif)_FCST Subsidy Handset 2010 (Abril-Dic) 20100401v5 ejercicio A final envío con cierre (3) v 4 12" xfId="751" xr:uid="{A73D1971-FEFE-432E-A250-7DC7C8D087E5}"/>
    <cellStyle name="_INAR_DICIEMBRE_19122007 (modif)_FCST Subsidy Handset 2010 (Abril-Dic) 20100401v5 ejercicio A final envío con cierre (3) v 4 13" xfId="752" xr:uid="{F4A736CE-9F90-403C-B689-00B091501241}"/>
    <cellStyle name="_INAR_DICIEMBRE_19122007 (modif)_FCST Subsidy Handset 2010 (Abril-Dic) 20100401v5 ejercicio A final envío con cierre (3) v 4 14" xfId="753" xr:uid="{BEC54954-8A24-4429-BB37-155CED0EEB0E}"/>
    <cellStyle name="_INAR_DICIEMBRE_19122007 (modif)_FCST Subsidy Handset 2010 (Abril-Dic) 20100401v5 ejercicio A final envío con cierre (3) v 4 2" xfId="754" xr:uid="{1FB688E2-07A3-4C16-8420-4106C0C33F06}"/>
    <cellStyle name="_INAR_DICIEMBRE_19122007 (modif)_FCST Subsidy Handset 2010 (Abril-Dic) 20100401v5 ejercicio A final envío con cierre (3) v 4 3" xfId="755" xr:uid="{C266D1B3-0D65-4522-AA6C-61879F999E50}"/>
    <cellStyle name="_INAR_DICIEMBRE_19122007 (modif)_FCST Subsidy Handset 2010 (Abril-Dic) 20100401v5 ejercicio A final envío con cierre (3) v 4 4" xfId="756" xr:uid="{A9E31D3A-C06D-4B82-AC6D-C6DC6A0F0B1F}"/>
    <cellStyle name="_INAR_DICIEMBRE_19122007 (modif)_FCST Subsidy Handset 2010 (Abril-Dic) 20100401v5 ejercicio A final envío con cierre (3) v 4 5" xfId="757" xr:uid="{C64C26A1-A519-41C4-838C-D3260CBCC62E}"/>
    <cellStyle name="_INAR_DICIEMBRE_19122007 (modif)_FCST Subsidy Handset 2010 (Abril-Dic) 20100401v5 ejercicio A final envío con cierre (3) v 4 6" xfId="758" xr:uid="{88A85BC2-363C-4CD4-91E3-0907EBC37E29}"/>
    <cellStyle name="_INAR_DICIEMBRE_19122007 (modif)_FCST Subsidy Handset 2010 (Abril-Dic) 20100401v5 ejercicio A final envío con cierre (3) v 4 7" xfId="759" xr:uid="{7E47115C-11E3-49AC-A135-AE4D90F6CDC5}"/>
    <cellStyle name="_INAR_DICIEMBRE_19122007 (modif)_FCST Subsidy Handset 2010 (Abril-Dic) 20100401v5 ejercicio A final envío con cierre (3) v 4 8" xfId="760" xr:uid="{3B397FF8-ED10-4B21-B010-1D6F8818C6DA}"/>
    <cellStyle name="_INAR_DICIEMBRE_19122007 (modif)_FCST Subsidy Handset 2010 (Abril-Dic) 20100401v5 ejercicio A final envío con cierre (3) v 4 9" xfId="761" xr:uid="{DA35947C-A406-4473-80A9-7824F04DC3AF}"/>
    <cellStyle name="_INAR_DICIEMBRE_19122007 (modif)_FCST Subsidy Handset 2010 (Mayo-Dic) 20100518 CT1000 $0 y CT500 $0-$699 v4 ER ejerc promo navidad (2) ej4" xfId="762" xr:uid="{C7D15887-7844-4D31-905E-6CD26FAEF7E4}"/>
    <cellStyle name="_INAR_DICIEMBRE_19122007 (modif)_FCST Subsidy Handset 2010 (Mayo-Dic) 20100518 CT1000 $0 y CT500 $0-$699 v4 ER ejerc promo navidad (2) ej4 10" xfId="763" xr:uid="{2128A9E3-EE8A-45BD-ADA8-E0327AD5C89E}"/>
    <cellStyle name="_INAR_DICIEMBRE_19122007 (modif)_FCST Subsidy Handset 2010 (Mayo-Dic) 20100518 CT1000 $0 y CT500 $0-$699 v4 ER ejerc promo navidad (2) ej4 11" xfId="764" xr:uid="{B2000065-7A37-4383-8E9D-BA53E3C364F0}"/>
    <cellStyle name="_INAR_DICIEMBRE_19122007 (modif)_FCST Subsidy Handset 2010 (Mayo-Dic) 20100518 CT1000 $0 y CT500 $0-$699 v4 ER ejerc promo navidad (2) ej4 12" xfId="765" xr:uid="{05FF1074-40D4-4010-A0C6-4D45761A18DD}"/>
    <cellStyle name="_INAR_DICIEMBRE_19122007 (modif)_FCST Subsidy Handset 2010 (Mayo-Dic) 20100518 CT1000 $0 y CT500 $0-$699 v4 ER ejerc promo navidad (2) ej4 13" xfId="766" xr:uid="{52D968EA-CB0F-44E9-842D-A98E918694F8}"/>
    <cellStyle name="_INAR_DICIEMBRE_19122007 (modif)_FCST Subsidy Handset 2010 (Mayo-Dic) 20100518 CT1000 $0 y CT500 $0-$699 v4 ER ejerc promo navidad (2) ej4 14" xfId="767" xr:uid="{3D84D823-A62A-4147-BAFA-84C6EB7EDAF0}"/>
    <cellStyle name="_INAR_DICIEMBRE_19122007 (modif)_FCST Subsidy Handset 2010 (Mayo-Dic) 20100518 CT1000 $0 y CT500 $0-$699 v4 ER ejerc promo navidad (2) ej4 2" xfId="768" xr:uid="{3FAB7AF8-2B96-4007-B7F5-D5452C22E011}"/>
    <cellStyle name="_INAR_DICIEMBRE_19122007 (modif)_FCST Subsidy Handset 2010 (Mayo-Dic) 20100518 CT1000 $0 y CT500 $0-$699 v4 ER ejerc promo navidad (2) ej4 3" xfId="769" xr:uid="{3926CE3A-DED3-4B24-9F5A-2D95C6C0FB07}"/>
    <cellStyle name="_INAR_DICIEMBRE_19122007 (modif)_FCST Subsidy Handset 2010 (Mayo-Dic) 20100518 CT1000 $0 y CT500 $0-$699 v4 ER ejerc promo navidad (2) ej4 4" xfId="770" xr:uid="{126A596F-5B44-4C8E-9751-C46D08B08164}"/>
    <cellStyle name="_INAR_DICIEMBRE_19122007 (modif)_FCST Subsidy Handset 2010 (Mayo-Dic) 20100518 CT1000 $0 y CT500 $0-$699 v4 ER ejerc promo navidad (2) ej4 5" xfId="771" xr:uid="{E56A2C2F-3AB0-4C8C-9031-F4420A5A78C8}"/>
    <cellStyle name="_INAR_DICIEMBRE_19122007 (modif)_FCST Subsidy Handset 2010 (Mayo-Dic) 20100518 CT1000 $0 y CT500 $0-$699 v4 ER ejerc promo navidad (2) ej4 6" xfId="772" xr:uid="{20625B48-AD06-41BA-9243-ED36B6987FE4}"/>
    <cellStyle name="_INAR_DICIEMBRE_19122007 (modif)_FCST Subsidy Handset 2010 (Mayo-Dic) 20100518 CT1000 $0 y CT500 $0-$699 v4 ER ejerc promo navidad (2) ej4 7" xfId="773" xr:uid="{FAB2650B-A098-4E5D-94FF-19D25C9691E7}"/>
    <cellStyle name="_INAR_DICIEMBRE_19122007 (modif)_FCST Subsidy Handset 2010 (Mayo-Dic) 20100518 CT1000 $0 y CT500 $0-$699 v4 ER ejerc promo navidad (2) ej4 8" xfId="774" xr:uid="{00F779C9-4262-44A3-9154-6A4BBA3D7C4B}"/>
    <cellStyle name="_INAR_DICIEMBRE_19122007 (modif)_FCST Subsidy Handset 2010 (Mayo-Dic) 20100518 CT1000 $0 y CT500 $0-$699 v4 ER ejerc promo navidad (2) ej4 9" xfId="775" xr:uid="{4869AE38-FC62-41F3-A4CC-6008219ABB5A}"/>
    <cellStyle name="_INAR_DICIEMBRE_19122007 (modif)_Mix y ARP 2010 v2" xfId="776" xr:uid="{78F18F35-02F0-4FAF-898A-565840099387}"/>
    <cellStyle name="_INAR_DICIEMBRE_19122007 (modif)_Mix y ARP 2010 v2 10" xfId="777" xr:uid="{D799E97F-73EC-467F-AE22-47012CA5705B}"/>
    <cellStyle name="_INAR_DICIEMBRE_19122007 (modif)_Mix y ARP 2010 v2 11" xfId="778" xr:uid="{A521FBBF-8793-42C3-9CB0-E692AB0CF6AE}"/>
    <cellStyle name="_INAR_DICIEMBRE_19122007 (modif)_Mix y ARP 2010 v2 12" xfId="779" xr:uid="{0C6756A5-A185-451E-8067-1DEE15B6A0DF}"/>
    <cellStyle name="_INAR_DICIEMBRE_19122007 (modif)_Mix y ARP 2010 v2 13" xfId="780" xr:uid="{361D1BA5-6B0D-4A92-91AA-F34D109AE849}"/>
    <cellStyle name="_INAR_DICIEMBRE_19122007 (modif)_Mix y ARP 2010 v2 14" xfId="781" xr:uid="{80947871-AF23-46B4-A787-3188A0D9C38B}"/>
    <cellStyle name="_INAR_DICIEMBRE_19122007 (modif)_Mix y ARP 2010 v2 2" xfId="782" xr:uid="{DCBCD174-00FB-4917-8AC9-40A588F52B8C}"/>
    <cellStyle name="_INAR_DICIEMBRE_19122007 (modif)_Mix y ARP 2010 v2 3" xfId="783" xr:uid="{342C70AE-CDB9-4244-A6EE-386503D752F8}"/>
    <cellStyle name="_INAR_DICIEMBRE_19122007 (modif)_Mix y ARP 2010 v2 4" xfId="784" xr:uid="{B89978A4-CBD2-4C53-B313-78D4B3F96C3E}"/>
    <cellStyle name="_INAR_DICIEMBRE_19122007 (modif)_Mix y ARP 2010 v2 5" xfId="785" xr:uid="{C86E6E49-BFF8-43E8-A311-2334ABA1B5B9}"/>
    <cellStyle name="_INAR_DICIEMBRE_19122007 (modif)_Mix y ARP 2010 v2 6" xfId="786" xr:uid="{3FB727B3-E5BC-416A-8A37-848FCCBF048D}"/>
    <cellStyle name="_INAR_DICIEMBRE_19122007 (modif)_Mix y ARP 2010 v2 7" xfId="787" xr:uid="{7520FBD0-F60E-4566-8F15-88C1AB79AF78}"/>
    <cellStyle name="_INAR_DICIEMBRE_19122007 (modif)_Mix y ARP 2010 v2 8" xfId="788" xr:uid="{93B806D7-8631-4385-A4FA-35DF66DA07C1}"/>
    <cellStyle name="_INAR_DICIEMBRE_19122007 (modif)_Mix y ARP 2010 v2 9" xfId="789" xr:uid="{DC6BDEA3-D46F-407F-B5CC-87C2520B0631}"/>
    <cellStyle name="_INAR_DICIEMBRE_2007(cierre) (modif)" xfId="790" xr:uid="{0578507D-1C1D-4EEE-8B82-2FE6EA1935A1}"/>
    <cellStyle name="_INAR_DICIEMBRE_2007(cierre) (modif)_FCST Subsidy Handset 2010 (Abril-Dic) 20100401v5 ejercicio A final envío con cierre (3) v 4" xfId="791" xr:uid="{DDD89147-04D3-4096-9AF2-76FF7A4DAFF3}"/>
    <cellStyle name="_INAR_DICIEMBRE_2007(cierre) (modif)_FCST Subsidy Handset 2010 (Abril-Dic) 20100401v5 ejercicio A final envío con cierre (3) v 4 10" xfId="792" xr:uid="{EF671E28-F2D2-4591-A66A-FDE7DCCC1CCA}"/>
    <cellStyle name="_INAR_DICIEMBRE_2007(cierre) (modif)_FCST Subsidy Handset 2010 (Abril-Dic) 20100401v5 ejercicio A final envío con cierre (3) v 4 11" xfId="793" xr:uid="{15F430E8-9EFA-425E-B06A-2405B73D04A1}"/>
    <cellStyle name="_INAR_DICIEMBRE_2007(cierre) (modif)_FCST Subsidy Handset 2010 (Abril-Dic) 20100401v5 ejercicio A final envío con cierre (3) v 4 12" xfId="794" xr:uid="{F261E249-E886-4D16-8501-C93438BD76CE}"/>
    <cellStyle name="_INAR_DICIEMBRE_2007(cierre) (modif)_FCST Subsidy Handset 2010 (Abril-Dic) 20100401v5 ejercicio A final envío con cierre (3) v 4 13" xfId="795" xr:uid="{E95EDCD6-7D3A-4596-B3FD-FA19080BDCDB}"/>
    <cellStyle name="_INAR_DICIEMBRE_2007(cierre) (modif)_FCST Subsidy Handset 2010 (Abril-Dic) 20100401v5 ejercicio A final envío con cierre (3) v 4 14" xfId="796" xr:uid="{3F68BE57-45AF-4964-8CD0-7EAC2B430161}"/>
    <cellStyle name="_INAR_DICIEMBRE_2007(cierre) (modif)_FCST Subsidy Handset 2010 (Abril-Dic) 20100401v5 ejercicio A final envío con cierre (3) v 4 2" xfId="797" xr:uid="{E0D5CE21-9710-4B40-8230-D0C5E09E8616}"/>
    <cellStyle name="_INAR_DICIEMBRE_2007(cierre) (modif)_FCST Subsidy Handset 2010 (Abril-Dic) 20100401v5 ejercicio A final envío con cierre (3) v 4 3" xfId="798" xr:uid="{5DC28745-5560-490F-AD11-45CA222581C4}"/>
    <cellStyle name="_INAR_DICIEMBRE_2007(cierre) (modif)_FCST Subsidy Handset 2010 (Abril-Dic) 20100401v5 ejercicio A final envío con cierre (3) v 4 4" xfId="799" xr:uid="{51DF4E44-AFA8-4CA1-B6C5-111F76062CBF}"/>
    <cellStyle name="_INAR_DICIEMBRE_2007(cierre) (modif)_FCST Subsidy Handset 2010 (Abril-Dic) 20100401v5 ejercicio A final envío con cierre (3) v 4 5" xfId="800" xr:uid="{FBC5F197-C7FF-484F-8557-371740E7DC23}"/>
    <cellStyle name="_INAR_DICIEMBRE_2007(cierre) (modif)_FCST Subsidy Handset 2010 (Abril-Dic) 20100401v5 ejercicio A final envío con cierre (3) v 4 6" xfId="801" xr:uid="{520C6838-F30C-4D5F-A1F3-C00E8F188EE6}"/>
    <cellStyle name="_INAR_DICIEMBRE_2007(cierre) (modif)_FCST Subsidy Handset 2010 (Abril-Dic) 20100401v5 ejercicio A final envío con cierre (3) v 4 7" xfId="802" xr:uid="{10F21AA9-02FC-4E9B-ADB3-B30CB8F2E733}"/>
    <cellStyle name="_INAR_DICIEMBRE_2007(cierre) (modif)_FCST Subsidy Handset 2010 (Abril-Dic) 20100401v5 ejercicio A final envío con cierre (3) v 4 8" xfId="803" xr:uid="{60EC15B4-2453-43E7-B210-02D597ABE6B5}"/>
    <cellStyle name="_INAR_DICIEMBRE_2007(cierre) (modif)_FCST Subsidy Handset 2010 (Abril-Dic) 20100401v5 ejercicio A final envío con cierre (3) v 4 9" xfId="804" xr:uid="{8223C408-2903-450B-9DC9-4D3006EAA801}"/>
    <cellStyle name="_INAR_DICIEMBRE_2007(cierre) (modif)_FCST Subsidy Handset 2010 (Mayo-Dic) 20100518 CT1000 $0 y CT500 $0-$699 v4 ER ejerc promo navidad (2) ej4" xfId="805" xr:uid="{7F805B00-8B9C-4D10-A52F-C8FDF857655A}"/>
    <cellStyle name="_INAR_DICIEMBRE_2007(cierre) (modif)_FCST Subsidy Handset 2010 (Mayo-Dic) 20100518 CT1000 $0 y CT500 $0-$699 v4 ER ejerc promo navidad (2) ej4 10" xfId="806" xr:uid="{F975C1D5-0953-4DB2-9335-A373B71BCE31}"/>
    <cellStyle name="_INAR_DICIEMBRE_2007(cierre) (modif)_FCST Subsidy Handset 2010 (Mayo-Dic) 20100518 CT1000 $0 y CT500 $0-$699 v4 ER ejerc promo navidad (2) ej4 11" xfId="807" xr:uid="{3EC83901-3886-4FBF-98D9-3950285EE4BC}"/>
    <cellStyle name="_INAR_DICIEMBRE_2007(cierre) (modif)_FCST Subsidy Handset 2010 (Mayo-Dic) 20100518 CT1000 $0 y CT500 $0-$699 v4 ER ejerc promo navidad (2) ej4 12" xfId="808" xr:uid="{80842CDF-61E6-41ED-BF1B-C6F0DC64A4DC}"/>
    <cellStyle name="_INAR_DICIEMBRE_2007(cierre) (modif)_FCST Subsidy Handset 2010 (Mayo-Dic) 20100518 CT1000 $0 y CT500 $0-$699 v4 ER ejerc promo navidad (2) ej4 13" xfId="809" xr:uid="{EAF622EE-898D-4330-9471-79D467A1AB6B}"/>
    <cellStyle name="_INAR_DICIEMBRE_2007(cierre) (modif)_FCST Subsidy Handset 2010 (Mayo-Dic) 20100518 CT1000 $0 y CT500 $0-$699 v4 ER ejerc promo navidad (2) ej4 14" xfId="810" xr:uid="{1CCF2B8B-B488-49AD-9E81-941D5BD00EB0}"/>
    <cellStyle name="_INAR_DICIEMBRE_2007(cierre) (modif)_FCST Subsidy Handset 2010 (Mayo-Dic) 20100518 CT1000 $0 y CT500 $0-$699 v4 ER ejerc promo navidad (2) ej4 2" xfId="811" xr:uid="{316AB339-588C-4AD1-9730-5EEF0902C70F}"/>
    <cellStyle name="_INAR_DICIEMBRE_2007(cierre) (modif)_FCST Subsidy Handset 2010 (Mayo-Dic) 20100518 CT1000 $0 y CT500 $0-$699 v4 ER ejerc promo navidad (2) ej4 3" xfId="812" xr:uid="{E115553E-EEC3-49BA-8A60-3CA111C8CB04}"/>
    <cellStyle name="_INAR_DICIEMBRE_2007(cierre) (modif)_FCST Subsidy Handset 2010 (Mayo-Dic) 20100518 CT1000 $0 y CT500 $0-$699 v4 ER ejerc promo navidad (2) ej4 4" xfId="813" xr:uid="{A78313C0-1E88-4ABE-95F1-3F40F613572E}"/>
    <cellStyle name="_INAR_DICIEMBRE_2007(cierre) (modif)_FCST Subsidy Handset 2010 (Mayo-Dic) 20100518 CT1000 $0 y CT500 $0-$699 v4 ER ejerc promo navidad (2) ej4 5" xfId="814" xr:uid="{E26510A7-3D38-48E6-BE56-73A8E82DC70D}"/>
    <cellStyle name="_INAR_DICIEMBRE_2007(cierre) (modif)_FCST Subsidy Handset 2010 (Mayo-Dic) 20100518 CT1000 $0 y CT500 $0-$699 v4 ER ejerc promo navidad (2) ej4 6" xfId="815" xr:uid="{8B7AFAF4-E7BC-490A-BB82-25EE2809D5B9}"/>
    <cellStyle name="_INAR_DICIEMBRE_2007(cierre) (modif)_FCST Subsidy Handset 2010 (Mayo-Dic) 20100518 CT1000 $0 y CT500 $0-$699 v4 ER ejerc promo navidad (2) ej4 7" xfId="816" xr:uid="{7E5B612D-4701-48ED-BCFF-30F4764EDA24}"/>
    <cellStyle name="_INAR_DICIEMBRE_2007(cierre) (modif)_FCST Subsidy Handset 2010 (Mayo-Dic) 20100518 CT1000 $0 y CT500 $0-$699 v4 ER ejerc promo navidad (2) ej4 8" xfId="817" xr:uid="{A8E09F6B-F091-4252-BB9F-199AADA200AF}"/>
    <cellStyle name="_INAR_DICIEMBRE_2007(cierre) (modif)_FCST Subsidy Handset 2010 (Mayo-Dic) 20100518 CT1000 $0 y CT500 $0-$699 v4 ER ejerc promo navidad (2) ej4 9" xfId="818" xr:uid="{0089463F-999C-49C8-9F3C-000D053A5921}"/>
    <cellStyle name="_INAR_DICIEMBRE_2007(cierre) (modif)_Mix y ARP 2010 v2" xfId="819" xr:uid="{B8FF73CF-0969-4381-9512-5EA1E47F31B8}"/>
    <cellStyle name="_INAR_DICIEMBRE_2007(cierre) (modif)_Mix y ARP 2010 v2 10" xfId="820" xr:uid="{E9F5C1FE-05CF-4AB0-AA2E-1404D6E3DA57}"/>
    <cellStyle name="_INAR_DICIEMBRE_2007(cierre) (modif)_Mix y ARP 2010 v2 11" xfId="821" xr:uid="{4C97A503-5ADF-4515-9B83-1F2C60F69A4C}"/>
    <cellStyle name="_INAR_DICIEMBRE_2007(cierre) (modif)_Mix y ARP 2010 v2 12" xfId="822" xr:uid="{AB913FAB-2F50-4788-8217-B500A5E5FF40}"/>
    <cellStyle name="_INAR_DICIEMBRE_2007(cierre) (modif)_Mix y ARP 2010 v2 13" xfId="823" xr:uid="{3F07DB09-721E-4A9B-9C1D-2E3D2FD2B1F8}"/>
    <cellStyle name="_INAR_DICIEMBRE_2007(cierre) (modif)_Mix y ARP 2010 v2 14" xfId="824" xr:uid="{F2CACE1B-7FD6-48EB-834D-8526EAA640BB}"/>
    <cellStyle name="_INAR_DICIEMBRE_2007(cierre) (modif)_Mix y ARP 2010 v2 2" xfId="825" xr:uid="{D1384EB2-2B85-4318-B698-DBBAE29845C6}"/>
    <cellStyle name="_INAR_DICIEMBRE_2007(cierre) (modif)_Mix y ARP 2010 v2 3" xfId="826" xr:uid="{A3D25FEB-9012-4431-B961-55CFB87095B0}"/>
    <cellStyle name="_INAR_DICIEMBRE_2007(cierre) (modif)_Mix y ARP 2010 v2 4" xfId="827" xr:uid="{2CCB4F1E-C4A4-449E-9FCD-42929C10F014}"/>
    <cellStyle name="_INAR_DICIEMBRE_2007(cierre) (modif)_Mix y ARP 2010 v2 5" xfId="828" xr:uid="{8386C15C-033D-4CE9-9451-E223045E208E}"/>
    <cellStyle name="_INAR_DICIEMBRE_2007(cierre) (modif)_Mix y ARP 2010 v2 6" xfId="829" xr:uid="{CDCD924A-6F3B-468E-8A60-4748215F305B}"/>
    <cellStyle name="_INAR_DICIEMBRE_2007(cierre) (modif)_Mix y ARP 2010 v2 7" xfId="830" xr:uid="{D90F363E-B09C-40F2-8660-ADFF9439A9FC}"/>
    <cellStyle name="_INAR_DICIEMBRE_2007(cierre) (modif)_Mix y ARP 2010 v2 8" xfId="831" xr:uid="{552F979D-AB3B-41D5-8942-147863142CB3}"/>
    <cellStyle name="_INAR_DICIEMBRE_2007(cierre) (modif)_Mix y ARP 2010 v2 9" xfId="832" xr:uid="{E37EF840-BEC1-49A4-8FAD-50CC88C8E3A9}"/>
    <cellStyle name="_INAR_DICIEMBRE_20122007" xfId="833" xr:uid="{928C42CB-9EA1-4D76-B790-A20F86DF7DC5}"/>
    <cellStyle name="_INAR_DICIEMBRE_20122007_FCST Subsidy Handset 2010 (Abril-Dic) 20100401v5 ejercicio A final envío con cierre (3) v 4" xfId="834" xr:uid="{F6F9B785-E8C2-4A1E-9088-DDB79D9E96A6}"/>
    <cellStyle name="_INAR_DICIEMBRE_20122007_FCST Subsidy Handset 2010 (Abril-Dic) 20100401v5 ejercicio A final envío con cierre (3) v 4 10" xfId="835" xr:uid="{28FD1DB8-CB82-40B4-8F4D-07FFF17F415C}"/>
    <cellStyle name="_INAR_DICIEMBRE_20122007_FCST Subsidy Handset 2010 (Abril-Dic) 20100401v5 ejercicio A final envío con cierre (3) v 4 11" xfId="836" xr:uid="{4E9CCAE4-8AEB-46BC-9EB6-279A71EAD1EC}"/>
    <cellStyle name="_INAR_DICIEMBRE_20122007_FCST Subsidy Handset 2010 (Abril-Dic) 20100401v5 ejercicio A final envío con cierre (3) v 4 12" xfId="837" xr:uid="{0F0861E0-1EC3-4BE1-A197-56E10AFB135C}"/>
    <cellStyle name="_INAR_DICIEMBRE_20122007_FCST Subsidy Handset 2010 (Abril-Dic) 20100401v5 ejercicio A final envío con cierre (3) v 4 13" xfId="838" xr:uid="{EC591435-5B6D-4CEB-8A56-E290B2F3E412}"/>
    <cellStyle name="_INAR_DICIEMBRE_20122007_FCST Subsidy Handset 2010 (Abril-Dic) 20100401v5 ejercicio A final envío con cierre (3) v 4 14" xfId="839" xr:uid="{B73EA9CA-0E6E-46A8-A9DB-B9D72BA29ACB}"/>
    <cellStyle name="_INAR_DICIEMBRE_20122007_FCST Subsidy Handset 2010 (Abril-Dic) 20100401v5 ejercicio A final envío con cierre (3) v 4 2" xfId="840" xr:uid="{A7C14BD4-DE54-4EA1-A56E-DDDC3C79946B}"/>
    <cellStyle name="_INAR_DICIEMBRE_20122007_FCST Subsidy Handset 2010 (Abril-Dic) 20100401v5 ejercicio A final envío con cierre (3) v 4 3" xfId="841" xr:uid="{C3DA85CD-644B-4225-92E3-46A6920B0679}"/>
    <cellStyle name="_INAR_DICIEMBRE_20122007_FCST Subsidy Handset 2010 (Abril-Dic) 20100401v5 ejercicio A final envío con cierre (3) v 4 4" xfId="842" xr:uid="{AA2D9FDD-86A6-45DD-B924-E2FD87F5DC87}"/>
    <cellStyle name="_INAR_DICIEMBRE_20122007_FCST Subsidy Handset 2010 (Abril-Dic) 20100401v5 ejercicio A final envío con cierre (3) v 4 5" xfId="843" xr:uid="{84478F8C-FB48-432C-8F86-2089FD8E42EE}"/>
    <cellStyle name="_INAR_DICIEMBRE_20122007_FCST Subsidy Handset 2010 (Abril-Dic) 20100401v5 ejercicio A final envío con cierre (3) v 4 6" xfId="844" xr:uid="{59FF9425-87C6-4C6E-95A7-3FFEEDC53B3E}"/>
    <cellStyle name="_INAR_DICIEMBRE_20122007_FCST Subsidy Handset 2010 (Abril-Dic) 20100401v5 ejercicio A final envío con cierre (3) v 4 7" xfId="845" xr:uid="{A3FD848C-EE95-47E5-A9B4-C3B8F913E645}"/>
    <cellStyle name="_INAR_DICIEMBRE_20122007_FCST Subsidy Handset 2010 (Abril-Dic) 20100401v5 ejercicio A final envío con cierre (3) v 4 8" xfId="846" xr:uid="{28BDCF23-668F-4366-8922-7123915532E4}"/>
    <cellStyle name="_INAR_DICIEMBRE_20122007_FCST Subsidy Handset 2010 (Abril-Dic) 20100401v5 ejercicio A final envío con cierre (3) v 4 9" xfId="847" xr:uid="{88D4B476-9508-43E0-97CD-71DD3BEA1C7D}"/>
    <cellStyle name="_INAR_DICIEMBRE_20122007_FCST Subsidy Handset 2010 (Mayo-Dic) 20100518 CT1000 $0 y CT500 $0-$699 v4 ER ejerc promo navidad (2) ej4" xfId="848" xr:uid="{CA55BA0F-B900-4926-92DC-5A9690902600}"/>
    <cellStyle name="_INAR_DICIEMBRE_20122007_FCST Subsidy Handset 2010 (Mayo-Dic) 20100518 CT1000 $0 y CT500 $0-$699 v4 ER ejerc promo navidad (2) ej4 10" xfId="849" xr:uid="{6A479E70-3C83-41D6-AC79-486188876EED}"/>
    <cellStyle name="_INAR_DICIEMBRE_20122007_FCST Subsidy Handset 2010 (Mayo-Dic) 20100518 CT1000 $0 y CT500 $0-$699 v4 ER ejerc promo navidad (2) ej4 11" xfId="850" xr:uid="{3A509A22-B552-4FB8-854D-798699E686BD}"/>
    <cellStyle name="_INAR_DICIEMBRE_20122007_FCST Subsidy Handset 2010 (Mayo-Dic) 20100518 CT1000 $0 y CT500 $0-$699 v4 ER ejerc promo navidad (2) ej4 12" xfId="851" xr:uid="{89F9F2EE-8533-4BD5-88BD-FA12554F1553}"/>
    <cellStyle name="_INAR_DICIEMBRE_20122007_FCST Subsidy Handset 2010 (Mayo-Dic) 20100518 CT1000 $0 y CT500 $0-$699 v4 ER ejerc promo navidad (2) ej4 13" xfId="852" xr:uid="{A905EF0F-79F2-4FD6-B5B4-95CD1311DD3E}"/>
    <cellStyle name="_INAR_DICIEMBRE_20122007_FCST Subsidy Handset 2010 (Mayo-Dic) 20100518 CT1000 $0 y CT500 $0-$699 v4 ER ejerc promo navidad (2) ej4 14" xfId="853" xr:uid="{26710B06-D357-4B31-B70C-620753ACC6D5}"/>
    <cellStyle name="_INAR_DICIEMBRE_20122007_FCST Subsidy Handset 2010 (Mayo-Dic) 20100518 CT1000 $0 y CT500 $0-$699 v4 ER ejerc promo navidad (2) ej4 2" xfId="854" xr:uid="{8177A68E-848A-4689-99FE-C3E64FB5748B}"/>
    <cellStyle name="_INAR_DICIEMBRE_20122007_FCST Subsidy Handset 2010 (Mayo-Dic) 20100518 CT1000 $0 y CT500 $0-$699 v4 ER ejerc promo navidad (2) ej4 3" xfId="855" xr:uid="{5FDCD3AF-94F5-4CE6-9DE1-0E46658A2D6C}"/>
    <cellStyle name="_INAR_DICIEMBRE_20122007_FCST Subsidy Handset 2010 (Mayo-Dic) 20100518 CT1000 $0 y CT500 $0-$699 v4 ER ejerc promo navidad (2) ej4 4" xfId="856" xr:uid="{A8F2EBB4-44F5-4900-A181-65F24F905DDB}"/>
    <cellStyle name="_INAR_DICIEMBRE_20122007_FCST Subsidy Handset 2010 (Mayo-Dic) 20100518 CT1000 $0 y CT500 $0-$699 v4 ER ejerc promo navidad (2) ej4 5" xfId="857" xr:uid="{8F2CA8B6-F6ED-469F-A106-BF8291A7FF0A}"/>
    <cellStyle name="_INAR_DICIEMBRE_20122007_FCST Subsidy Handset 2010 (Mayo-Dic) 20100518 CT1000 $0 y CT500 $0-$699 v4 ER ejerc promo navidad (2) ej4 6" xfId="858" xr:uid="{9D9E2CD5-8C2B-4400-B3A2-0AE0E58E41CA}"/>
    <cellStyle name="_INAR_DICIEMBRE_20122007_FCST Subsidy Handset 2010 (Mayo-Dic) 20100518 CT1000 $0 y CT500 $0-$699 v4 ER ejerc promo navidad (2) ej4 7" xfId="859" xr:uid="{350353EE-1DED-429A-B663-3E77B53FE3EE}"/>
    <cellStyle name="_INAR_DICIEMBRE_20122007_FCST Subsidy Handset 2010 (Mayo-Dic) 20100518 CT1000 $0 y CT500 $0-$699 v4 ER ejerc promo navidad (2) ej4 8" xfId="860" xr:uid="{1651AD58-9450-43B3-A190-F29101513580}"/>
    <cellStyle name="_INAR_DICIEMBRE_20122007_FCST Subsidy Handset 2010 (Mayo-Dic) 20100518 CT1000 $0 y CT500 $0-$699 v4 ER ejerc promo navidad (2) ej4 9" xfId="861" xr:uid="{235208DC-E884-4EE4-BB47-AF62CB116B29}"/>
    <cellStyle name="_INAR_DICIEMBRE_20122007_Mix y ARP 2010 v2" xfId="862" xr:uid="{7B5D6646-907D-4BE5-9634-D286D56EDD92}"/>
    <cellStyle name="_INAR_DICIEMBRE_20122007_Mix y ARP 2010 v2 10" xfId="863" xr:uid="{50335C06-4A5F-4DA7-8E31-6321A9AB48F7}"/>
    <cellStyle name="_INAR_DICIEMBRE_20122007_Mix y ARP 2010 v2 11" xfId="864" xr:uid="{B3DA5FFE-0736-4E6D-99C8-DCBA8118C869}"/>
    <cellStyle name="_INAR_DICIEMBRE_20122007_Mix y ARP 2010 v2 12" xfId="865" xr:uid="{A44EFBE4-9607-44AF-BD8D-6ECBE484396D}"/>
    <cellStyle name="_INAR_DICIEMBRE_20122007_Mix y ARP 2010 v2 13" xfId="866" xr:uid="{24ECB3F1-AE9A-4415-95F6-815C5CEA94D3}"/>
    <cellStyle name="_INAR_DICIEMBRE_20122007_Mix y ARP 2010 v2 14" xfId="867" xr:uid="{CCA89A42-B3F4-4792-865C-148171E58DA0}"/>
    <cellStyle name="_INAR_DICIEMBRE_20122007_Mix y ARP 2010 v2 2" xfId="868" xr:uid="{5DEFC78F-A0C2-40FC-8007-43DD1F3527D8}"/>
    <cellStyle name="_INAR_DICIEMBRE_20122007_Mix y ARP 2010 v2 3" xfId="869" xr:uid="{EAC461BB-79DA-404A-8951-BECD372BA2B8}"/>
    <cellStyle name="_INAR_DICIEMBRE_20122007_Mix y ARP 2010 v2 4" xfId="870" xr:uid="{375B7174-132B-4714-9962-ED47BE7FF597}"/>
    <cellStyle name="_INAR_DICIEMBRE_20122007_Mix y ARP 2010 v2 5" xfId="871" xr:uid="{D7ED5BB5-220A-4226-82C3-4F31A708F42F}"/>
    <cellStyle name="_INAR_DICIEMBRE_20122007_Mix y ARP 2010 v2 6" xfId="872" xr:uid="{0D1F55F5-3482-4B1E-95C8-2B6840C0F051}"/>
    <cellStyle name="_INAR_DICIEMBRE_20122007_Mix y ARP 2010 v2 7" xfId="873" xr:uid="{F5FECF27-3E95-4D5A-9523-B1E13AE742F1}"/>
    <cellStyle name="_INAR_DICIEMBRE_20122007_Mix y ARP 2010 v2 8" xfId="874" xr:uid="{B023898A-B691-40D8-8776-64E1E472B2F5}"/>
    <cellStyle name="_INAR_DICIEMBRE_20122007_Mix y ARP 2010 v2 9" xfId="875" xr:uid="{11ED1608-571F-46C1-B880-A2FDA943938C}"/>
    <cellStyle name="_INAR_DICIEMBRE_21122007 (modif)" xfId="876" xr:uid="{02E877D0-34CB-420C-91CE-DC6FC8199555}"/>
    <cellStyle name="_INAR_DICIEMBRE_21122007 (modif)_FCST Subsidy Handset 2010 (Abril-Dic) 20100401v5 ejercicio A final envío con cierre (3) v 4" xfId="877" xr:uid="{6601C7C1-8A93-49D2-A730-35E1E8AC25E9}"/>
    <cellStyle name="_INAR_DICIEMBRE_21122007 (modif)_FCST Subsidy Handset 2010 (Abril-Dic) 20100401v5 ejercicio A final envío con cierre (3) v 4 10" xfId="878" xr:uid="{E1361123-4E50-407C-95D3-F0F0BA69A8AE}"/>
    <cellStyle name="_INAR_DICIEMBRE_21122007 (modif)_FCST Subsidy Handset 2010 (Abril-Dic) 20100401v5 ejercicio A final envío con cierre (3) v 4 11" xfId="879" xr:uid="{A2F73CC7-9B57-4794-9433-C1A57E723947}"/>
    <cellStyle name="_INAR_DICIEMBRE_21122007 (modif)_FCST Subsidy Handset 2010 (Abril-Dic) 20100401v5 ejercicio A final envío con cierre (3) v 4 12" xfId="880" xr:uid="{7C75F0C4-94D2-41DF-8E0F-AC6F984E0EFC}"/>
    <cellStyle name="_INAR_DICIEMBRE_21122007 (modif)_FCST Subsidy Handset 2010 (Abril-Dic) 20100401v5 ejercicio A final envío con cierre (3) v 4 13" xfId="881" xr:uid="{5BF3A7B1-3FD8-4424-BC69-381FB8793B37}"/>
    <cellStyle name="_INAR_DICIEMBRE_21122007 (modif)_FCST Subsidy Handset 2010 (Abril-Dic) 20100401v5 ejercicio A final envío con cierre (3) v 4 14" xfId="882" xr:uid="{9E0C9D5E-8EDC-4379-8423-7BAC4C262C94}"/>
    <cellStyle name="_INAR_DICIEMBRE_21122007 (modif)_FCST Subsidy Handset 2010 (Abril-Dic) 20100401v5 ejercicio A final envío con cierre (3) v 4 2" xfId="883" xr:uid="{D2C7AA4E-7842-4B00-97C7-049EFF571A7B}"/>
    <cellStyle name="_INAR_DICIEMBRE_21122007 (modif)_FCST Subsidy Handset 2010 (Abril-Dic) 20100401v5 ejercicio A final envío con cierre (3) v 4 3" xfId="884" xr:uid="{8D72781F-DEFB-4CF4-AB51-9B5EFCCCD4E6}"/>
    <cellStyle name="_INAR_DICIEMBRE_21122007 (modif)_FCST Subsidy Handset 2010 (Abril-Dic) 20100401v5 ejercicio A final envío con cierre (3) v 4 4" xfId="885" xr:uid="{537F6D66-8351-4EC3-A80E-521ABEBBDC8A}"/>
    <cellStyle name="_INAR_DICIEMBRE_21122007 (modif)_FCST Subsidy Handset 2010 (Abril-Dic) 20100401v5 ejercicio A final envío con cierre (3) v 4 5" xfId="886" xr:uid="{3AD91146-C034-4803-94A8-75EF4F91F926}"/>
    <cellStyle name="_INAR_DICIEMBRE_21122007 (modif)_FCST Subsidy Handset 2010 (Abril-Dic) 20100401v5 ejercicio A final envío con cierre (3) v 4 6" xfId="887" xr:uid="{B23BFA32-43A5-44B4-86F9-99F6F85F2DE0}"/>
    <cellStyle name="_INAR_DICIEMBRE_21122007 (modif)_FCST Subsidy Handset 2010 (Abril-Dic) 20100401v5 ejercicio A final envío con cierre (3) v 4 7" xfId="888" xr:uid="{A5C3C537-DA7A-4DAC-B23D-CF7AB5ECD217}"/>
    <cellStyle name="_INAR_DICIEMBRE_21122007 (modif)_FCST Subsidy Handset 2010 (Abril-Dic) 20100401v5 ejercicio A final envío con cierre (3) v 4 8" xfId="889" xr:uid="{C39DB912-F38C-494B-9C9E-1D356A8917D0}"/>
    <cellStyle name="_INAR_DICIEMBRE_21122007 (modif)_FCST Subsidy Handset 2010 (Abril-Dic) 20100401v5 ejercicio A final envío con cierre (3) v 4 9" xfId="890" xr:uid="{0981D6E7-0AC7-496D-9395-CD1889F0D4D6}"/>
    <cellStyle name="_INAR_DICIEMBRE_21122007 (modif)_FCST Subsidy Handset 2010 (Mayo-Dic) 20100518 CT1000 $0 y CT500 $0-$699 v4 ER ejerc promo navidad (2) ej4" xfId="891" xr:uid="{D2798652-588B-4DAC-9880-1A871FEDCF01}"/>
    <cellStyle name="_INAR_DICIEMBRE_21122007 (modif)_FCST Subsidy Handset 2010 (Mayo-Dic) 20100518 CT1000 $0 y CT500 $0-$699 v4 ER ejerc promo navidad (2) ej4 10" xfId="892" xr:uid="{89E74AF1-45BE-4241-912B-471CBC5F31B5}"/>
    <cellStyle name="_INAR_DICIEMBRE_21122007 (modif)_FCST Subsidy Handset 2010 (Mayo-Dic) 20100518 CT1000 $0 y CT500 $0-$699 v4 ER ejerc promo navidad (2) ej4 11" xfId="893" xr:uid="{9F3BB772-79F0-4FAD-A7D7-2412402E07CF}"/>
    <cellStyle name="_INAR_DICIEMBRE_21122007 (modif)_FCST Subsidy Handset 2010 (Mayo-Dic) 20100518 CT1000 $0 y CT500 $0-$699 v4 ER ejerc promo navidad (2) ej4 12" xfId="894" xr:uid="{31C184EC-10DE-4E98-8E70-46012B32613F}"/>
    <cellStyle name="_INAR_DICIEMBRE_21122007 (modif)_FCST Subsidy Handset 2010 (Mayo-Dic) 20100518 CT1000 $0 y CT500 $0-$699 v4 ER ejerc promo navidad (2) ej4 13" xfId="895" xr:uid="{9279C118-D2A4-49B5-B48E-98E03E769618}"/>
    <cellStyle name="_INAR_DICIEMBRE_21122007 (modif)_FCST Subsidy Handset 2010 (Mayo-Dic) 20100518 CT1000 $0 y CT500 $0-$699 v4 ER ejerc promo navidad (2) ej4 14" xfId="896" xr:uid="{B3209E86-813F-4CA8-887D-EBADE4751AA0}"/>
    <cellStyle name="_INAR_DICIEMBRE_21122007 (modif)_FCST Subsidy Handset 2010 (Mayo-Dic) 20100518 CT1000 $0 y CT500 $0-$699 v4 ER ejerc promo navidad (2) ej4 2" xfId="897" xr:uid="{664B6A7D-4A86-4BE3-9AD3-D6911B93C59C}"/>
    <cellStyle name="_INAR_DICIEMBRE_21122007 (modif)_FCST Subsidy Handset 2010 (Mayo-Dic) 20100518 CT1000 $0 y CT500 $0-$699 v4 ER ejerc promo navidad (2) ej4 3" xfId="898" xr:uid="{5626EFBC-7DB4-4979-B86A-151B4E168024}"/>
    <cellStyle name="_INAR_DICIEMBRE_21122007 (modif)_FCST Subsidy Handset 2010 (Mayo-Dic) 20100518 CT1000 $0 y CT500 $0-$699 v4 ER ejerc promo navidad (2) ej4 4" xfId="899" xr:uid="{DADB4CC4-4235-4A55-9BDB-78B808754F08}"/>
    <cellStyle name="_INAR_DICIEMBRE_21122007 (modif)_FCST Subsidy Handset 2010 (Mayo-Dic) 20100518 CT1000 $0 y CT500 $0-$699 v4 ER ejerc promo navidad (2) ej4 5" xfId="900" xr:uid="{69312AC6-C577-47B0-BE34-B3B16792EA6C}"/>
    <cellStyle name="_INAR_DICIEMBRE_21122007 (modif)_FCST Subsidy Handset 2010 (Mayo-Dic) 20100518 CT1000 $0 y CT500 $0-$699 v4 ER ejerc promo navidad (2) ej4 6" xfId="901" xr:uid="{FD1A51CE-1F8C-4956-809F-979D379E4E1E}"/>
    <cellStyle name="_INAR_DICIEMBRE_21122007 (modif)_FCST Subsidy Handset 2010 (Mayo-Dic) 20100518 CT1000 $0 y CT500 $0-$699 v4 ER ejerc promo navidad (2) ej4 7" xfId="902" xr:uid="{2560F34C-6B8B-4D8D-8C23-FEBAF2998F02}"/>
    <cellStyle name="_INAR_DICIEMBRE_21122007 (modif)_FCST Subsidy Handset 2010 (Mayo-Dic) 20100518 CT1000 $0 y CT500 $0-$699 v4 ER ejerc promo navidad (2) ej4 8" xfId="903" xr:uid="{7F804273-7242-4DFE-8D7C-D8406D4D428E}"/>
    <cellStyle name="_INAR_DICIEMBRE_21122007 (modif)_FCST Subsidy Handset 2010 (Mayo-Dic) 20100518 CT1000 $0 y CT500 $0-$699 v4 ER ejerc promo navidad (2) ej4 9" xfId="904" xr:uid="{908A2522-4293-4974-BE86-C82E32FBF57E}"/>
    <cellStyle name="_INAR_DICIEMBRE_21122007 (modif)_Mix y ARP 2010 v2" xfId="905" xr:uid="{E4EC5149-7DCE-4CAB-88E1-8D1A28EC4E49}"/>
    <cellStyle name="_INAR_DICIEMBRE_21122007 (modif)_Mix y ARP 2010 v2 10" xfId="906" xr:uid="{0C6293C5-B770-4DBD-ABAE-EDBE49277064}"/>
    <cellStyle name="_INAR_DICIEMBRE_21122007 (modif)_Mix y ARP 2010 v2 11" xfId="907" xr:uid="{170C1F84-FE73-49F8-BF0F-DA235BEE4142}"/>
    <cellStyle name="_INAR_DICIEMBRE_21122007 (modif)_Mix y ARP 2010 v2 12" xfId="908" xr:uid="{39B92FAB-E6D2-4E9D-B1F9-483BE4C4462A}"/>
    <cellStyle name="_INAR_DICIEMBRE_21122007 (modif)_Mix y ARP 2010 v2 13" xfId="909" xr:uid="{F726289D-8A3F-49D6-A176-11FA1BB2BA2C}"/>
    <cellStyle name="_INAR_DICIEMBRE_21122007 (modif)_Mix y ARP 2010 v2 14" xfId="910" xr:uid="{FDEA7C92-3848-47C0-924F-EBCE5E3A75A4}"/>
    <cellStyle name="_INAR_DICIEMBRE_21122007 (modif)_Mix y ARP 2010 v2 2" xfId="911" xr:uid="{5611A23D-12B3-4906-B3E8-3B7C13A5C776}"/>
    <cellStyle name="_INAR_DICIEMBRE_21122007 (modif)_Mix y ARP 2010 v2 3" xfId="912" xr:uid="{93D97093-12FA-40FC-8F6E-2109BAAC9F27}"/>
    <cellStyle name="_INAR_DICIEMBRE_21122007 (modif)_Mix y ARP 2010 v2 4" xfId="913" xr:uid="{9341119F-D973-49F6-A5FF-3C67ED593416}"/>
    <cellStyle name="_INAR_DICIEMBRE_21122007 (modif)_Mix y ARP 2010 v2 5" xfId="914" xr:uid="{E754ABEB-2D86-4EEF-82F6-4F168077983E}"/>
    <cellStyle name="_INAR_DICIEMBRE_21122007 (modif)_Mix y ARP 2010 v2 6" xfId="915" xr:uid="{482DA576-7FE1-4255-9249-1DE6558A6936}"/>
    <cellStyle name="_INAR_DICIEMBRE_21122007 (modif)_Mix y ARP 2010 v2 7" xfId="916" xr:uid="{A2B46097-4169-4A34-A556-35234917755B}"/>
    <cellStyle name="_INAR_DICIEMBRE_21122007 (modif)_Mix y ARP 2010 v2 8" xfId="917" xr:uid="{34D296B0-2458-4285-BAF8-337E03391FD2}"/>
    <cellStyle name="_INAR_DICIEMBRE_21122007 (modif)_Mix y ARP 2010 v2 9" xfId="918" xr:uid="{0C2BEBAA-3240-4EBC-8D50-C112D906439E}"/>
    <cellStyle name="_INAR_DICIEMBRE_26122007 (modif)" xfId="919" xr:uid="{ABDBCE11-EA79-4B0C-9701-B63F40D2F977}"/>
    <cellStyle name="_INAR_DICIEMBRE_26122007 (modif)_FCST Subsidy Handset 2010 (Abril-Dic) 20100401v5 ejercicio A final envío con cierre (3) v 4" xfId="920" xr:uid="{C3BF55BD-7E41-437A-864B-B147FD0C2E59}"/>
    <cellStyle name="_INAR_DICIEMBRE_26122007 (modif)_FCST Subsidy Handset 2010 (Abril-Dic) 20100401v5 ejercicio A final envío con cierre (3) v 4 10" xfId="921" xr:uid="{AB70D60B-DA8C-4FDD-9C98-6AA55755E90C}"/>
    <cellStyle name="_INAR_DICIEMBRE_26122007 (modif)_FCST Subsidy Handset 2010 (Abril-Dic) 20100401v5 ejercicio A final envío con cierre (3) v 4 11" xfId="922" xr:uid="{961D6D8A-C1B3-4F6A-A5F9-67A59D129BAA}"/>
    <cellStyle name="_INAR_DICIEMBRE_26122007 (modif)_FCST Subsidy Handset 2010 (Abril-Dic) 20100401v5 ejercicio A final envío con cierre (3) v 4 12" xfId="923" xr:uid="{F52136E8-2F96-4DEE-9086-4DE4547546E5}"/>
    <cellStyle name="_INAR_DICIEMBRE_26122007 (modif)_FCST Subsidy Handset 2010 (Abril-Dic) 20100401v5 ejercicio A final envío con cierre (3) v 4 13" xfId="924" xr:uid="{19014BC7-7655-4AB7-A763-6B85C0EEB0AF}"/>
    <cellStyle name="_INAR_DICIEMBRE_26122007 (modif)_FCST Subsidy Handset 2010 (Abril-Dic) 20100401v5 ejercicio A final envío con cierre (3) v 4 14" xfId="925" xr:uid="{18D07F36-58A1-4378-8E41-7B8D89AB18A7}"/>
    <cellStyle name="_INAR_DICIEMBRE_26122007 (modif)_FCST Subsidy Handset 2010 (Abril-Dic) 20100401v5 ejercicio A final envío con cierre (3) v 4 2" xfId="926" xr:uid="{E74FFDA7-DEB9-416D-9A15-4CA4E1556A5D}"/>
    <cellStyle name="_INAR_DICIEMBRE_26122007 (modif)_FCST Subsidy Handset 2010 (Abril-Dic) 20100401v5 ejercicio A final envío con cierre (3) v 4 3" xfId="927" xr:uid="{87CB18D5-7C30-4F24-8815-643E08C11809}"/>
    <cellStyle name="_INAR_DICIEMBRE_26122007 (modif)_FCST Subsidy Handset 2010 (Abril-Dic) 20100401v5 ejercicio A final envío con cierre (3) v 4 4" xfId="928" xr:uid="{A9A293E1-6B24-4997-AFC2-AB5B1E25E6EF}"/>
    <cellStyle name="_INAR_DICIEMBRE_26122007 (modif)_FCST Subsidy Handset 2010 (Abril-Dic) 20100401v5 ejercicio A final envío con cierre (3) v 4 5" xfId="929" xr:uid="{76AB7F59-8870-4C85-AB3E-78C3F2F16150}"/>
    <cellStyle name="_INAR_DICIEMBRE_26122007 (modif)_FCST Subsidy Handset 2010 (Abril-Dic) 20100401v5 ejercicio A final envío con cierre (3) v 4 6" xfId="930" xr:uid="{0F21FDAF-441D-4969-9709-3C2F18D1A595}"/>
    <cellStyle name="_INAR_DICIEMBRE_26122007 (modif)_FCST Subsidy Handset 2010 (Abril-Dic) 20100401v5 ejercicio A final envío con cierre (3) v 4 7" xfId="931" xr:uid="{03B9912C-E877-471C-9913-0F9CA0873C34}"/>
    <cellStyle name="_INAR_DICIEMBRE_26122007 (modif)_FCST Subsidy Handset 2010 (Abril-Dic) 20100401v5 ejercicio A final envío con cierre (3) v 4 8" xfId="932" xr:uid="{9F332002-32DE-4E51-8F01-0DB707B4713D}"/>
    <cellStyle name="_INAR_DICIEMBRE_26122007 (modif)_FCST Subsidy Handset 2010 (Abril-Dic) 20100401v5 ejercicio A final envío con cierre (3) v 4 9" xfId="933" xr:uid="{07FDE82E-A68A-4938-87DC-1BC5E0B601EC}"/>
    <cellStyle name="_INAR_DICIEMBRE_26122007 (modif)_FCST Subsidy Handset 2010 (Mayo-Dic) 20100518 CT1000 $0 y CT500 $0-$699 v4 ER ejerc promo navidad (2) ej4" xfId="934" xr:uid="{A0D8B565-D526-4F3B-8CC1-6154293EE5EF}"/>
    <cellStyle name="_INAR_DICIEMBRE_26122007 (modif)_FCST Subsidy Handset 2010 (Mayo-Dic) 20100518 CT1000 $0 y CT500 $0-$699 v4 ER ejerc promo navidad (2) ej4 10" xfId="935" xr:uid="{EDF19203-A8B4-4E0D-9AA0-73646C7ED2BB}"/>
    <cellStyle name="_INAR_DICIEMBRE_26122007 (modif)_FCST Subsidy Handset 2010 (Mayo-Dic) 20100518 CT1000 $0 y CT500 $0-$699 v4 ER ejerc promo navidad (2) ej4 11" xfId="936" xr:uid="{CD619404-1B90-4536-B6AB-91A0FFD34D7A}"/>
    <cellStyle name="_INAR_DICIEMBRE_26122007 (modif)_FCST Subsidy Handset 2010 (Mayo-Dic) 20100518 CT1000 $0 y CT500 $0-$699 v4 ER ejerc promo navidad (2) ej4 12" xfId="937" xr:uid="{56630904-A4B5-4016-B040-64D35E29F5C7}"/>
    <cellStyle name="_INAR_DICIEMBRE_26122007 (modif)_FCST Subsidy Handset 2010 (Mayo-Dic) 20100518 CT1000 $0 y CT500 $0-$699 v4 ER ejerc promo navidad (2) ej4 13" xfId="938" xr:uid="{1F635DFE-67C2-4187-9BE0-C381FE45C14B}"/>
    <cellStyle name="_INAR_DICIEMBRE_26122007 (modif)_FCST Subsidy Handset 2010 (Mayo-Dic) 20100518 CT1000 $0 y CT500 $0-$699 v4 ER ejerc promo navidad (2) ej4 14" xfId="939" xr:uid="{FFEB90EA-784A-4429-99E9-9917A989F60A}"/>
    <cellStyle name="_INAR_DICIEMBRE_26122007 (modif)_FCST Subsidy Handset 2010 (Mayo-Dic) 20100518 CT1000 $0 y CT500 $0-$699 v4 ER ejerc promo navidad (2) ej4 2" xfId="940" xr:uid="{BB9636BC-5379-4948-A95C-4E9AAF619C25}"/>
    <cellStyle name="_INAR_DICIEMBRE_26122007 (modif)_FCST Subsidy Handset 2010 (Mayo-Dic) 20100518 CT1000 $0 y CT500 $0-$699 v4 ER ejerc promo navidad (2) ej4 3" xfId="941" xr:uid="{3C156319-0E0F-4A3F-BD17-0DC6C325CEBE}"/>
    <cellStyle name="_INAR_DICIEMBRE_26122007 (modif)_FCST Subsidy Handset 2010 (Mayo-Dic) 20100518 CT1000 $0 y CT500 $0-$699 v4 ER ejerc promo navidad (2) ej4 4" xfId="942" xr:uid="{B2BF5908-4936-4A58-AC4F-57FF8E0EDE63}"/>
    <cellStyle name="_INAR_DICIEMBRE_26122007 (modif)_FCST Subsidy Handset 2010 (Mayo-Dic) 20100518 CT1000 $0 y CT500 $0-$699 v4 ER ejerc promo navidad (2) ej4 5" xfId="943" xr:uid="{E6E2C455-4833-47B5-AD3D-D924A9CA8335}"/>
    <cellStyle name="_INAR_DICIEMBRE_26122007 (modif)_FCST Subsidy Handset 2010 (Mayo-Dic) 20100518 CT1000 $0 y CT500 $0-$699 v4 ER ejerc promo navidad (2) ej4 6" xfId="944" xr:uid="{9B044429-1E10-4181-A07A-773EE2CEF0D4}"/>
    <cellStyle name="_INAR_DICIEMBRE_26122007 (modif)_FCST Subsidy Handset 2010 (Mayo-Dic) 20100518 CT1000 $0 y CT500 $0-$699 v4 ER ejerc promo navidad (2) ej4 7" xfId="945" xr:uid="{B4A88A36-4A23-4E2C-ACB3-B4FCF26191DF}"/>
    <cellStyle name="_INAR_DICIEMBRE_26122007 (modif)_FCST Subsidy Handset 2010 (Mayo-Dic) 20100518 CT1000 $0 y CT500 $0-$699 v4 ER ejerc promo navidad (2) ej4 8" xfId="946" xr:uid="{4064C4E9-B735-4157-BBA9-70FCF17E15D8}"/>
    <cellStyle name="_INAR_DICIEMBRE_26122007 (modif)_FCST Subsidy Handset 2010 (Mayo-Dic) 20100518 CT1000 $0 y CT500 $0-$699 v4 ER ejerc promo navidad (2) ej4 9" xfId="947" xr:uid="{EFB94BAF-45BD-4FE5-A01A-C26455CC0CF0}"/>
    <cellStyle name="_INAR_DICIEMBRE_26122007 (modif)_Mix y ARP 2010 v2" xfId="948" xr:uid="{94D56109-3AB0-4738-A780-A83AE19E0EB6}"/>
    <cellStyle name="_INAR_DICIEMBRE_26122007 (modif)_Mix y ARP 2010 v2 10" xfId="949" xr:uid="{64F22DED-CBEC-4E17-98B2-9A09AB3D14B8}"/>
    <cellStyle name="_INAR_DICIEMBRE_26122007 (modif)_Mix y ARP 2010 v2 11" xfId="950" xr:uid="{CC0B5B0C-4BE8-4FFD-B216-04F9AF7AA093}"/>
    <cellStyle name="_INAR_DICIEMBRE_26122007 (modif)_Mix y ARP 2010 v2 12" xfId="951" xr:uid="{D018C734-0854-40ED-A8A3-4D0AD4B14162}"/>
    <cellStyle name="_INAR_DICIEMBRE_26122007 (modif)_Mix y ARP 2010 v2 13" xfId="952" xr:uid="{83D05AB1-9F4D-49D4-A9CD-90FCAA52D44A}"/>
    <cellStyle name="_INAR_DICIEMBRE_26122007 (modif)_Mix y ARP 2010 v2 14" xfId="953" xr:uid="{4143A007-2227-4885-A322-B8B6EEF35AF9}"/>
    <cellStyle name="_INAR_DICIEMBRE_26122007 (modif)_Mix y ARP 2010 v2 2" xfId="954" xr:uid="{960D2783-44EF-479F-9421-F1554B953D77}"/>
    <cellStyle name="_INAR_DICIEMBRE_26122007 (modif)_Mix y ARP 2010 v2 3" xfId="955" xr:uid="{29221D26-5C2D-47AD-BD86-44EA12743CFA}"/>
    <cellStyle name="_INAR_DICIEMBRE_26122007 (modif)_Mix y ARP 2010 v2 4" xfId="956" xr:uid="{BA83985B-6FB7-4878-AFF9-1691BBEFDDC1}"/>
    <cellStyle name="_INAR_DICIEMBRE_26122007 (modif)_Mix y ARP 2010 v2 5" xfId="957" xr:uid="{67B67115-10A0-4C33-874C-ECA82AC33E90}"/>
    <cellStyle name="_INAR_DICIEMBRE_26122007 (modif)_Mix y ARP 2010 v2 6" xfId="958" xr:uid="{B4ACC590-8F11-48BA-A207-86B35646857A}"/>
    <cellStyle name="_INAR_DICIEMBRE_26122007 (modif)_Mix y ARP 2010 v2 7" xfId="959" xr:uid="{51D3096A-F604-4757-87DE-630CFFFA49B5}"/>
    <cellStyle name="_INAR_DICIEMBRE_26122007 (modif)_Mix y ARP 2010 v2 8" xfId="960" xr:uid="{E502712C-A326-4200-B0C2-D8E58B4CE8E7}"/>
    <cellStyle name="_INAR_DICIEMBRE_26122007 (modif)_Mix y ARP 2010 v2 9" xfId="961" xr:uid="{96F12359-3A7C-4A7E-9927-8AF00351E6E3}"/>
    <cellStyle name="_INAR_DICIEMBRE_27122007" xfId="962" xr:uid="{02D7F7E6-6B7D-41BD-871F-699B66027502}"/>
    <cellStyle name="_INAR_DICIEMBRE_27122007_FCST Subsidy Handset 2010 (Abril-Dic) 20100401v5 ejercicio A final envío con cierre (3) v 4" xfId="963" xr:uid="{8A7B8854-64FD-43CE-ACA4-C5F3D0BD7773}"/>
    <cellStyle name="_INAR_DICIEMBRE_27122007_FCST Subsidy Handset 2010 (Abril-Dic) 20100401v5 ejercicio A final envío con cierre (3) v 4 10" xfId="964" xr:uid="{F4134580-5AE1-44E5-8EBF-FA0B610CE0C8}"/>
    <cellStyle name="_INAR_DICIEMBRE_27122007_FCST Subsidy Handset 2010 (Abril-Dic) 20100401v5 ejercicio A final envío con cierre (3) v 4 11" xfId="965" xr:uid="{E2F58CE3-1B29-4D03-B89A-B13D8A93E6E2}"/>
    <cellStyle name="_INAR_DICIEMBRE_27122007_FCST Subsidy Handset 2010 (Abril-Dic) 20100401v5 ejercicio A final envío con cierre (3) v 4 12" xfId="966" xr:uid="{38D80E32-C01B-43D6-A10E-8F5CD1D64DB3}"/>
    <cellStyle name="_INAR_DICIEMBRE_27122007_FCST Subsidy Handset 2010 (Abril-Dic) 20100401v5 ejercicio A final envío con cierre (3) v 4 13" xfId="967" xr:uid="{C69B782E-FE1B-4C8D-AA1A-95B3642BF3A8}"/>
    <cellStyle name="_INAR_DICIEMBRE_27122007_FCST Subsidy Handset 2010 (Abril-Dic) 20100401v5 ejercicio A final envío con cierre (3) v 4 14" xfId="968" xr:uid="{5F2F6733-3585-43C3-ABAD-0A3F9D973AB2}"/>
    <cellStyle name="_INAR_DICIEMBRE_27122007_FCST Subsidy Handset 2010 (Abril-Dic) 20100401v5 ejercicio A final envío con cierre (3) v 4 2" xfId="969" xr:uid="{ABFF7827-11A4-4E00-A9AC-3DE39A30D21F}"/>
    <cellStyle name="_INAR_DICIEMBRE_27122007_FCST Subsidy Handset 2010 (Abril-Dic) 20100401v5 ejercicio A final envío con cierre (3) v 4 3" xfId="970" xr:uid="{3CC6B2D4-3CA9-4547-8637-742EAD02A4FB}"/>
    <cellStyle name="_INAR_DICIEMBRE_27122007_FCST Subsidy Handset 2010 (Abril-Dic) 20100401v5 ejercicio A final envío con cierre (3) v 4 4" xfId="971" xr:uid="{FEF18E80-25DD-4F86-80C8-27AE176BB148}"/>
    <cellStyle name="_INAR_DICIEMBRE_27122007_FCST Subsidy Handset 2010 (Abril-Dic) 20100401v5 ejercicio A final envío con cierre (3) v 4 5" xfId="972" xr:uid="{144DB7E2-6154-48ED-B158-6B765CFA5AE5}"/>
    <cellStyle name="_INAR_DICIEMBRE_27122007_FCST Subsidy Handset 2010 (Abril-Dic) 20100401v5 ejercicio A final envío con cierre (3) v 4 6" xfId="973" xr:uid="{A64AD4DC-B41F-4C15-8066-4FB472B8413C}"/>
    <cellStyle name="_INAR_DICIEMBRE_27122007_FCST Subsidy Handset 2010 (Abril-Dic) 20100401v5 ejercicio A final envío con cierre (3) v 4 7" xfId="974" xr:uid="{A2BFC951-E455-4BF6-8E04-96F2D41D74DD}"/>
    <cellStyle name="_INAR_DICIEMBRE_27122007_FCST Subsidy Handset 2010 (Abril-Dic) 20100401v5 ejercicio A final envío con cierre (3) v 4 8" xfId="975" xr:uid="{B730434B-8D9D-4756-BA31-0ADE4B6F847D}"/>
    <cellStyle name="_INAR_DICIEMBRE_27122007_FCST Subsidy Handset 2010 (Abril-Dic) 20100401v5 ejercicio A final envío con cierre (3) v 4 9" xfId="976" xr:uid="{1A7BA59C-35F5-42EB-9A94-D9769B02CC2C}"/>
    <cellStyle name="_INAR_DICIEMBRE_27122007_FCST Subsidy Handset 2010 (Mayo-Dic) 20100518 CT1000 $0 y CT500 $0-$699 v4 ER ejerc promo navidad (2) ej4" xfId="977" xr:uid="{FD389EB8-E421-463F-ABB9-DE437AAE7590}"/>
    <cellStyle name="_INAR_DICIEMBRE_27122007_FCST Subsidy Handset 2010 (Mayo-Dic) 20100518 CT1000 $0 y CT500 $0-$699 v4 ER ejerc promo navidad (2) ej4 10" xfId="978" xr:uid="{6537C587-5D44-47EE-B6A4-ADF2F89635AE}"/>
    <cellStyle name="_INAR_DICIEMBRE_27122007_FCST Subsidy Handset 2010 (Mayo-Dic) 20100518 CT1000 $0 y CT500 $0-$699 v4 ER ejerc promo navidad (2) ej4 11" xfId="979" xr:uid="{92ECD5DB-5B4E-4DBA-8737-58998EA12D7A}"/>
    <cellStyle name="_INAR_DICIEMBRE_27122007_FCST Subsidy Handset 2010 (Mayo-Dic) 20100518 CT1000 $0 y CT500 $0-$699 v4 ER ejerc promo navidad (2) ej4 12" xfId="980" xr:uid="{EF7FE2A6-8092-4110-B9FC-73B2924458A9}"/>
    <cellStyle name="_INAR_DICIEMBRE_27122007_FCST Subsidy Handset 2010 (Mayo-Dic) 20100518 CT1000 $0 y CT500 $0-$699 v4 ER ejerc promo navidad (2) ej4 13" xfId="981" xr:uid="{5918BB60-BAA9-406F-9816-553787602CBE}"/>
    <cellStyle name="_INAR_DICIEMBRE_27122007_FCST Subsidy Handset 2010 (Mayo-Dic) 20100518 CT1000 $0 y CT500 $0-$699 v4 ER ejerc promo navidad (2) ej4 14" xfId="982" xr:uid="{633C2F3A-8849-403A-8F74-B2DF06F053BF}"/>
    <cellStyle name="_INAR_DICIEMBRE_27122007_FCST Subsidy Handset 2010 (Mayo-Dic) 20100518 CT1000 $0 y CT500 $0-$699 v4 ER ejerc promo navidad (2) ej4 2" xfId="983" xr:uid="{CA04274E-8816-4A4E-A489-765EA9FDC3A2}"/>
    <cellStyle name="_INAR_DICIEMBRE_27122007_FCST Subsidy Handset 2010 (Mayo-Dic) 20100518 CT1000 $0 y CT500 $0-$699 v4 ER ejerc promo navidad (2) ej4 3" xfId="984" xr:uid="{3B771851-0FAF-46C0-9E06-88AAD80223D4}"/>
    <cellStyle name="_INAR_DICIEMBRE_27122007_FCST Subsidy Handset 2010 (Mayo-Dic) 20100518 CT1000 $0 y CT500 $0-$699 v4 ER ejerc promo navidad (2) ej4 4" xfId="985" xr:uid="{BB17E722-5C81-4798-A36B-4F976D16215D}"/>
    <cellStyle name="_INAR_DICIEMBRE_27122007_FCST Subsidy Handset 2010 (Mayo-Dic) 20100518 CT1000 $0 y CT500 $0-$699 v4 ER ejerc promo navidad (2) ej4 5" xfId="986" xr:uid="{008338B4-C397-4A5D-9F42-2658B865B012}"/>
    <cellStyle name="_INAR_DICIEMBRE_27122007_FCST Subsidy Handset 2010 (Mayo-Dic) 20100518 CT1000 $0 y CT500 $0-$699 v4 ER ejerc promo navidad (2) ej4 6" xfId="987" xr:uid="{79D1F762-E417-49E4-BDC5-EE53A00AD9CE}"/>
    <cellStyle name="_INAR_DICIEMBRE_27122007_FCST Subsidy Handset 2010 (Mayo-Dic) 20100518 CT1000 $0 y CT500 $0-$699 v4 ER ejerc promo navidad (2) ej4 7" xfId="988" xr:uid="{B8AC59E4-B3A7-41D7-918E-9024B6E6A76F}"/>
    <cellStyle name="_INAR_DICIEMBRE_27122007_FCST Subsidy Handset 2010 (Mayo-Dic) 20100518 CT1000 $0 y CT500 $0-$699 v4 ER ejerc promo navidad (2) ej4 8" xfId="989" xr:uid="{2DDAA500-89E5-4542-A564-073E395A5041}"/>
    <cellStyle name="_INAR_DICIEMBRE_27122007_FCST Subsidy Handset 2010 (Mayo-Dic) 20100518 CT1000 $0 y CT500 $0-$699 v4 ER ejerc promo navidad (2) ej4 9" xfId="990" xr:uid="{1EB981E1-BF3E-4C12-A9B6-D077E3CFECC4}"/>
    <cellStyle name="_INAR_DICIEMBRE_27122007_Mix y ARP 2010 v2" xfId="991" xr:uid="{C6944286-DE22-463B-8D06-94BE2233586C}"/>
    <cellStyle name="_INAR_DICIEMBRE_27122007_Mix y ARP 2010 v2 10" xfId="992" xr:uid="{14808B71-80DE-4C2F-9CDF-6AF4DFA7D409}"/>
    <cellStyle name="_INAR_DICIEMBRE_27122007_Mix y ARP 2010 v2 11" xfId="993" xr:uid="{31F2F3E5-C987-4BFC-A67A-48135122E73F}"/>
    <cellStyle name="_INAR_DICIEMBRE_27122007_Mix y ARP 2010 v2 12" xfId="994" xr:uid="{B73BD005-D86F-4926-AA32-9CA190252DCE}"/>
    <cellStyle name="_INAR_DICIEMBRE_27122007_Mix y ARP 2010 v2 13" xfId="995" xr:uid="{BB13B8D7-24D0-4D89-90ED-3E082370F2A1}"/>
    <cellStyle name="_INAR_DICIEMBRE_27122007_Mix y ARP 2010 v2 14" xfId="996" xr:uid="{4E06E4F6-4A0B-4307-BCD3-90167A2DB505}"/>
    <cellStyle name="_INAR_DICIEMBRE_27122007_Mix y ARP 2010 v2 2" xfId="997" xr:uid="{78791BCD-EB08-43F4-AC8A-7987C160CF61}"/>
    <cellStyle name="_INAR_DICIEMBRE_27122007_Mix y ARP 2010 v2 3" xfId="998" xr:uid="{C5BBA072-51CC-44A1-AA76-962B281F731C}"/>
    <cellStyle name="_INAR_DICIEMBRE_27122007_Mix y ARP 2010 v2 4" xfId="999" xr:uid="{7BE638B8-CB58-4397-B1B5-16463BFC1B34}"/>
    <cellStyle name="_INAR_DICIEMBRE_27122007_Mix y ARP 2010 v2 5" xfId="1000" xr:uid="{9566E17A-A9A6-4291-9430-120BE55C0F58}"/>
    <cellStyle name="_INAR_DICIEMBRE_27122007_Mix y ARP 2010 v2 6" xfId="1001" xr:uid="{08A8818E-4C86-439D-90FC-451680E2701C}"/>
    <cellStyle name="_INAR_DICIEMBRE_27122007_Mix y ARP 2010 v2 7" xfId="1002" xr:uid="{D055C944-3F13-410F-9561-D66C6C77DD87}"/>
    <cellStyle name="_INAR_DICIEMBRE_27122007_Mix y ARP 2010 v2 8" xfId="1003" xr:uid="{8F1EE095-0982-4B6D-B74E-B4626FA529CD}"/>
    <cellStyle name="_INAR_DICIEMBRE_27122007_Mix y ARP 2010 v2 9" xfId="1004" xr:uid="{9706EF5A-A0EF-44F0-B3D8-6CC6793EA938}"/>
    <cellStyle name="_INAR_DICIEMBRE_28122007" xfId="1005" xr:uid="{C28DEAA2-92BD-43E3-BB2F-79A89454E32B}"/>
    <cellStyle name="_INAR_DICIEMBRE_28122007_FCST Subsidy Handset 2010 (Abril-Dic) 20100401v5 ejercicio A final envío con cierre (3) v 4" xfId="1006" xr:uid="{2FFA02A9-328C-4AA1-81CB-D74A239CB14D}"/>
    <cellStyle name="_INAR_DICIEMBRE_28122007_FCST Subsidy Handset 2010 (Abril-Dic) 20100401v5 ejercicio A final envío con cierre (3) v 4 10" xfId="1007" xr:uid="{58224C8B-9B21-4505-9BB9-0519C988C6AF}"/>
    <cellStyle name="_INAR_DICIEMBRE_28122007_FCST Subsidy Handset 2010 (Abril-Dic) 20100401v5 ejercicio A final envío con cierre (3) v 4 11" xfId="1008" xr:uid="{052F98BD-6433-49AD-A420-BEA4CB32E8A9}"/>
    <cellStyle name="_INAR_DICIEMBRE_28122007_FCST Subsidy Handset 2010 (Abril-Dic) 20100401v5 ejercicio A final envío con cierre (3) v 4 12" xfId="1009" xr:uid="{E82B3A97-35AD-491B-904E-D76B8AA1EF9D}"/>
    <cellStyle name="_INAR_DICIEMBRE_28122007_FCST Subsidy Handset 2010 (Abril-Dic) 20100401v5 ejercicio A final envío con cierre (3) v 4 13" xfId="1010" xr:uid="{5A07B518-F3E6-41B3-8DF9-88D597B52C79}"/>
    <cellStyle name="_INAR_DICIEMBRE_28122007_FCST Subsidy Handset 2010 (Abril-Dic) 20100401v5 ejercicio A final envío con cierre (3) v 4 14" xfId="1011" xr:uid="{33546FA6-60EB-45A3-9B9D-177E0147E191}"/>
    <cellStyle name="_INAR_DICIEMBRE_28122007_FCST Subsidy Handset 2010 (Abril-Dic) 20100401v5 ejercicio A final envío con cierre (3) v 4 2" xfId="1012" xr:uid="{1BD0BD22-FF08-4076-AB3C-B1909729B8A7}"/>
    <cellStyle name="_INAR_DICIEMBRE_28122007_FCST Subsidy Handset 2010 (Abril-Dic) 20100401v5 ejercicio A final envío con cierre (3) v 4 3" xfId="1013" xr:uid="{9511BE77-C915-4E24-BE1C-3F45B73927B3}"/>
    <cellStyle name="_INAR_DICIEMBRE_28122007_FCST Subsidy Handset 2010 (Abril-Dic) 20100401v5 ejercicio A final envío con cierre (3) v 4 4" xfId="1014" xr:uid="{F0B45573-7CAE-4769-A525-36EC5CC9BCDE}"/>
    <cellStyle name="_INAR_DICIEMBRE_28122007_FCST Subsidy Handset 2010 (Abril-Dic) 20100401v5 ejercicio A final envío con cierre (3) v 4 5" xfId="1015" xr:uid="{89FD4D1C-B080-4C98-8024-1B4ED48AC3F5}"/>
    <cellStyle name="_INAR_DICIEMBRE_28122007_FCST Subsidy Handset 2010 (Abril-Dic) 20100401v5 ejercicio A final envío con cierre (3) v 4 6" xfId="1016" xr:uid="{373FE770-6124-4109-BB98-09E331987ED3}"/>
    <cellStyle name="_INAR_DICIEMBRE_28122007_FCST Subsidy Handset 2010 (Abril-Dic) 20100401v5 ejercicio A final envío con cierre (3) v 4 7" xfId="1017" xr:uid="{B439D1EC-67DA-4195-B29F-9BF614631ECB}"/>
    <cellStyle name="_INAR_DICIEMBRE_28122007_FCST Subsidy Handset 2010 (Abril-Dic) 20100401v5 ejercicio A final envío con cierre (3) v 4 8" xfId="1018" xr:uid="{68D44396-769A-4034-AA18-55DDFCFAE937}"/>
    <cellStyle name="_INAR_DICIEMBRE_28122007_FCST Subsidy Handset 2010 (Abril-Dic) 20100401v5 ejercicio A final envío con cierre (3) v 4 9" xfId="1019" xr:uid="{94B1F8DF-783A-4971-B81E-E792D80121B3}"/>
    <cellStyle name="_INAR_DICIEMBRE_28122007_FCST Subsidy Handset 2010 (Mayo-Dic) 20100518 CT1000 $0 y CT500 $0-$699 v4 ER ejerc promo navidad (2) ej4" xfId="1020" xr:uid="{0E93BB5E-9DE1-4990-B3F6-01556761B782}"/>
    <cellStyle name="_INAR_DICIEMBRE_28122007_FCST Subsidy Handset 2010 (Mayo-Dic) 20100518 CT1000 $0 y CT500 $0-$699 v4 ER ejerc promo navidad (2) ej4 10" xfId="1021" xr:uid="{427D597F-5251-4CD8-8B96-9AE2FCA9D0D3}"/>
    <cellStyle name="_INAR_DICIEMBRE_28122007_FCST Subsidy Handset 2010 (Mayo-Dic) 20100518 CT1000 $0 y CT500 $0-$699 v4 ER ejerc promo navidad (2) ej4 11" xfId="1022" xr:uid="{F1383850-50B2-4F6F-9D03-76CCA5157E31}"/>
    <cellStyle name="_INAR_DICIEMBRE_28122007_FCST Subsidy Handset 2010 (Mayo-Dic) 20100518 CT1000 $0 y CT500 $0-$699 v4 ER ejerc promo navidad (2) ej4 12" xfId="1023" xr:uid="{12F01402-44CE-4EAB-AF23-138D372B31E7}"/>
    <cellStyle name="_INAR_DICIEMBRE_28122007_FCST Subsidy Handset 2010 (Mayo-Dic) 20100518 CT1000 $0 y CT500 $0-$699 v4 ER ejerc promo navidad (2) ej4 13" xfId="1024" xr:uid="{4D105ADB-2852-4DA2-8226-E6F9DAAA0AFB}"/>
    <cellStyle name="_INAR_DICIEMBRE_28122007_FCST Subsidy Handset 2010 (Mayo-Dic) 20100518 CT1000 $0 y CT500 $0-$699 v4 ER ejerc promo navidad (2) ej4 14" xfId="1025" xr:uid="{14F5E724-76E7-49F8-BF5C-8E63C784C570}"/>
    <cellStyle name="_INAR_DICIEMBRE_28122007_FCST Subsidy Handset 2010 (Mayo-Dic) 20100518 CT1000 $0 y CT500 $0-$699 v4 ER ejerc promo navidad (2) ej4 2" xfId="1026" xr:uid="{05DCD3A8-1119-493D-96BD-988EC83A3838}"/>
    <cellStyle name="_INAR_DICIEMBRE_28122007_FCST Subsidy Handset 2010 (Mayo-Dic) 20100518 CT1000 $0 y CT500 $0-$699 v4 ER ejerc promo navidad (2) ej4 3" xfId="1027" xr:uid="{F4CC1B3F-B945-4129-97B7-FA98720107C2}"/>
    <cellStyle name="_INAR_DICIEMBRE_28122007_FCST Subsidy Handset 2010 (Mayo-Dic) 20100518 CT1000 $0 y CT500 $0-$699 v4 ER ejerc promo navidad (2) ej4 4" xfId="1028" xr:uid="{900DC171-CFFD-4B68-8288-05D956073B95}"/>
    <cellStyle name="_INAR_DICIEMBRE_28122007_FCST Subsidy Handset 2010 (Mayo-Dic) 20100518 CT1000 $0 y CT500 $0-$699 v4 ER ejerc promo navidad (2) ej4 5" xfId="1029" xr:uid="{D3BA64D0-3A56-48BF-9E05-75DB1B7DBA14}"/>
    <cellStyle name="_INAR_DICIEMBRE_28122007_FCST Subsidy Handset 2010 (Mayo-Dic) 20100518 CT1000 $0 y CT500 $0-$699 v4 ER ejerc promo navidad (2) ej4 6" xfId="1030" xr:uid="{C130486E-C656-497F-820F-82CC7A86E2A6}"/>
    <cellStyle name="_INAR_DICIEMBRE_28122007_FCST Subsidy Handset 2010 (Mayo-Dic) 20100518 CT1000 $0 y CT500 $0-$699 v4 ER ejerc promo navidad (2) ej4 7" xfId="1031" xr:uid="{69364A1B-01AA-42AA-963B-60750BB487D4}"/>
    <cellStyle name="_INAR_DICIEMBRE_28122007_FCST Subsidy Handset 2010 (Mayo-Dic) 20100518 CT1000 $0 y CT500 $0-$699 v4 ER ejerc promo navidad (2) ej4 8" xfId="1032" xr:uid="{AEA465A3-910F-48DF-BA90-B8736A1F16B4}"/>
    <cellStyle name="_INAR_DICIEMBRE_28122007_FCST Subsidy Handset 2010 (Mayo-Dic) 20100518 CT1000 $0 y CT500 $0-$699 v4 ER ejerc promo navidad (2) ej4 9" xfId="1033" xr:uid="{DB5BDEDB-07F3-49B1-AAA0-EB7C0EA3EB79}"/>
    <cellStyle name="_INAR_DICIEMBRE_28122007_Mix y ARP 2010 v2" xfId="1034" xr:uid="{782ACD01-8792-4968-A6A8-97F0B4E00EBA}"/>
    <cellStyle name="_INAR_DICIEMBRE_28122007_Mix y ARP 2010 v2 10" xfId="1035" xr:uid="{D3C8112B-C127-43C7-AAEB-C72B13483C17}"/>
    <cellStyle name="_INAR_DICIEMBRE_28122007_Mix y ARP 2010 v2 11" xfId="1036" xr:uid="{83EA1B7E-B46A-4061-AE46-27B007E673CE}"/>
    <cellStyle name="_INAR_DICIEMBRE_28122007_Mix y ARP 2010 v2 12" xfId="1037" xr:uid="{59D92292-1C43-46F6-9EA8-73EAE0BA6451}"/>
    <cellStyle name="_INAR_DICIEMBRE_28122007_Mix y ARP 2010 v2 13" xfId="1038" xr:uid="{A44C1DCA-52CA-4BDD-BD26-BE3E711CC802}"/>
    <cellStyle name="_INAR_DICIEMBRE_28122007_Mix y ARP 2010 v2 14" xfId="1039" xr:uid="{ED42C232-1CB1-47C9-91B1-B30208DA09FF}"/>
    <cellStyle name="_INAR_DICIEMBRE_28122007_Mix y ARP 2010 v2 2" xfId="1040" xr:uid="{952C7864-2BE5-40F6-A707-7CDD0443664B}"/>
    <cellStyle name="_INAR_DICIEMBRE_28122007_Mix y ARP 2010 v2 3" xfId="1041" xr:uid="{3F852839-6825-47A1-BA68-D51F5247FAC6}"/>
    <cellStyle name="_INAR_DICIEMBRE_28122007_Mix y ARP 2010 v2 4" xfId="1042" xr:uid="{5A8ED966-9ABF-46C1-837F-FD91068CB258}"/>
    <cellStyle name="_INAR_DICIEMBRE_28122007_Mix y ARP 2010 v2 5" xfId="1043" xr:uid="{93336582-73DE-4011-8DF3-3E6DEC642E5A}"/>
    <cellStyle name="_INAR_DICIEMBRE_28122007_Mix y ARP 2010 v2 6" xfId="1044" xr:uid="{65278BAF-8738-4930-875F-4C9D19F9F682}"/>
    <cellStyle name="_INAR_DICIEMBRE_28122007_Mix y ARP 2010 v2 7" xfId="1045" xr:uid="{22BAAA64-3279-495B-9001-C56CBEE49ABE}"/>
    <cellStyle name="_INAR_DICIEMBRE_28122007_Mix y ARP 2010 v2 8" xfId="1046" xr:uid="{874796AA-3362-471E-9771-D8987E2A43CF}"/>
    <cellStyle name="_INAR_DICIEMBRE_28122007_Mix y ARP 2010 v2 9" xfId="1047" xr:uid="{4612D4E2-69B1-4845-9B37-0ABE9813FF85}"/>
    <cellStyle name="_INAR_ENERO_04012008 (modif)" xfId="1048" xr:uid="{BC9B5D65-41E1-4150-93B8-0F96D28ADE58}"/>
    <cellStyle name="_INAR_ENERO_04012008 (modif)_FCST Subsidy Handset 2010 (Abril-Dic) 20100401v5 ejercicio A final envío con cierre (3) v 4" xfId="1049" xr:uid="{C169C641-48E1-4444-BAB8-320871767E0C}"/>
    <cellStyle name="_INAR_ENERO_04012008 (modif)_FCST Subsidy Handset 2010 (Abril-Dic) 20100401v5 ejercicio A final envío con cierre (3) v 4 10" xfId="1050" xr:uid="{7EC81176-3183-4E50-9DA4-6EEC846D474C}"/>
    <cellStyle name="_INAR_ENERO_04012008 (modif)_FCST Subsidy Handset 2010 (Abril-Dic) 20100401v5 ejercicio A final envío con cierre (3) v 4 11" xfId="1051" xr:uid="{CCA53B58-8FAD-42E5-AA7F-699E9E40E189}"/>
    <cellStyle name="_INAR_ENERO_04012008 (modif)_FCST Subsidy Handset 2010 (Abril-Dic) 20100401v5 ejercicio A final envío con cierre (3) v 4 12" xfId="1052" xr:uid="{E9F84625-79B3-4AB3-AA6B-DE6BA9704665}"/>
    <cellStyle name="_INAR_ENERO_04012008 (modif)_FCST Subsidy Handset 2010 (Abril-Dic) 20100401v5 ejercicio A final envío con cierre (3) v 4 13" xfId="1053" xr:uid="{5FA47BF8-B3FB-4B68-B284-88A069092262}"/>
    <cellStyle name="_INAR_ENERO_04012008 (modif)_FCST Subsidy Handset 2010 (Abril-Dic) 20100401v5 ejercicio A final envío con cierre (3) v 4 14" xfId="1054" xr:uid="{30A34987-CB3D-4F98-92FB-E00D464A179F}"/>
    <cellStyle name="_INAR_ENERO_04012008 (modif)_FCST Subsidy Handset 2010 (Abril-Dic) 20100401v5 ejercicio A final envío con cierre (3) v 4 2" xfId="1055" xr:uid="{65257DAB-169E-4A9C-BD37-F4F1B0562135}"/>
    <cellStyle name="_INAR_ENERO_04012008 (modif)_FCST Subsidy Handset 2010 (Abril-Dic) 20100401v5 ejercicio A final envío con cierre (3) v 4 3" xfId="1056" xr:uid="{943CCAEC-44E9-4E47-B8A8-212B3A2A8087}"/>
    <cellStyle name="_INAR_ENERO_04012008 (modif)_FCST Subsidy Handset 2010 (Abril-Dic) 20100401v5 ejercicio A final envío con cierre (3) v 4 4" xfId="1057" xr:uid="{8CDF5A23-46A5-4E8E-8033-7574F321FF53}"/>
    <cellStyle name="_INAR_ENERO_04012008 (modif)_FCST Subsidy Handset 2010 (Abril-Dic) 20100401v5 ejercicio A final envío con cierre (3) v 4 5" xfId="1058" xr:uid="{1047A007-0395-431F-BC56-23DE0E97822D}"/>
    <cellStyle name="_INAR_ENERO_04012008 (modif)_FCST Subsidy Handset 2010 (Abril-Dic) 20100401v5 ejercicio A final envío con cierre (3) v 4 6" xfId="1059" xr:uid="{423E6151-DEC4-4FCB-9169-30F4BA4409E8}"/>
    <cellStyle name="_INAR_ENERO_04012008 (modif)_FCST Subsidy Handset 2010 (Abril-Dic) 20100401v5 ejercicio A final envío con cierre (3) v 4 7" xfId="1060" xr:uid="{C5815866-923A-4E6B-B930-4B56F5DAC4CE}"/>
    <cellStyle name="_INAR_ENERO_04012008 (modif)_FCST Subsidy Handset 2010 (Abril-Dic) 20100401v5 ejercicio A final envío con cierre (3) v 4 8" xfId="1061" xr:uid="{21E70307-53F2-47D4-8CEF-F521AB7534C6}"/>
    <cellStyle name="_INAR_ENERO_04012008 (modif)_FCST Subsidy Handset 2010 (Abril-Dic) 20100401v5 ejercicio A final envío con cierre (3) v 4 9" xfId="1062" xr:uid="{59691969-3992-49CB-90E1-4C8D38AB0D13}"/>
    <cellStyle name="_INAR_ENERO_04012008 (modif)_FCST Subsidy Handset 2010 (Mayo-Dic) 20100518 CT1000 $0 y CT500 $0-$699 v4 ER ejerc promo navidad (2) ej4" xfId="1063" xr:uid="{9B55D786-7B45-4D23-84A9-8FA126DBB095}"/>
    <cellStyle name="_INAR_ENERO_04012008 (modif)_FCST Subsidy Handset 2010 (Mayo-Dic) 20100518 CT1000 $0 y CT500 $0-$699 v4 ER ejerc promo navidad (2) ej4 10" xfId="1064" xr:uid="{9174089A-C35A-46BA-A3BD-E396204E7FF5}"/>
    <cellStyle name="_INAR_ENERO_04012008 (modif)_FCST Subsidy Handset 2010 (Mayo-Dic) 20100518 CT1000 $0 y CT500 $0-$699 v4 ER ejerc promo navidad (2) ej4 11" xfId="1065" xr:uid="{5498349E-0E4C-4CB1-B6A9-AB992B54B6F5}"/>
    <cellStyle name="_INAR_ENERO_04012008 (modif)_FCST Subsidy Handset 2010 (Mayo-Dic) 20100518 CT1000 $0 y CT500 $0-$699 v4 ER ejerc promo navidad (2) ej4 12" xfId="1066" xr:uid="{7E34BB43-A305-49FA-B3F5-3D5A0AEDFF37}"/>
    <cellStyle name="_INAR_ENERO_04012008 (modif)_FCST Subsidy Handset 2010 (Mayo-Dic) 20100518 CT1000 $0 y CT500 $0-$699 v4 ER ejerc promo navidad (2) ej4 13" xfId="1067" xr:uid="{EB1E7146-8A3B-47E2-997E-DD59568E570C}"/>
    <cellStyle name="_INAR_ENERO_04012008 (modif)_FCST Subsidy Handset 2010 (Mayo-Dic) 20100518 CT1000 $0 y CT500 $0-$699 v4 ER ejerc promo navidad (2) ej4 14" xfId="1068" xr:uid="{A597626A-FB31-496D-9AA5-2AC315CCF2D0}"/>
    <cellStyle name="_INAR_ENERO_04012008 (modif)_FCST Subsidy Handset 2010 (Mayo-Dic) 20100518 CT1000 $0 y CT500 $0-$699 v4 ER ejerc promo navidad (2) ej4 2" xfId="1069" xr:uid="{89F387B4-63B0-4ADC-94AB-D676326713BC}"/>
    <cellStyle name="_INAR_ENERO_04012008 (modif)_FCST Subsidy Handset 2010 (Mayo-Dic) 20100518 CT1000 $0 y CT500 $0-$699 v4 ER ejerc promo navidad (2) ej4 3" xfId="1070" xr:uid="{7712A167-76F6-4253-811E-A78669815CA5}"/>
    <cellStyle name="_INAR_ENERO_04012008 (modif)_FCST Subsidy Handset 2010 (Mayo-Dic) 20100518 CT1000 $0 y CT500 $0-$699 v4 ER ejerc promo navidad (2) ej4 4" xfId="1071" xr:uid="{5B86060B-9704-4585-B709-993B5BA03DB8}"/>
    <cellStyle name="_INAR_ENERO_04012008 (modif)_FCST Subsidy Handset 2010 (Mayo-Dic) 20100518 CT1000 $0 y CT500 $0-$699 v4 ER ejerc promo navidad (2) ej4 5" xfId="1072" xr:uid="{C398642D-6FA5-42E7-9534-1687940B59D0}"/>
    <cellStyle name="_INAR_ENERO_04012008 (modif)_FCST Subsidy Handset 2010 (Mayo-Dic) 20100518 CT1000 $0 y CT500 $0-$699 v4 ER ejerc promo navidad (2) ej4 6" xfId="1073" xr:uid="{D5A03DA7-F687-4023-9469-76FF59EA4E71}"/>
    <cellStyle name="_INAR_ENERO_04012008 (modif)_FCST Subsidy Handset 2010 (Mayo-Dic) 20100518 CT1000 $0 y CT500 $0-$699 v4 ER ejerc promo navidad (2) ej4 7" xfId="1074" xr:uid="{A9A88062-F456-4176-916E-2BB95A2BF230}"/>
    <cellStyle name="_INAR_ENERO_04012008 (modif)_FCST Subsidy Handset 2010 (Mayo-Dic) 20100518 CT1000 $0 y CT500 $0-$699 v4 ER ejerc promo navidad (2) ej4 8" xfId="1075" xr:uid="{083F9644-0EA4-4D71-867F-421681566AFD}"/>
    <cellStyle name="_INAR_ENERO_04012008 (modif)_FCST Subsidy Handset 2010 (Mayo-Dic) 20100518 CT1000 $0 y CT500 $0-$699 v4 ER ejerc promo navidad (2) ej4 9" xfId="1076" xr:uid="{1EF63423-385E-44F0-9B4B-745B59C3AD17}"/>
    <cellStyle name="_INAR_ENERO_04012008 (modif)_Mix y ARP 2010 v2" xfId="1077" xr:uid="{F5342A1D-22FC-4E0B-9374-DA7B1A86BCFD}"/>
    <cellStyle name="_INAR_ENERO_04012008 (modif)_Mix y ARP 2010 v2 10" xfId="1078" xr:uid="{A2B2F930-1ADE-4FE5-BBE3-03603FCC856B}"/>
    <cellStyle name="_INAR_ENERO_04012008 (modif)_Mix y ARP 2010 v2 11" xfId="1079" xr:uid="{89F27D28-A7F3-4FD3-A9CC-D69A5AB5B5AD}"/>
    <cellStyle name="_INAR_ENERO_04012008 (modif)_Mix y ARP 2010 v2 12" xfId="1080" xr:uid="{44A427EB-60F4-48AB-B64C-02D33B30845B}"/>
    <cellStyle name="_INAR_ENERO_04012008 (modif)_Mix y ARP 2010 v2 13" xfId="1081" xr:uid="{A8FE5D51-9B0D-41AC-AF04-9AE7255B1107}"/>
    <cellStyle name="_INAR_ENERO_04012008 (modif)_Mix y ARP 2010 v2 14" xfId="1082" xr:uid="{00171EBE-907F-4D94-B814-5D6EB4B6E086}"/>
    <cellStyle name="_INAR_ENERO_04012008 (modif)_Mix y ARP 2010 v2 2" xfId="1083" xr:uid="{D88BC76E-0AC6-4978-A060-A257EA2CF033}"/>
    <cellStyle name="_INAR_ENERO_04012008 (modif)_Mix y ARP 2010 v2 3" xfId="1084" xr:uid="{2E98BD38-2EEB-4224-AF97-B3D26EBFA4E4}"/>
    <cellStyle name="_INAR_ENERO_04012008 (modif)_Mix y ARP 2010 v2 4" xfId="1085" xr:uid="{1C1FE4A8-C183-454C-8891-F62BEEAF61D0}"/>
    <cellStyle name="_INAR_ENERO_04012008 (modif)_Mix y ARP 2010 v2 5" xfId="1086" xr:uid="{0C0237BB-8A8E-4434-A276-25E1CC456CC7}"/>
    <cellStyle name="_INAR_ENERO_04012008 (modif)_Mix y ARP 2010 v2 6" xfId="1087" xr:uid="{3C5AF56F-D669-4312-94C4-0AB517740A97}"/>
    <cellStyle name="_INAR_ENERO_04012008 (modif)_Mix y ARP 2010 v2 7" xfId="1088" xr:uid="{FF6FD981-4B3F-4B2A-BDAC-558A3F762DF2}"/>
    <cellStyle name="_INAR_ENERO_04012008 (modif)_Mix y ARP 2010 v2 8" xfId="1089" xr:uid="{EEC291D0-4F92-45F5-A342-F1433D64C1A0}"/>
    <cellStyle name="_INAR_ENERO_04012008 (modif)_Mix y ARP 2010 v2 9" xfId="1090" xr:uid="{57008299-2D8C-40E6-BCBB-266E3BEECBDD}"/>
    <cellStyle name="_INAR_ENERO_07012008" xfId="1091" xr:uid="{CD8392E2-3CD1-4587-8D1F-A247C8FF92C1}"/>
    <cellStyle name="_INAR_ENERO_07012008_FCST Subsidy Handset 2010 (Abril-Dic) 20100401v5 ejercicio A final envío con cierre (3) v 4" xfId="1092" xr:uid="{F6E7323E-B9A5-44BF-8F44-9F30161F9AA3}"/>
    <cellStyle name="_INAR_ENERO_07012008_FCST Subsidy Handset 2010 (Abril-Dic) 20100401v5 ejercicio A final envío con cierre (3) v 4 10" xfId="1093" xr:uid="{348689D1-1A9C-4E99-A6DB-D133E490451C}"/>
    <cellStyle name="_INAR_ENERO_07012008_FCST Subsidy Handset 2010 (Abril-Dic) 20100401v5 ejercicio A final envío con cierre (3) v 4 11" xfId="1094" xr:uid="{7E3BD079-DF00-44FA-87FA-B535C26215D7}"/>
    <cellStyle name="_INAR_ENERO_07012008_FCST Subsidy Handset 2010 (Abril-Dic) 20100401v5 ejercicio A final envío con cierre (3) v 4 12" xfId="1095" xr:uid="{88338452-6D0C-469C-BE8A-E32D218BC2EE}"/>
    <cellStyle name="_INAR_ENERO_07012008_FCST Subsidy Handset 2010 (Abril-Dic) 20100401v5 ejercicio A final envío con cierre (3) v 4 13" xfId="1096" xr:uid="{922E0102-FACE-4E3A-9CF9-75BF64CC3BD2}"/>
    <cellStyle name="_INAR_ENERO_07012008_FCST Subsidy Handset 2010 (Abril-Dic) 20100401v5 ejercicio A final envío con cierre (3) v 4 14" xfId="1097" xr:uid="{7BEE1B10-409E-4998-B425-B75E0FA11EB7}"/>
    <cellStyle name="_INAR_ENERO_07012008_FCST Subsidy Handset 2010 (Abril-Dic) 20100401v5 ejercicio A final envío con cierre (3) v 4 2" xfId="1098" xr:uid="{DD56D7D9-600F-4451-93CF-390C2C3BB2FC}"/>
    <cellStyle name="_INAR_ENERO_07012008_FCST Subsidy Handset 2010 (Abril-Dic) 20100401v5 ejercicio A final envío con cierre (3) v 4 3" xfId="1099" xr:uid="{EF1C9581-09E8-491F-ABE5-7943AFA33DE5}"/>
    <cellStyle name="_INAR_ENERO_07012008_FCST Subsidy Handset 2010 (Abril-Dic) 20100401v5 ejercicio A final envío con cierre (3) v 4 4" xfId="1100" xr:uid="{D26CE5A9-4664-4BE4-970C-66215E9CCF51}"/>
    <cellStyle name="_INAR_ENERO_07012008_FCST Subsidy Handset 2010 (Abril-Dic) 20100401v5 ejercicio A final envío con cierre (3) v 4 5" xfId="1101" xr:uid="{54A609FE-AB5F-4B83-9CDD-CEF5E3EA8799}"/>
    <cellStyle name="_INAR_ENERO_07012008_FCST Subsidy Handset 2010 (Abril-Dic) 20100401v5 ejercicio A final envío con cierre (3) v 4 6" xfId="1102" xr:uid="{D10DED63-943C-48B0-9655-7DB72F9CF45B}"/>
    <cellStyle name="_INAR_ENERO_07012008_FCST Subsidy Handset 2010 (Abril-Dic) 20100401v5 ejercicio A final envío con cierre (3) v 4 7" xfId="1103" xr:uid="{847C9145-74DF-4416-8208-6CCF1BEB5B01}"/>
    <cellStyle name="_INAR_ENERO_07012008_FCST Subsidy Handset 2010 (Abril-Dic) 20100401v5 ejercicio A final envío con cierre (3) v 4 8" xfId="1104" xr:uid="{197EB873-700C-4BD3-88AB-386DD2FBB477}"/>
    <cellStyle name="_INAR_ENERO_07012008_FCST Subsidy Handset 2010 (Abril-Dic) 20100401v5 ejercicio A final envío con cierre (3) v 4 9" xfId="1105" xr:uid="{0FF030FA-86D1-40B8-A188-F685B855506E}"/>
    <cellStyle name="_INAR_ENERO_07012008_FCST Subsidy Handset 2010 (Mayo-Dic) 20100518 CT1000 $0 y CT500 $0-$699 v4 ER ejerc promo navidad (2) ej4" xfId="1106" xr:uid="{E34337A5-4ADB-431E-846F-0BF96753B769}"/>
    <cellStyle name="_INAR_ENERO_07012008_FCST Subsidy Handset 2010 (Mayo-Dic) 20100518 CT1000 $0 y CT500 $0-$699 v4 ER ejerc promo navidad (2) ej4 10" xfId="1107" xr:uid="{2993A938-5CF7-4DF0-988E-86734881A077}"/>
    <cellStyle name="_INAR_ENERO_07012008_FCST Subsidy Handset 2010 (Mayo-Dic) 20100518 CT1000 $0 y CT500 $0-$699 v4 ER ejerc promo navidad (2) ej4 11" xfId="1108" xr:uid="{39CEBFA7-4342-47DB-8441-BE6DAA2C6F28}"/>
    <cellStyle name="_INAR_ENERO_07012008_FCST Subsidy Handset 2010 (Mayo-Dic) 20100518 CT1000 $0 y CT500 $0-$699 v4 ER ejerc promo navidad (2) ej4 12" xfId="1109" xr:uid="{BC618869-8B52-424A-BFC7-46B40377014B}"/>
    <cellStyle name="_INAR_ENERO_07012008_FCST Subsidy Handset 2010 (Mayo-Dic) 20100518 CT1000 $0 y CT500 $0-$699 v4 ER ejerc promo navidad (2) ej4 13" xfId="1110" xr:uid="{8F3844B1-38DC-47B1-8897-F37B410BB795}"/>
    <cellStyle name="_INAR_ENERO_07012008_FCST Subsidy Handset 2010 (Mayo-Dic) 20100518 CT1000 $0 y CT500 $0-$699 v4 ER ejerc promo navidad (2) ej4 14" xfId="1111" xr:uid="{732E4D19-60F0-4171-A0B2-1640DEC7C1BD}"/>
    <cellStyle name="_INAR_ENERO_07012008_FCST Subsidy Handset 2010 (Mayo-Dic) 20100518 CT1000 $0 y CT500 $0-$699 v4 ER ejerc promo navidad (2) ej4 2" xfId="1112" xr:uid="{1A38C1BB-E2DF-442B-94C2-2767432D1E08}"/>
    <cellStyle name="_INAR_ENERO_07012008_FCST Subsidy Handset 2010 (Mayo-Dic) 20100518 CT1000 $0 y CT500 $0-$699 v4 ER ejerc promo navidad (2) ej4 3" xfId="1113" xr:uid="{18E125EF-413B-400A-B569-AE6898CCB789}"/>
    <cellStyle name="_INAR_ENERO_07012008_FCST Subsidy Handset 2010 (Mayo-Dic) 20100518 CT1000 $0 y CT500 $0-$699 v4 ER ejerc promo navidad (2) ej4 4" xfId="1114" xr:uid="{F36C5CBD-6474-4DD1-97E6-22C5A3DA1625}"/>
    <cellStyle name="_INAR_ENERO_07012008_FCST Subsidy Handset 2010 (Mayo-Dic) 20100518 CT1000 $0 y CT500 $0-$699 v4 ER ejerc promo navidad (2) ej4 5" xfId="1115" xr:uid="{4613F1B3-5047-4E70-82C2-F5DD963D6BE8}"/>
    <cellStyle name="_INAR_ENERO_07012008_FCST Subsidy Handset 2010 (Mayo-Dic) 20100518 CT1000 $0 y CT500 $0-$699 v4 ER ejerc promo navidad (2) ej4 6" xfId="1116" xr:uid="{B7BA036E-5A84-4901-975D-3700757E6BC0}"/>
    <cellStyle name="_INAR_ENERO_07012008_FCST Subsidy Handset 2010 (Mayo-Dic) 20100518 CT1000 $0 y CT500 $0-$699 v4 ER ejerc promo navidad (2) ej4 7" xfId="1117" xr:uid="{B3171778-7F52-4059-9FC4-43AA14C67AF7}"/>
    <cellStyle name="_INAR_ENERO_07012008_FCST Subsidy Handset 2010 (Mayo-Dic) 20100518 CT1000 $0 y CT500 $0-$699 v4 ER ejerc promo navidad (2) ej4 8" xfId="1118" xr:uid="{AEED9B58-EC1B-4AFA-B316-5B0222ED9858}"/>
    <cellStyle name="_INAR_ENERO_07012008_FCST Subsidy Handset 2010 (Mayo-Dic) 20100518 CT1000 $0 y CT500 $0-$699 v4 ER ejerc promo navidad (2) ej4 9" xfId="1119" xr:uid="{7F351810-E100-463B-9199-7DBC8E0CB825}"/>
    <cellStyle name="_INAR_ENERO_07012008_Mix y ARP 2010 v2" xfId="1120" xr:uid="{7A447023-2F2F-4244-A982-DE512B7C28A1}"/>
    <cellStyle name="_INAR_ENERO_07012008_Mix y ARP 2010 v2 10" xfId="1121" xr:uid="{1F7ADB59-2009-402C-966E-3999A308D23D}"/>
    <cellStyle name="_INAR_ENERO_07012008_Mix y ARP 2010 v2 11" xfId="1122" xr:uid="{E9CEB7EA-4670-40C1-9517-D9986A36603F}"/>
    <cellStyle name="_INAR_ENERO_07012008_Mix y ARP 2010 v2 12" xfId="1123" xr:uid="{00531FC9-E8A1-4E03-A20A-BFD49FC44032}"/>
    <cellStyle name="_INAR_ENERO_07012008_Mix y ARP 2010 v2 13" xfId="1124" xr:uid="{39E028C1-C63E-4B37-AF3C-487106E7B808}"/>
    <cellStyle name="_INAR_ENERO_07012008_Mix y ARP 2010 v2 14" xfId="1125" xr:uid="{FCE04B1C-481A-43FA-9FDE-3EB6AA7310FC}"/>
    <cellStyle name="_INAR_ENERO_07012008_Mix y ARP 2010 v2 2" xfId="1126" xr:uid="{C4F4625C-23F6-434A-A4CF-F5B893A5911E}"/>
    <cellStyle name="_INAR_ENERO_07012008_Mix y ARP 2010 v2 3" xfId="1127" xr:uid="{F0E68DBF-61C0-4106-8634-5F84B0CA825B}"/>
    <cellStyle name="_INAR_ENERO_07012008_Mix y ARP 2010 v2 4" xfId="1128" xr:uid="{8032B9D1-927C-4E56-992E-B9379C576853}"/>
    <cellStyle name="_INAR_ENERO_07012008_Mix y ARP 2010 v2 5" xfId="1129" xr:uid="{88A36292-9AA2-451C-87D3-64106B2DAC16}"/>
    <cellStyle name="_INAR_ENERO_07012008_Mix y ARP 2010 v2 6" xfId="1130" xr:uid="{C349001B-AC0A-4189-8968-A13FBD1C7A52}"/>
    <cellStyle name="_INAR_ENERO_07012008_Mix y ARP 2010 v2 7" xfId="1131" xr:uid="{BD48A352-0DFB-43E4-94B5-F13FDCEF2AF5}"/>
    <cellStyle name="_INAR_ENERO_07012008_Mix y ARP 2010 v2 8" xfId="1132" xr:uid="{E68B8B4E-58B3-48F0-98FB-8FDCF1C5B779}"/>
    <cellStyle name="_INAR_ENERO_07012008_Mix y ARP 2010 v2 9" xfId="1133" xr:uid="{171E4AC4-1743-4D54-B56C-1B5A3C03AD70}"/>
    <cellStyle name="_INAR_ENERO_08012008 (modif)" xfId="1134" xr:uid="{A3972E47-37C4-4EFA-9185-D2C27209540A}"/>
    <cellStyle name="_INAR_ENERO_08012008 (modif)_FCST Subsidy Handset 2010 (Abril-Dic) 20100401v5 ejercicio A final envío con cierre (3) v 4" xfId="1135" xr:uid="{0A8C8E2A-712A-4D3B-B1C2-A4A60A5AF3D6}"/>
    <cellStyle name="_INAR_ENERO_08012008 (modif)_FCST Subsidy Handset 2010 (Abril-Dic) 20100401v5 ejercicio A final envío con cierre (3) v 4 10" xfId="1136" xr:uid="{3CE0932F-4E7C-4549-B95E-730D83EECD46}"/>
    <cellStyle name="_INAR_ENERO_08012008 (modif)_FCST Subsidy Handset 2010 (Abril-Dic) 20100401v5 ejercicio A final envío con cierre (3) v 4 11" xfId="1137" xr:uid="{EC493717-5BFD-4549-8565-BDB7D799A0F0}"/>
    <cellStyle name="_INAR_ENERO_08012008 (modif)_FCST Subsidy Handset 2010 (Abril-Dic) 20100401v5 ejercicio A final envío con cierre (3) v 4 12" xfId="1138" xr:uid="{A392B85F-1E6F-4A40-B549-FD04F4508F6B}"/>
    <cellStyle name="_INAR_ENERO_08012008 (modif)_FCST Subsidy Handset 2010 (Abril-Dic) 20100401v5 ejercicio A final envío con cierre (3) v 4 13" xfId="1139" xr:uid="{F053F479-4FFF-4092-B31B-A58326089F30}"/>
    <cellStyle name="_INAR_ENERO_08012008 (modif)_FCST Subsidy Handset 2010 (Abril-Dic) 20100401v5 ejercicio A final envío con cierre (3) v 4 14" xfId="1140" xr:uid="{938AACCA-35F9-406C-82C1-66380D702C23}"/>
    <cellStyle name="_INAR_ENERO_08012008 (modif)_FCST Subsidy Handset 2010 (Abril-Dic) 20100401v5 ejercicio A final envío con cierre (3) v 4 2" xfId="1141" xr:uid="{E871E363-50A3-4443-9298-CD8E0E4E4887}"/>
    <cellStyle name="_INAR_ENERO_08012008 (modif)_FCST Subsidy Handset 2010 (Abril-Dic) 20100401v5 ejercicio A final envío con cierre (3) v 4 3" xfId="1142" xr:uid="{2D8F59DB-8A59-4DD2-B7CE-AA7C8B2F2335}"/>
    <cellStyle name="_INAR_ENERO_08012008 (modif)_FCST Subsidy Handset 2010 (Abril-Dic) 20100401v5 ejercicio A final envío con cierre (3) v 4 4" xfId="1143" xr:uid="{50FF7A50-C679-4EF2-8E71-19F751DA2E3E}"/>
    <cellStyle name="_INAR_ENERO_08012008 (modif)_FCST Subsidy Handset 2010 (Abril-Dic) 20100401v5 ejercicio A final envío con cierre (3) v 4 5" xfId="1144" xr:uid="{384A0F2B-AC65-4A75-A558-860FBB07F686}"/>
    <cellStyle name="_INAR_ENERO_08012008 (modif)_FCST Subsidy Handset 2010 (Abril-Dic) 20100401v5 ejercicio A final envío con cierre (3) v 4 6" xfId="1145" xr:uid="{1C2B1D58-D470-4DA2-BB98-C27A4A70BEC9}"/>
    <cellStyle name="_INAR_ENERO_08012008 (modif)_FCST Subsidy Handset 2010 (Abril-Dic) 20100401v5 ejercicio A final envío con cierre (3) v 4 7" xfId="1146" xr:uid="{ED81A59A-9E49-43A5-8374-BEC559C1AFC1}"/>
    <cellStyle name="_INAR_ENERO_08012008 (modif)_FCST Subsidy Handset 2010 (Abril-Dic) 20100401v5 ejercicio A final envío con cierre (3) v 4 8" xfId="1147" xr:uid="{464E7D21-FB73-4104-917D-E5B76647F96B}"/>
    <cellStyle name="_INAR_ENERO_08012008 (modif)_FCST Subsidy Handset 2010 (Abril-Dic) 20100401v5 ejercicio A final envío con cierre (3) v 4 9" xfId="1148" xr:uid="{DC634BE5-7D86-4D90-932B-B70A09A7E652}"/>
    <cellStyle name="_INAR_ENERO_08012008 (modif)_FCST Subsidy Handset 2010 (Mayo-Dic) 20100518 CT1000 $0 y CT500 $0-$699 v4 ER ejerc promo navidad (2) ej4" xfId="1149" xr:uid="{E7E5FBC5-89B4-4810-BADC-3C3EA9012325}"/>
    <cellStyle name="_INAR_ENERO_08012008 (modif)_FCST Subsidy Handset 2010 (Mayo-Dic) 20100518 CT1000 $0 y CT500 $0-$699 v4 ER ejerc promo navidad (2) ej4 10" xfId="1150" xr:uid="{EC8E55F9-06D7-4CF9-BB7D-774D85B25CA5}"/>
    <cellStyle name="_INAR_ENERO_08012008 (modif)_FCST Subsidy Handset 2010 (Mayo-Dic) 20100518 CT1000 $0 y CT500 $0-$699 v4 ER ejerc promo navidad (2) ej4 11" xfId="1151" xr:uid="{4D05147B-AAEF-4B3E-A20A-23EE73314146}"/>
    <cellStyle name="_INAR_ENERO_08012008 (modif)_FCST Subsidy Handset 2010 (Mayo-Dic) 20100518 CT1000 $0 y CT500 $0-$699 v4 ER ejerc promo navidad (2) ej4 12" xfId="1152" xr:uid="{9BBC1088-82EF-4532-9C97-36140BC021F2}"/>
    <cellStyle name="_INAR_ENERO_08012008 (modif)_FCST Subsidy Handset 2010 (Mayo-Dic) 20100518 CT1000 $0 y CT500 $0-$699 v4 ER ejerc promo navidad (2) ej4 13" xfId="1153" xr:uid="{4998B369-070A-4FA5-BAB3-F4433009CB13}"/>
    <cellStyle name="_INAR_ENERO_08012008 (modif)_FCST Subsidy Handset 2010 (Mayo-Dic) 20100518 CT1000 $0 y CT500 $0-$699 v4 ER ejerc promo navidad (2) ej4 14" xfId="1154" xr:uid="{DCE27494-55FE-4714-8730-A9E7FFDCC114}"/>
    <cellStyle name="_INAR_ENERO_08012008 (modif)_FCST Subsidy Handset 2010 (Mayo-Dic) 20100518 CT1000 $0 y CT500 $0-$699 v4 ER ejerc promo navidad (2) ej4 2" xfId="1155" xr:uid="{1D8EE341-C8F4-4359-B263-8A06522FC376}"/>
    <cellStyle name="_INAR_ENERO_08012008 (modif)_FCST Subsidy Handset 2010 (Mayo-Dic) 20100518 CT1000 $0 y CT500 $0-$699 v4 ER ejerc promo navidad (2) ej4 3" xfId="1156" xr:uid="{6233A320-7D35-46E4-9F41-7E2B241FCF66}"/>
    <cellStyle name="_INAR_ENERO_08012008 (modif)_FCST Subsidy Handset 2010 (Mayo-Dic) 20100518 CT1000 $0 y CT500 $0-$699 v4 ER ejerc promo navidad (2) ej4 4" xfId="1157" xr:uid="{524E2FF3-8A09-4732-8839-3FBBDCE1C723}"/>
    <cellStyle name="_INAR_ENERO_08012008 (modif)_FCST Subsidy Handset 2010 (Mayo-Dic) 20100518 CT1000 $0 y CT500 $0-$699 v4 ER ejerc promo navidad (2) ej4 5" xfId="1158" xr:uid="{16846194-0E60-4BC8-B486-7131F837D801}"/>
    <cellStyle name="_INAR_ENERO_08012008 (modif)_FCST Subsidy Handset 2010 (Mayo-Dic) 20100518 CT1000 $0 y CT500 $0-$699 v4 ER ejerc promo navidad (2) ej4 6" xfId="1159" xr:uid="{BB9E6A5D-998B-488E-A204-3650907555B5}"/>
    <cellStyle name="_INAR_ENERO_08012008 (modif)_FCST Subsidy Handset 2010 (Mayo-Dic) 20100518 CT1000 $0 y CT500 $0-$699 v4 ER ejerc promo navidad (2) ej4 7" xfId="1160" xr:uid="{8F50DE3D-B870-4324-BB85-A880E2F2A17A}"/>
    <cellStyle name="_INAR_ENERO_08012008 (modif)_FCST Subsidy Handset 2010 (Mayo-Dic) 20100518 CT1000 $0 y CT500 $0-$699 v4 ER ejerc promo navidad (2) ej4 8" xfId="1161" xr:uid="{53C42438-C639-49E4-BA07-8974683F868E}"/>
    <cellStyle name="_INAR_ENERO_08012008 (modif)_FCST Subsidy Handset 2010 (Mayo-Dic) 20100518 CT1000 $0 y CT500 $0-$699 v4 ER ejerc promo navidad (2) ej4 9" xfId="1162" xr:uid="{03A0910E-F016-4F72-96EE-A616DDB94C16}"/>
    <cellStyle name="_INAR_ENERO_08012008 (modif)_Mix y ARP 2010 v2" xfId="1163" xr:uid="{6E03D2BA-92B1-42E1-B2E9-306BFB08DDD7}"/>
    <cellStyle name="_INAR_ENERO_08012008 (modif)_Mix y ARP 2010 v2 10" xfId="1164" xr:uid="{2689C61B-1293-42CC-83D4-F1D3918F9BA2}"/>
    <cellStyle name="_INAR_ENERO_08012008 (modif)_Mix y ARP 2010 v2 11" xfId="1165" xr:uid="{16232D5A-2229-4530-B91B-72E8D175AFE8}"/>
    <cellStyle name="_INAR_ENERO_08012008 (modif)_Mix y ARP 2010 v2 12" xfId="1166" xr:uid="{18649CCA-2AB9-487A-BAB2-77066BC8416F}"/>
    <cellStyle name="_INAR_ENERO_08012008 (modif)_Mix y ARP 2010 v2 13" xfId="1167" xr:uid="{48C46A03-D5AC-43B0-9F9C-B7CC2BD9FBF2}"/>
    <cellStyle name="_INAR_ENERO_08012008 (modif)_Mix y ARP 2010 v2 14" xfId="1168" xr:uid="{344012D0-4ACB-4902-B5E3-60BF8CDCE6BE}"/>
    <cellStyle name="_INAR_ENERO_08012008 (modif)_Mix y ARP 2010 v2 2" xfId="1169" xr:uid="{F5569C7D-F567-4EDC-AA53-654C5B2A3F8E}"/>
    <cellStyle name="_INAR_ENERO_08012008 (modif)_Mix y ARP 2010 v2 3" xfId="1170" xr:uid="{82C7CBAE-D840-40A6-8CEC-FC7926264BF0}"/>
    <cellStyle name="_INAR_ENERO_08012008 (modif)_Mix y ARP 2010 v2 4" xfId="1171" xr:uid="{A0683FB5-AAAD-4C56-B111-A4C639FA3837}"/>
    <cellStyle name="_INAR_ENERO_08012008 (modif)_Mix y ARP 2010 v2 5" xfId="1172" xr:uid="{3BE7458F-F599-44A6-9E68-54F31A5B5F98}"/>
    <cellStyle name="_INAR_ENERO_08012008 (modif)_Mix y ARP 2010 v2 6" xfId="1173" xr:uid="{E541245F-9255-4180-AD7E-AB0F93C68F9B}"/>
    <cellStyle name="_INAR_ENERO_08012008 (modif)_Mix y ARP 2010 v2 7" xfId="1174" xr:uid="{64DC0F57-3220-43F9-95B9-16FAEB59FF56}"/>
    <cellStyle name="_INAR_ENERO_08012008 (modif)_Mix y ARP 2010 v2 8" xfId="1175" xr:uid="{E9159754-5DD2-4F73-84BB-34A486B5B926}"/>
    <cellStyle name="_INAR_ENERO_08012008 (modif)_Mix y ARP 2010 v2 9" xfId="1176" xr:uid="{A262E01D-AB49-45D7-B413-F2048F29F5A9}"/>
    <cellStyle name="_INAR_ENERO_09012008 (modif)" xfId="1177" xr:uid="{26D2CC69-F790-4842-8664-AEC2BD5678BA}"/>
    <cellStyle name="_INAR_ENERO_09012008 (modif)_FCST Subsidy Handset 2010 (Abril-Dic) 20100401v5 ejercicio A final envío con cierre (3) v 4" xfId="1178" xr:uid="{ED63C70D-820D-448B-B787-843F9EB3784A}"/>
    <cellStyle name="_INAR_ENERO_09012008 (modif)_FCST Subsidy Handset 2010 (Abril-Dic) 20100401v5 ejercicio A final envío con cierre (3) v 4 10" xfId="1179" xr:uid="{2268612F-FE65-4BFB-B1F4-FEB838FF6A2B}"/>
    <cellStyle name="_INAR_ENERO_09012008 (modif)_FCST Subsidy Handset 2010 (Abril-Dic) 20100401v5 ejercicio A final envío con cierre (3) v 4 11" xfId="1180" xr:uid="{DEF6289F-EF42-4DAC-B389-278003D2FB43}"/>
    <cellStyle name="_INAR_ENERO_09012008 (modif)_FCST Subsidy Handset 2010 (Abril-Dic) 20100401v5 ejercicio A final envío con cierre (3) v 4 12" xfId="1181" xr:uid="{AD9F6C3D-27D9-4A96-B12F-012AC0FDE86F}"/>
    <cellStyle name="_INAR_ENERO_09012008 (modif)_FCST Subsidy Handset 2010 (Abril-Dic) 20100401v5 ejercicio A final envío con cierre (3) v 4 13" xfId="1182" xr:uid="{6BEA85B5-EC0D-4058-88B2-C7771A385ED8}"/>
    <cellStyle name="_INAR_ENERO_09012008 (modif)_FCST Subsidy Handset 2010 (Abril-Dic) 20100401v5 ejercicio A final envío con cierre (3) v 4 14" xfId="1183" xr:uid="{252AD112-3F76-41BC-B3A1-4B9482D9D914}"/>
    <cellStyle name="_INAR_ENERO_09012008 (modif)_FCST Subsidy Handset 2010 (Abril-Dic) 20100401v5 ejercicio A final envío con cierre (3) v 4 2" xfId="1184" xr:uid="{3AF0261D-4A70-4CDF-B97D-F90FE35AF8CD}"/>
    <cellStyle name="_INAR_ENERO_09012008 (modif)_FCST Subsidy Handset 2010 (Abril-Dic) 20100401v5 ejercicio A final envío con cierre (3) v 4 3" xfId="1185" xr:uid="{3BD206A8-7CD8-4294-963A-E50CB8795EEC}"/>
    <cellStyle name="_INAR_ENERO_09012008 (modif)_FCST Subsidy Handset 2010 (Abril-Dic) 20100401v5 ejercicio A final envío con cierre (3) v 4 4" xfId="1186" xr:uid="{6D9B96E2-68B8-4FFF-B827-4BF80AAC7C6B}"/>
    <cellStyle name="_INAR_ENERO_09012008 (modif)_FCST Subsidy Handset 2010 (Abril-Dic) 20100401v5 ejercicio A final envío con cierre (3) v 4 5" xfId="1187" xr:uid="{301A21B0-C8E4-4983-8B93-8D04301D3C6D}"/>
    <cellStyle name="_INAR_ENERO_09012008 (modif)_FCST Subsidy Handset 2010 (Abril-Dic) 20100401v5 ejercicio A final envío con cierre (3) v 4 6" xfId="1188" xr:uid="{7E0B0C48-76E5-406B-B7E2-138F8C4B30FC}"/>
    <cellStyle name="_INAR_ENERO_09012008 (modif)_FCST Subsidy Handset 2010 (Abril-Dic) 20100401v5 ejercicio A final envío con cierre (3) v 4 7" xfId="1189" xr:uid="{9B844E62-519D-477B-AF44-2F3341F76A3C}"/>
    <cellStyle name="_INAR_ENERO_09012008 (modif)_FCST Subsidy Handset 2010 (Abril-Dic) 20100401v5 ejercicio A final envío con cierre (3) v 4 8" xfId="1190" xr:uid="{8EF4A1D8-EBDB-4BA6-8CAA-DBB12FCCE1D1}"/>
    <cellStyle name="_INAR_ENERO_09012008 (modif)_FCST Subsidy Handset 2010 (Abril-Dic) 20100401v5 ejercicio A final envío con cierre (3) v 4 9" xfId="1191" xr:uid="{2A45A61D-3792-4AF7-9629-E4D40F70B350}"/>
    <cellStyle name="_INAR_ENERO_09012008 (modif)_FCST Subsidy Handset 2010 (Mayo-Dic) 20100518 CT1000 $0 y CT500 $0-$699 v4 ER ejerc promo navidad (2) ej4" xfId="1192" xr:uid="{BCB38986-195C-446A-86E8-8C157E0D3ADC}"/>
    <cellStyle name="_INAR_ENERO_09012008 (modif)_FCST Subsidy Handset 2010 (Mayo-Dic) 20100518 CT1000 $0 y CT500 $0-$699 v4 ER ejerc promo navidad (2) ej4 10" xfId="1193" xr:uid="{6C68C2BD-6794-4B6D-BC50-E2F5110B0B5A}"/>
    <cellStyle name="_INAR_ENERO_09012008 (modif)_FCST Subsidy Handset 2010 (Mayo-Dic) 20100518 CT1000 $0 y CT500 $0-$699 v4 ER ejerc promo navidad (2) ej4 11" xfId="1194" xr:uid="{DA2B6CFA-4104-438E-8E6F-8D64FAFFDCAA}"/>
    <cellStyle name="_INAR_ENERO_09012008 (modif)_FCST Subsidy Handset 2010 (Mayo-Dic) 20100518 CT1000 $0 y CT500 $0-$699 v4 ER ejerc promo navidad (2) ej4 12" xfId="1195" xr:uid="{9D42B886-057D-4CC2-BE11-A36A428803F5}"/>
    <cellStyle name="_INAR_ENERO_09012008 (modif)_FCST Subsidy Handset 2010 (Mayo-Dic) 20100518 CT1000 $0 y CT500 $0-$699 v4 ER ejerc promo navidad (2) ej4 13" xfId="1196" xr:uid="{DCFBCBD9-6EE0-4461-90C0-7B736CF50B3B}"/>
    <cellStyle name="_INAR_ENERO_09012008 (modif)_FCST Subsidy Handset 2010 (Mayo-Dic) 20100518 CT1000 $0 y CT500 $0-$699 v4 ER ejerc promo navidad (2) ej4 14" xfId="1197" xr:uid="{1A8787D6-5DB1-4564-9DB4-29276F877F3E}"/>
    <cellStyle name="_INAR_ENERO_09012008 (modif)_FCST Subsidy Handset 2010 (Mayo-Dic) 20100518 CT1000 $0 y CT500 $0-$699 v4 ER ejerc promo navidad (2) ej4 2" xfId="1198" xr:uid="{49E89A0D-A6B9-440D-89BD-D82B5A25FD6A}"/>
    <cellStyle name="_INAR_ENERO_09012008 (modif)_FCST Subsidy Handset 2010 (Mayo-Dic) 20100518 CT1000 $0 y CT500 $0-$699 v4 ER ejerc promo navidad (2) ej4 3" xfId="1199" xr:uid="{61CB1385-AF19-4024-B7F0-F5D3CA4DB38A}"/>
    <cellStyle name="_INAR_ENERO_09012008 (modif)_FCST Subsidy Handset 2010 (Mayo-Dic) 20100518 CT1000 $0 y CT500 $0-$699 v4 ER ejerc promo navidad (2) ej4 4" xfId="1200" xr:uid="{77E8274B-04D6-4F43-A885-DEE622DB2C72}"/>
    <cellStyle name="_INAR_ENERO_09012008 (modif)_FCST Subsidy Handset 2010 (Mayo-Dic) 20100518 CT1000 $0 y CT500 $0-$699 v4 ER ejerc promo navidad (2) ej4 5" xfId="1201" xr:uid="{26FE029A-4D12-4B1F-8B82-5A4DD1BC3530}"/>
    <cellStyle name="_INAR_ENERO_09012008 (modif)_FCST Subsidy Handset 2010 (Mayo-Dic) 20100518 CT1000 $0 y CT500 $0-$699 v4 ER ejerc promo navidad (2) ej4 6" xfId="1202" xr:uid="{27D29FD1-E4C0-4513-9647-F91F4A3E6211}"/>
    <cellStyle name="_INAR_ENERO_09012008 (modif)_FCST Subsidy Handset 2010 (Mayo-Dic) 20100518 CT1000 $0 y CT500 $0-$699 v4 ER ejerc promo navidad (2) ej4 7" xfId="1203" xr:uid="{9B8EBC18-90E2-45B1-B4FA-B00C3A104611}"/>
    <cellStyle name="_INAR_ENERO_09012008 (modif)_FCST Subsidy Handset 2010 (Mayo-Dic) 20100518 CT1000 $0 y CT500 $0-$699 v4 ER ejerc promo navidad (2) ej4 8" xfId="1204" xr:uid="{D7E56125-5747-4FD3-BDDA-EF725E2413A9}"/>
    <cellStyle name="_INAR_ENERO_09012008 (modif)_FCST Subsidy Handset 2010 (Mayo-Dic) 20100518 CT1000 $0 y CT500 $0-$699 v4 ER ejerc promo navidad (2) ej4 9" xfId="1205" xr:uid="{6BF850E4-7FA3-48CF-865B-ED0E4614E472}"/>
    <cellStyle name="_INAR_ENERO_09012008 (modif)_Mix y ARP 2010 v2" xfId="1206" xr:uid="{86F94F41-A1CE-485D-80FD-B2E277127305}"/>
    <cellStyle name="_INAR_ENERO_09012008 (modif)_Mix y ARP 2010 v2 10" xfId="1207" xr:uid="{D532780B-AE5D-4B53-A2A7-639312BB38D2}"/>
    <cellStyle name="_INAR_ENERO_09012008 (modif)_Mix y ARP 2010 v2 11" xfId="1208" xr:uid="{8684B580-EDEC-4036-9A7B-D6016342E98F}"/>
    <cellStyle name="_INAR_ENERO_09012008 (modif)_Mix y ARP 2010 v2 12" xfId="1209" xr:uid="{138B49D8-B2B9-4F93-AD5D-F373F8D84498}"/>
    <cellStyle name="_INAR_ENERO_09012008 (modif)_Mix y ARP 2010 v2 13" xfId="1210" xr:uid="{A212378B-5D2D-4698-B927-02CE0FA8AA09}"/>
    <cellStyle name="_INAR_ENERO_09012008 (modif)_Mix y ARP 2010 v2 14" xfId="1211" xr:uid="{B53876E6-F04A-4A1A-B1F8-974F0EF4D50D}"/>
    <cellStyle name="_INAR_ENERO_09012008 (modif)_Mix y ARP 2010 v2 2" xfId="1212" xr:uid="{FA78FE9C-5C54-4D37-A717-E9103FE88EB0}"/>
    <cellStyle name="_INAR_ENERO_09012008 (modif)_Mix y ARP 2010 v2 3" xfId="1213" xr:uid="{93C49CD4-CFE1-4528-BAAF-771676AC6E55}"/>
    <cellStyle name="_INAR_ENERO_09012008 (modif)_Mix y ARP 2010 v2 4" xfId="1214" xr:uid="{AE50CB0A-0F72-408B-B26A-E15219591D7A}"/>
    <cellStyle name="_INAR_ENERO_09012008 (modif)_Mix y ARP 2010 v2 5" xfId="1215" xr:uid="{181D1850-5592-44C7-B0F0-1ABF411C1375}"/>
    <cellStyle name="_INAR_ENERO_09012008 (modif)_Mix y ARP 2010 v2 6" xfId="1216" xr:uid="{0FD28C1E-BD33-4B86-B38F-BE30EFA106E1}"/>
    <cellStyle name="_INAR_ENERO_09012008 (modif)_Mix y ARP 2010 v2 7" xfId="1217" xr:uid="{72EF84FB-1613-401B-B438-09BF8B084026}"/>
    <cellStyle name="_INAR_ENERO_09012008 (modif)_Mix y ARP 2010 v2 8" xfId="1218" xr:uid="{419BB8EA-AF9E-4D20-985B-DE154826A97A}"/>
    <cellStyle name="_INAR_ENERO_09012008 (modif)_Mix y ARP 2010 v2 9" xfId="1219" xr:uid="{29AD7AE2-8F2C-45EC-8D31-832ACB9787E8}"/>
    <cellStyle name="_INAR_ENERO_10012008" xfId="1220" xr:uid="{A4374632-3A84-4C9E-BE49-6BA1E11C53F8}"/>
    <cellStyle name="_INAR_ENERO_10012008_FCST Subsidy Handset 2010 (Abril-Dic) 20100401v5 ejercicio A final envío con cierre (3) v 4" xfId="1221" xr:uid="{928592BD-9A6E-4602-A6E7-FBFB2B25998F}"/>
    <cellStyle name="_INAR_ENERO_10012008_FCST Subsidy Handset 2010 (Abril-Dic) 20100401v5 ejercicio A final envío con cierre (3) v 4 10" xfId="1222" xr:uid="{0D0C78EC-101E-458D-8D45-7E229D3D4949}"/>
    <cellStyle name="_INAR_ENERO_10012008_FCST Subsidy Handset 2010 (Abril-Dic) 20100401v5 ejercicio A final envío con cierre (3) v 4 11" xfId="1223" xr:uid="{2402AC9D-043F-4028-8C27-9E95584FADC7}"/>
    <cellStyle name="_INAR_ENERO_10012008_FCST Subsidy Handset 2010 (Abril-Dic) 20100401v5 ejercicio A final envío con cierre (3) v 4 12" xfId="1224" xr:uid="{58DDDE90-92B2-428E-8A41-DF2DC9B66630}"/>
    <cellStyle name="_INAR_ENERO_10012008_FCST Subsidy Handset 2010 (Abril-Dic) 20100401v5 ejercicio A final envío con cierre (3) v 4 13" xfId="1225" xr:uid="{EDE09620-F0C9-4E3A-B36C-B902641FD7F0}"/>
    <cellStyle name="_INAR_ENERO_10012008_FCST Subsidy Handset 2010 (Abril-Dic) 20100401v5 ejercicio A final envío con cierre (3) v 4 14" xfId="1226" xr:uid="{2820040C-055E-4883-9B49-1DE6E88CB5B0}"/>
    <cellStyle name="_INAR_ENERO_10012008_FCST Subsidy Handset 2010 (Abril-Dic) 20100401v5 ejercicio A final envío con cierre (3) v 4 2" xfId="1227" xr:uid="{39CDB143-3881-4EB9-A45E-255060C82A93}"/>
    <cellStyle name="_INAR_ENERO_10012008_FCST Subsidy Handset 2010 (Abril-Dic) 20100401v5 ejercicio A final envío con cierre (3) v 4 3" xfId="1228" xr:uid="{28F10ABF-B6A8-431A-B2F2-F059B69B70BB}"/>
    <cellStyle name="_INAR_ENERO_10012008_FCST Subsidy Handset 2010 (Abril-Dic) 20100401v5 ejercicio A final envío con cierre (3) v 4 4" xfId="1229" xr:uid="{CCA83DCE-6EBF-48BB-AD52-C9B6BE470300}"/>
    <cellStyle name="_INAR_ENERO_10012008_FCST Subsidy Handset 2010 (Abril-Dic) 20100401v5 ejercicio A final envío con cierre (3) v 4 5" xfId="1230" xr:uid="{C2878BBF-9F5C-4E67-A2D2-D982EE68BF06}"/>
    <cellStyle name="_INAR_ENERO_10012008_FCST Subsidy Handset 2010 (Abril-Dic) 20100401v5 ejercicio A final envío con cierre (3) v 4 6" xfId="1231" xr:uid="{2B675F23-04A4-45DC-85CF-5E358074C5A1}"/>
    <cellStyle name="_INAR_ENERO_10012008_FCST Subsidy Handset 2010 (Abril-Dic) 20100401v5 ejercicio A final envío con cierre (3) v 4 7" xfId="1232" xr:uid="{85545C3A-7D63-4392-A9F0-54CBF5506C32}"/>
    <cellStyle name="_INAR_ENERO_10012008_FCST Subsidy Handset 2010 (Abril-Dic) 20100401v5 ejercicio A final envío con cierre (3) v 4 8" xfId="1233" xr:uid="{8E305660-40C2-43F4-ABE0-CAC686AE9751}"/>
    <cellStyle name="_INAR_ENERO_10012008_FCST Subsidy Handset 2010 (Abril-Dic) 20100401v5 ejercicio A final envío con cierre (3) v 4 9" xfId="1234" xr:uid="{1C803479-9857-42F7-8AF4-7A6426F5AA70}"/>
    <cellStyle name="_INAR_ENERO_10012008_FCST Subsidy Handset 2010 (Mayo-Dic) 20100518 CT1000 $0 y CT500 $0-$699 v4 ER ejerc promo navidad (2) ej4" xfId="1235" xr:uid="{C21310F5-FE54-4D84-B861-68D533755347}"/>
    <cellStyle name="_INAR_ENERO_10012008_FCST Subsidy Handset 2010 (Mayo-Dic) 20100518 CT1000 $0 y CT500 $0-$699 v4 ER ejerc promo navidad (2) ej4 10" xfId="1236" xr:uid="{8691D7E2-C619-4AA8-86ED-4064E619FE64}"/>
    <cellStyle name="_INAR_ENERO_10012008_FCST Subsidy Handset 2010 (Mayo-Dic) 20100518 CT1000 $0 y CT500 $0-$699 v4 ER ejerc promo navidad (2) ej4 11" xfId="1237" xr:uid="{26162551-44DB-4CFA-8297-B22DA863554A}"/>
    <cellStyle name="_INAR_ENERO_10012008_FCST Subsidy Handset 2010 (Mayo-Dic) 20100518 CT1000 $0 y CT500 $0-$699 v4 ER ejerc promo navidad (2) ej4 12" xfId="1238" xr:uid="{20E0F1E0-25A5-4F77-B2A2-E12A4FBDC84E}"/>
    <cellStyle name="_INAR_ENERO_10012008_FCST Subsidy Handset 2010 (Mayo-Dic) 20100518 CT1000 $0 y CT500 $0-$699 v4 ER ejerc promo navidad (2) ej4 13" xfId="1239" xr:uid="{3BDFA4BE-163C-4239-A84D-421E4406F573}"/>
    <cellStyle name="_INAR_ENERO_10012008_FCST Subsidy Handset 2010 (Mayo-Dic) 20100518 CT1000 $0 y CT500 $0-$699 v4 ER ejerc promo navidad (2) ej4 14" xfId="1240" xr:uid="{673A9AD4-F0E9-4E75-A0B7-1577796734B6}"/>
    <cellStyle name="_INAR_ENERO_10012008_FCST Subsidy Handset 2010 (Mayo-Dic) 20100518 CT1000 $0 y CT500 $0-$699 v4 ER ejerc promo navidad (2) ej4 2" xfId="1241" xr:uid="{01BAB4B5-707B-408F-9098-8A1B0A6EBB4F}"/>
    <cellStyle name="_INAR_ENERO_10012008_FCST Subsidy Handset 2010 (Mayo-Dic) 20100518 CT1000 $0 y CT500 $0-$699 v4 ER ejerc promo navidad (2) ej4 3" xfId="1242" xr:uid="{A87DAD18-7B16-4B38-A00C-B6FE0E2E84FB}"/>
    <cellStyle name="_INAR_ENERO_10012008_FCST Subsidy Handset 2010 (Mayo-Dic) 20100518 CT1000 $0 y CT500 $0-$699 v4 ER ejerc promo navidad (2) ej4 4" xfId="1243" xr:uid="{81708E54-C19A-42D2-8003-88E22AA69CDD}"/>
    <cellStyle name="_INAR_ENERO_10012008_FCST Subsidy Handset 2010 (Mayo-Dic) 20100518 CT1000 $0 y CT500 $0-$699 v4 ER ejerc promo navidad (2) ej4 5" xfId="1244" xr:uid="{ED49D92E-0163-4506-870E-C83A2A34B44C}"/>
    <cellStyle name="_INAR_ENERO_10012008_FCST Subsidy Handset 2010 (Mayo-Dic) 20100518 CT1000 $0 y CT500 $0-$699 v4 ER ejerc promo navidad (2) ej4 6" xfId="1245" xr:uid="{1013FCBE-6FCB-42D2-A795-E296AC43D766}"/>
    <cellStyle name="_INAR_ENERO_10012008_FCST Subsidy Handset 2010 (Mayo-Dic) 20100518 CT1000 $0 y CT500 $0-$699 v4 ER ejerc promo navidad (2) ej4 7" xfId="1246" xr:uid="{29CF006A-7668-481D-B37E-39E293D104B4}"/>
    <cellStyle name="_INAR_ENERO_10012008_FCST Subsidy Handset 2010 (Mayo-Dic) 20100518 CT1000 $0 y CT500 $0-$699 v4 ER ejerc promo navidad (2) ej4 8" xfId="1247" xr:uid="{3A142D79-BFA0-44C8-814D-E6CEC2F97D93}"/>
    <cellStyle name="_INAR_ENERO_10012008_FCST Subsidy Handset 2010 (Mayo-Dic) 20100518 CT1000 $0 y CT500 $0-$699 v4 ER ejerc promo navidad (2) ej4 9" xfId="1248" xr:uid="{1A640468-7A9D-46CB-8EF0-0B4AE8740873}"/>
    <cellStyle name="_INAR_ENERO_10012008_Mix y ARP 2010 v2" xfId="1249" xr:uid="{56705BCF-9E54-4918-AFD1-7190345A893F}"/>
    <cellStyle name="_INAR_ENERO_10012008_Mix y ARP 2010 v2 10" xfId="1250" xr:uid="{5D07711A-750D-4501-BBC8-FB886CF14946}"/>
    <cellStyle name="_INAR_ENERO_10012008_Mix y ARP 2010 v2 11" xfId="1251" xr:uid="{61804DD4-0E40-46AC-8AC5-199EA797DEAF}"/>
    <cellStyle name="_INAR_ENERO_10012008_Mix y ARP 2010 v2 12" xfId="1252" xr:uid="{5C8670D3-9114-4DC3-9C8F-7E3DC9E7BFCC}"/>
    <cellStyle name="_INAR_ENERO_10012008_Mix y ARP 2010 v2 13" xfId="1253" xr:uid="{E9A79A5A-5697-477A-8922-E0CB96EEADE3}"/>
    <cellStyle name="_INAR_ENERO_10012008_Mix y ARP 2010 v2 14" xfId="1254" xr:uid="{F5D3800D-410D-4D2C-B0DE-2D2EBC9B3F09}"/>
    <cellStyle name="_INAR_ENERO_10012008_Mix y ARP 2010 v2 2" xfId="1255" xr:uid="{0481437C-BBC6-4EA5-87B1-E0F81BB8F0B6}"/>
    <cellStyle name="_INAR_ENERO_10012008_Mix y ARP 2010 v2 3" xfId="1256" xr:uid="{5A57325A-65CB-471F-B320-141009D3E324}"/>
    <cellStyle name="_INAR_ENERO_10012008_Mix y ARP 2010 v2 4" xfId="1257" xr:uid="{DDBBB1CE-7352-4DC2-93F7-A1C5D57EA531}"/>
    <cellStyle name="_INAR_ENERO_10012008_Mix y ARP 2010 v2 5" xfId="1258" xr:uid="{EA5E791E-34FE-42A3-862E-039601D8779B}"/>
    <cellStyle name="_INAR_ENERO_10012008_Mix y ARP 2010 v2 6" xfId="1259" xr:uid="{59BC7FDD-F334-4E84-825A-E8BE715A10C2}"/>
    <cellStyle name="_INAR_ENERO_10012008_Mix y ARP 2010 v2 7" xfId="1260" xr:uid="{7E473C2B-24CC-43B9-9E0A-2CC9D22A81EA}"/>
    <cellStyle name="_INAR_ENERO_10012008_Mix y ARP 2010 v2 8" xfId="1261" xr:uid="{4C5FC12E-E559-4136-B139-3570058B41F7}"/>
    <cellStyle name="_INAR_ENERO_10012008_Mix y ARP 2010 v2 9" xfId="1262" xr:uid="{6D18524D-D213-40BD-B875-F38F510D6263}"/>
    <cellStyle name="_INAR_ENERO_11012008 (modif)" xfId="1263" xr:uid="{8B63170B-590B-40A1-9166-A78AF29FD724}"/>
    <cellStyle name="_INAR_ENERO_11012008 (modif)_FCST Subsidy Handset 2010 (Abril-Dic) 20100401v5 ejercicio A final envío con cierre (3) v 4" xfId="1264" xr:uid="{3975F1EE-EC0F-4196-835D-0D93B4D4568B}"/>
    <cellStyle name="_INAR_ENERO_11012008 (modif)_FCST Subsidy Handset 2010 (Abril-Dic) 20100401v5 ejercicio A final envío con cierre (3) v 4 10" xfId="1265" xr:uid="{6AF1A599-FEAB-48B8-B0D8-C46FF18ED396}"/>
    <cellStyle name="_INAR_ENERO_11012008 (modif)_FCST Subsidy Handset 2010 (Abril-Dic) 20100401v5 ejercicio A final envío con cierre (3) v 4 11" xfId="1266" xr:uid="{B8F9F893-0237-4594-AE9E-347F4887B241}"/>
    <cellStyle name="_INAR_ENERO_11012008 (modif)_FCST Subsidy Handset 2010 (Abril-Dic) 20100401v5 ejercicio A final envío con cierre (3) v 4 12" xfId="1267" xr:uid="{C395D1DA-C16A-4E2B-A2A4-FC31852916BD}"/>
    <cellStyle name="_INAR_ENERO_11012008 (modif)_FCST Subsidy Handset 2010 (Abril-Dic) 20100401v5 ejercicio A final envío con cierre (3) v 4 13" xfId="1268" xr:uid="{1DA4F2CA-913B-4554-BFEF-E7C28827F4DF}"/>
    <cellStyle name="_INAR_ENERO_11012008 (modif)_FCST Subsidy Handset 2010 (Abril-Dic) 20100401v5 ejercicio A final envío con cierre (3) v 4 14" xfId="1269" xr:uid="{A4F1A46A-91BB-478B-9E52-0CF99B8CF55A}"/>
    <cellStyle name="_INAR_ENERO_11012008 (modif)_FCST Subsidy Handset 2010 (Abril-Dic) 20100401v5 ejercicio A final envío con cierre (3) v 4 2" xfId="1270" xr:uid="{A2EA187F-8FD3-4640-B864-68EBE035ECB1}"/>
    <cellStyle name="_INAR_ENERO_11012008 (modif)_FCST Subsidy Handset 2010 (Abril-Dic) 20100401v5 ejercicio A final envío con cierre (3) v 4 3" xfId="1271" xr:uid="{A4A523EE-11C4-4B89-AF12-DE447D4925B2}"/>
    <cellStyle name="_INAR_ENERO_11012008 (modif)_FCST Subsidy Handset 2010 (Abril-Dic) 20100401v5 ejercicio A final envío con cierre (3) v 4 4" xfId="1272" xr:uid="{83380487-0D20-4350-A121-0672928BFA6D}"/>
    <cellStyle name="_INAR_ENERO_11012008 (modif)_FCST Subsidy Handset 2010 (Abril-Dic) 20100401v5 ejercicio A final envío con cierre (3) v 4 5" xfId="1273" xr:uid="{F50DAE2B-7B36-41DB-B8BD-211BD542E5F3}"/>
    <cellStyle name="_INAR_ENERO_11012008 (modif)_FCST Subsidy Handset 2010 (Abril-Dic) 20100401v5 ejercicio A final envío con cierre (3) v 4 6" xfId="1274" xr:uid="{2F0A1DF3-59C5-4AD3-8D9C-0DB72684F45B}"/>
    <cellStyle name="_INAR_ENERO_11012008 (modif)_FCST Subsidy Handset 2010 (Abril-Dic) 20100401v5 ejercicio A final envío con cierre (3) v 4 7" xfId="1275" xr:uid="{3FF0AA0C-833F-4376-8F91-0AC3A7107E57}"/>
    <cellStyle name="_INAR_ENERO_11012008 (modif)_FCST Subsidy Handset 2010 (Abril-Dic) 20100401v5 ejercicio A final envío con cierre (3) v 4 8" xfId="1276" xr:uid="{FEDB1B06-9B29-45F5-AEA0-C8BB1BFE3D45}"/>
    <cellStyle name="_INAR_ENERO_11012008 (modif)_FCST Subsidy Handset 2010 (Abril-Dic) 20100401v5 ejercicio A final envío con cierre (3) v 4 9" xfId="1277" xr:uid="{A8095BFF-58DA-4DE3-A869-03A7EA20BD00}"/>
    <cellStyle name="_INAR_ENERO_11012008 (modif)_FCST Subsidy Handset 2010 (Mayo-Dic) 20100518 CT1000 $0 y CT500 $0-$699 v4 ER ejerc promo navidad (2) ej4" xfId="1278" xr:uid="{5D197A0E-AFF4-4DC7-B6AF-823EAC53E3F2}"/>
    <cellStyle name="_INAR_ENERO_11012008 (modif)_FCST Subsidy Handset 2010 (Mayo-Dic) 20100518 CT1000 $0 y CT500 $0-$699 v4 ER ejerc promo navidad (2) ej4 10" xfId="1279" xr:uid="{9CB2B67F-3881-41C2-BED5-9D3F258D2E96}"/>
    <cellStyle name="_INAR_ENERO_11012008 (modif)_FCST Subsidy Handset 2010 (Mayo-Dic) 20100518 CT1000 $0 y CT500 $0-$699 v4 ER ejerc promo navidad (2) ej4 11" xfId="1280" xr:uid="{28A66CDB-365F-4D18-8070-F8AEBE5581F9}"/>
    <cellStyle name="_INAR_ENERO_11012008 (modif)_FCST Subsidy Handset 2010 (Mayo-Dic) 20100518 CT1000 $0 y CT500 $0-$699 v4 ER ejerc promo navidad (2) ej4 12" xfId="1281" xr:uid="{377B75F9-2F1D-43D6-97EB-BC105E2C292C}"/>
    <cellStyle name="_INAR_ENERO_11012008 (modif)_FCST Subsidy Handset 2010 (Mayo-Dic) 20100518 CT1000 $0 y CT500 $0-$699 v4 ER ejerc promo navidad (2) ej4 13" xfId="1282" xr:uid="{E8F5446F-EA3A-4C6D-BD34-DDE27287D712}"/>
    <cellStyle name="_INAR_ENERO_11012008 (modif)_FCST Subsidy Handset 2010 (Mayo-Dic) 20100518 CT1000 $0 y CT500 $0-$699 v4 ER ejerc promo navidad (2) ej4 14" xfId="1283" xr:uid="{7CC8EE80-15FE-47E0-B775-B21BAC70D3EF}"/>
    <cellStyle name="_INAR_ENERO_11012008 (modif)_FCST Subsidy Handset 2010 (Mayo-Dic) 20100518 CT1000 $0 y CT500 $0-$699 v4 ER ejerc promo navidad (2) ej4 2" xfId="1284" xr:uid="{47E2C663-A665-4F64-92B1-8F94F3A81E9D}"/>
    <cellStyle name="_INAR_ENERO_11012008 (modif)_FCST Subsidy Handset 2010 (Mayo-Dic) 20100518 CT1000 $0 y CT500 $0-$699 v4 ER ejerc promo navidad (2) ej4 3" xfId="1285" xr:uid="{FE333FC5-2ED9-4614-9C1F-CF5527FAF167}"/>
    <cellStyle name="_INAR_ENERO_11012008 (modif)_FCST Subsidy Handset 2010 (Mayo-Dic) 20100518 CT1000 $0 y CT500 $0-$699 v4 ER ejerc promo navidad (2) ej4 4" xfId="1286" xr:uid="{2AD48FC9-26E9-444D-8DAE-2CB65FCC9D08}"/>
    <cellStyle name="_INAR_ENERO_11012008 (modif)_FCST Subsidy Handset 2010 (Mayo-Dic) 20100518 CT1000 $0 y CT500 $0-$699 v4 ER ejerc promo navidad (2) ej4 5" xfId="1287" xr:uid="{3E34D7E7-74F2-4D58-9881-0E2F31129111}"/>
    <cellStyle name="_INAR_ENERO_11012008 (modif)_FCST Subsidy Handset 2010 (Mayo-Dic) 20100518 CT1000 $0 y CT500 $0-$699 v4 ER ejerc promo navidad (2) ej4 6" xfId="1288" xr:uid="{522F8298-5295-44EB-B023-2509580D1B5A}"/>
    <cellStyle name="_INAR_ENERO_11012008 (modif)_FCST Subsidy Handset 2010 (Mayo-Dic) 20100518 CT1000 $0 y CT500 $0-$699 v4 ER ejerc promo navidad (2) ej4 7" xfId="1289" xr:uid="{2D19D363-9E66-4C1A-ACB8-DA920432F5DB}"/>
    <cellStyle name="_INAR_ENERO_11012008 (modif)_FCST Subsidy Handset 2010 (Mayo-Dic) 20100518 CT1000 $0 y CT500 $0-$699 v4 ER ejerc promo navidad (2) ej4 8" xfId="1290" xr:uid="{A048B9E3-C651-4397-85B6-BFE903980D68}"/>
    <cellStyle name="_INAR_ENERO_11012008 (modif)_FCST Subsidy Handset 2010 (Mayo-Dic) 20100518 CT1000 $0 y CT500 $0-$699 v4 ER ejerc promo navidad (2) ej4 9" xfId="1291" xr:uid="{4193922C-1AB6-4D2B-BA6B-75E0E05243C3}"/>
    <cellStyle name="_INAR_ENERO_11012008 (modif)_Mix y ARP 2010 v2" xfId="1292" xr:uid="{7CB999AF-1DBC-40C7-BF0B-D6979D48AFC4}"/>
    <cellStyle name="_INAR_ENERO_11012008 (modif)_Mix y ARP 2010 v2 10" xfId="1293" xr:uid="{04C188D0-8449-40D1-BF8B-E36A26865E7B}"/>
    <cellStyle name="_INAR_ENERO_11012008 (modif)_Mix y ARP 2010 v2 11" xfId="1294" xr:uid="{CC3B8C54-E87A-4146-8298-EE4065E3649D}"/>
    <cellStyle name="_INAR_ENERO_11012008 (modif)_Mix y ARP 2010 v2 12" xfId="1295" xr:uid="{1C5B366F-CD35-4C1D-A2C4-8C819A07E53D}"/>
    <cellStyle name="_INAR_ENERO_11012008 (modif)_Mix y ARP 2010 v2 13" xfId="1296" xr:uid="{459B753A-EC40-4881-A49C-E7546EC36237}"/>
    <cellStyle name="_INAR_ENERO_11012008 (modif)_Mix y ARP 2010 v2 14" xfId="1297" xr:uid="{1AA67AEC-BC96-49C2-AF22-FD705BA8F639}"/>
    <cellStyle name="_INAR_ENERO_11012008 (modif)_Mix y ARP 2010 v2 2" xfId="1298" xr:uid="{5916C9C2-52B0-4DA1-8E88-BD589E3BF3A4}"/>
    <cellStyle name="_INAR_ENERO_11012008 (modif)_Mix y ARP 2010 v2 3" xfId="1299" xr:uid="{34A6F074-B2C3-457D-8EE2-13A8F7374CCE}"/>
    <cellStyle name="_INAR_ENERO_11012008 (modif)_Mix y ARP 2010 v2 4" xfId="1300" xr:uid="{625F2A4F-107B-4685-910D-AFF5862A84B1}"/>
    <cellStyle name="_INAR_ENERO_11012008 (modif)_Mix y ARP 2010 v2 5" xfId="1301" xr:uid="{5E031DB4-AD16-4CE9-B5B0-0C8BA839BD2D}"/>
    <cellStyle name="_INAR_ENERO_11012008 (modif)_Mix y ARP 2010 v2 6" xfId="1302" xr:uid="{F1291510-07BC-4D42-B9D8-0B89DCAEE0EF}"/>
    <cellStyle name="_INAR_ENERO_11012008 (modif)_Mix y ARP 2010 v2 7" xfId="1303" xr:uid="{B99249A7-D5AD-4D90-97EA-EE1CBE6E4DA0}"/>
    <cellStyle name="_INAR_ENERO_11012008 (modif)_Mix y ARP 2010 v2 8" xfId="1304" xr:uid="{F97E75F7-AD4C-4EC5-8BA3-C56254735BF3}"/>
    <cellStyle name="_INAR_ENERO_11012008 (modif)_Mix y ARP 2010 v2 9" xfId="1305" xr:uid="{69ED03BD-771E-4F71-B250-46DC0F848B02}"/>
    <cellStyle name="_INAR_ENERO_14012008 (modif)" xfId="1306" xr:uid="{16C26387-3E43-4D05-A086-C0951A8055D3}"/>
    <cellStyle name="_INAR_ENERO_14012008 (modif)_FCST Subsidy Handset 2010 (Abril-Dic) 20100401v5 ejercicio A final envío con cierre (3) v 4" xfId="1307" xr:uid="{C0DB4155-CE8F-433E-BFF5-C06FAEEEF08C}"/>
    <cellStyle name="_INAR_ENERO_14012008 (modif)_FCST Subsidy Handset 2010 (Abril-Dic) 20100401v5 ejercicio A final envío con cierre (3) v 4 10" xfId="1308" xr:uid="{91902DDC-A6EB-4C24-8AF5-7BF651A8DBB7}"/>
    <cellStyle name="_INAR_ENERO_14012008 (modif)_FCST Subsidy Handset 2010 (Abril-Dic) 20100401v5 ejercicio A final envío con cierre (3) v 4 11" xfId="1309" xr:uid="{B74F1BD4-FDA6-4216-AD52-00708F7CACDC}"/>
    <cellStyle name="_INAR_ENERO_14012008 (modif)_FCST Subsidy Handset 2010 (Abril-Dic) 20100401v5 ejercicio A final envío con cierre (3) v 4 12" xfId="1310" xr:uid="{0603F5AF-04B0-4AE7-B61C-CB4DAEE6DD42}"/>
    <cellStyle name="_INAR_ENERO_14012008 (modif)_FCST Subsidy Handset 2010 (Abril-Dic) 20100401v5 ejercicio A final envío con cierre (3) v 4 13" xfId="1311" xr:uid="{6F111CFF-6B92-42AC-9E50-1AF0CC6F75D3}"/>
    <cellStyle name="_INAR_ENERO_14012008 (modif)_FCST Subsidy Handset 2010 (Abril-Dic) 20100401v5 ejercicio A final envío con cierre (3) v 4 14" xfId="1312" xr:uid="{272C9B1A-BB5B-4408-85B3-88CA3BB69CD9}"/>
    <cellStyle name="_INAR_ENERO_14012008 (modif)_FCST Subsidy Handset 2010 (Abril-Dic) 20100401v5 ejercicio A final envío con cierre (3) v 4 2" xfId="1313" xr:uid="{3A3AFEE6-561E-4204-BF64-7BA597BE9EFB}"/>
    <cellStyle name="_INAR_ENERO_14012008 (modif)_FCST Subsidy Handset 2010 (Abril-Dic) 20100401v5 ejercicio A final envío con cierre (3) v 4 3" xfId="1314" xr:uid="{8A1EA9C7-648B-4D14-8F54-300147BF7700}"/>
    <cellStyle name="_INAR_ENERO_14012008 (modif)_FCST Subsidy Handset 2010 (Abril-Dic) 20100401v5 ejercicio A final envío con cierre (3) v 4 4" xfId="1315" xr:uid="{4F765BE8-B5B9-41EF-B9D5-8246FBDE673A}"/>
    <cellStyle name="_INAR_ENERO_14012008 (modif)_FCST Subsidy Handset 2010 (Abril-Dic) 20100401v5 ejercicio A final envío con cierre (3) v 4 5" xfId="1316" xr:uid="{36F98E20-05D2-4D1F-8F57-9C25DA9E3F22}"/>
    <cellStyle name="_INAR_ENERO_14012008 (modif)_FCST Subsidy Handset 2010 (Abril-Dic) 20100401v5 ejercicio A final envío con cierre (3) v 4 6" xfId="1317" xr:uid="{671A29CB-6F9B-44A8-8FF9-3D694E12C6CB}"/>
    <cellStyle name="_INAR_ENERO_14012008 (modif)_FCST Subsidy Handset 2010 (Abril-Dic) 20100401v5 ejercicio A final envío con cierre (3) v 4 7" xfId="1318" xr:uid="{8CAD182E-3654-4015-8929-C9593C21FF64}"/>
    <cellStyle name="_INAR_ENERO_14012008 (modif)_FCST Subsidy Handset 2010 (Abril-Dic) 20100401v5 ejercicio A final envío con cierre (3) v 4 8" xfId="1319" xr:uid="{A5608D3A-31B9-40B0-9A54-D1A9F3F3A1B3}"/>
    <cellStyle name="_INAR_ENERO_14012008 (modif)_FCST Subsidy Handset 2010 (Abril-Dic) 20100401v5 ejercicio A final envío con cierre (3) v 4 9" xfId="1320" xr:uid="{A13D4984-08EB-4F0D-AC6E-63EEAAE7A9C8}"/>
    <cellStyle name="_INAR_ENERO_14012008 (modif)_FCST Subsidy Handset 2010 (Mayo-Dic) 20100518 CT1000 $0 y CT500 $0-$699 v4 ER ejerc promo navidad (2) ej4" xfId="1321" xr:uid="{84243F55-CEE4-429E-AF0E-47B3A79ECF37}"/>
    <cellStyle name="_INAR_ENERO_14012008 (modif)_FCST Subsidy Handset 2010 (Mayo-Dic) 20100518 CT1000 $0 y CT500 $0-$699 v4 ER ejerc promo navidad (2) ej4 10" xfId="1322" xr:uid="{78DB3894-A8CF-4671-8E66-168D2FEDC786}"/>
    <cellStyle name="_INAR_ENERO_14012008 (modif)_FCST Subsidy Handset 2010 (Mayo-Dic) 20100518 CT1000 $0 y CT500 $0-$699 v4 ER ejerc promo navidad (2) ej4 11" xfId="1323" xr:uid="{04865E5B-50BD-4926-9CD6-64F8A56AF96B}"/>
    <cellStyle name="_INAR_ENERO_14012008 (modif)_FCST Subsidy Handset 2010 (Mayo-Dic) 20100518 CT1000 $0 y CT500 $0-$699 v4 ER ejerc promo navidad (2) ej4 12" xfId="1324" xr:uid="{0797A874-07C8-41BD-A512-0F13155A9388}"/>
    <cellStyle name="_INAR_ENERO_14012008 (modif)_FCST Subsidy Handset 2010 (Mayo-Dic) 20100518 CT1000 $0 y CT500 $0-$699 v4 ER ejerc promo navidad (2) ej4 13" xfId="1325" xr:uid="{21B4C061-07A4-4152-8896-6F2B4B4B66F9}"/>
    <cellStyle name="_INAR_ENERO_14012008 (modif)_FCST Subsidy Handset 2010 (Mayo-Dic) 20100518 CT1000 $0 y CT500 $0-$699 v4 ER ejerc promo navidad (2) ej4 14" xfId="1326" xr:uid="{5AA3CADD-1F0C-4DD5-AF37-9A059A920DD2}"/>
    <cellStyle name="_INAR_ENERO_14012008 (modif)_FCST Subsidy Handset 2010 (Mayo-Dic) 20100518 CT1000 $0 y CT500 $0-$699 v4 ER ejerc promo navidad (2) ej4 2" xfId="1327" xr:uid="{BB4874D9-89FF-445C-8974-BA97D11921F5}"/>
    <cellStyle name="_INAR_ENERO_14012008 (modif)_FCST Subsidy Handset 2010 (Mayo-Dic) 20100518 CT1000 $0 y CT500 $0-$699 v4 ER ejerc promo navidad (2) ej4 3" xfId="1328" xr:uid="{5DB3EDCA-A01E-4DEC-8CCE-A2D6F07F24C3}"/>
    <cellStyle name="_INAR_ENERO_14012008 (modif)_FCST Subsidy Handset 2010 (Mayo-Dic) 20100518 CT1000 $0 y CT500 $0-$699 v4 ER ejerc promo navidad (2) ej4 4" xfId="1329" xr:uid="{AF875B2B-8EA9-4B34-950D-2CEBD7A62029}"/>
    <cellStyle name="_INAR_ENERO_14012008 (modif)_FCST Subsidy Handset 2010 (Mayo-Dic) 20100518 CT1000 $0 y CT500 $0-$699 v4 ER ejerc promo navidad (2) ej4 5" xfId="1330" xr:uid="{23624BDA-3845-4D35-BF05-6506A0EE0C88}"/>
    <cellStyle name="_INAR_ENERO_14012008 (modif)_FCST Subsidy Handset 2010 (Mayo-Dic) 20100518 CT1000 $0 y CT500 $0-$699 v4 ER ejerc promo navidad (2) ej4 6" xfId="1331" xr:uid="{5355E06A-9DB8-47F1-8F7E-FEA5D9430C5A}"/>
    <cellStyle name="_INAR_ENERO_14012008 (modif)_FCST Subsidy Handset 2010 (Mayo-Dic) 20100518 CT1000 $0 y CT500 $0-$699 v4 ER ejerc promo navidad (2) ej4 7" xfId="1332" xr:uid="{67757D75-9DE3-406F-A7C7-C629DAB5D549}"/>
    <cellStyle name="_INAR_ENERO_14012008 (modif)_FCST Subsidy Handset 2010 (Mayo-Dic) 20100518 CT1000 $0 y CT500 $0-$699 v4 ER ejerc promo navidad (2) ej4 8" xfId="1333" xr:uid="{18D7A0D0-3170-4DBE-BBD1-0525D2AACEEC}"/>
    <cellStyle name="_INAR_ENERO_14012008 (modif)_FCST Subsidy Handset 2010 (Mayo-Dic) 20100518 CT1000 $0 y CT500 $0-$699 v4 ER ejerc promo navidad (2) ej4 9" xfId="1334" xr:uid="{23467D4B-06C5-48D0-9AD3-A9986F9EF0E0}"/>
    <cellStyle name="_INAR_ENERO_14012008 (modif)_Mix y ARP 2010 v2" xfId="1335" xr:uid="{B049CB17-05B5-45B8-8D9A-364584D7B313}"/>
    <cellStyle name="_INAR_ENERO_14012008 (modif)_Mix y ARP 2010 v2 10" xfId="1336" xr:uid="{52118286-6B44-4A9F-A1B8-3CE02F9F830C}"/>
    <cellStyle name="_INAR_ENERO_14012008 (modif)_Mix y ARP 2010 v2 11" xfId="1337" xr:uid="{71BCAC80-3C41-41F3-AE17-56D4A521234B}"/>
    <cellStyle name="_INAR_ENERO_14012008 (modif)_Mix y ARP 2010 v2 12" xfId="1338" xr:uid="{75D07649-191E-4BD9-8D99-DDB47DF697DB}"/>
    <cellStyle name="_INAR_ENERO_14012008 (modif)_Mix y ARP 2010 v2 13" xfId="1339" xr:uid="{196C5D79-FFBE-4658-8340-44E65F946636}"/>
    <cellStyle name="_INAR_ENERO_14012008 (modif)_Mix y ARP 2010 v2 14" xfId="1340" xr:uid="{107D95D0-42D4-4BD6-AC85-A741502B2BE7}"/>
    <cellStyle name="_INAR_ENERO_14012008 (modif)_Mix y ARP 2010 v2 2" xfId="1341" xr:uid="{ED48A442-F178-4993-AF26-51B00E5D4257}"/>
    <cellStyle name="_INAR_ENERO_14012008 (modif)_Mix y ARP 2010 v2 3" xfId="1342" xr:uid="{11C6AF19-0A12-4547-92F4-7605F7F09764}"/>
    <cellStyle name="_INAR_ENERO_14012008 (modif)_Mix y ARP 2010 v2 4" xfId="1343" xr:uid="{270F5A9A-F7E4-47EF-BB3B-AAFED24D9034}"/>
    <cellStyle name="_INAR_ENERO_14012008 (modif)_Mix y ARP 2010 v2 5" xfId="1344" xr:uid="{5666801D-E91A-49C3-BA78-382AD099D84B}"/>
    <cellStyle name="_INAR_ENERO_14012008 (modif)_Mix y ARP 2010 v2 6" xfId="1345" xr:uid="{BA6C6C1C-C65C-49B7-80C7-25B7A8A1B345}"/>
    <cellStyle name="_INAR_ENERO_14012008 (modif)_Mix y ARP 2010 v2 7" xfId="1346" xr:uid="{1815CE28-25EE-402D-8201-21CBD8956861}"/>
    <cellStyle name="_INAR_ENERO_14012008 (modif)_Mix y ARP 2010 v2 8" xfId="1347" xr:uid="{E5C0DB37-4BC6-4402-B30A-108F4968F372}"/>
    <cellStyle name="_INAR_ENERO_14012008 (modif)_Mix y ARP 2010 v2 9" xfId="1348" xr:uid="{5F9FD493-E331-467E-A8D2-516C3A83A8C8}"/>
    <cellStyle name="_INAR_ENERO_17012008 (modif)" xfId="1349" xr:uid="{B00512E1-E612-4B05-B500-4C0BC255ED76}"/>
    <cellStyle name="_INAR_ENERO_17012008 (modif)_FCST Subsidy Handset 2010 (Abril-Dic) 20100401v5 ejercicio A final envío con cierre (3) v 4" xfId="1350" xr:uid="{53AAB085-244A-4365-AC0C-0C22B2AFCFD5}"/>
    <cellStyle name="_INAR_ENERO_17012008 (modif)_FCST Subsidy Handset 2010 (Abril-Dic) 20100401v5 ejercicio A final envío con cierre (3) v 4 10" xfId="1351" xr:uid="{7BB46988-0915-41C3-AC1C-265E615BD215}"/>
    <cellStyle name="_INAR_ENERO_17012008 (modif)_FCST Subsidy Handset 2010 (Abril-Dic) 20100401v5 ejercicio A final envío con cierre (3) v 4 11" xfId="1352" xr:uid="{8F6C7CFE-CDFD-4D43-A9C1-8BDEA0FF9702}"/>
    <cellStyle name="_INAR_ENERO_17012008 (modif)_FCST Subsidy Handset 2010 (Abril-Dic) 20100401v5 ejercicio A final envío con cierre (3) v 4 12" xfId="1353" xr:uid="{FB4A468C-3D29-43F7-9CD6-0B4324895557}"/>
    <cellStyle name="_INAR_ENERO_17012008 (modif)_FCST Subsidy Handset 2010 (Abril-Dic) 20100401v5 ejercicio A final envío con cierre (3) v 4 13" xfId="1354" xr:uid="{D1E1C892-18E9-4546-8670-EADB0D7FDB4A}"/>
    <cellStyle name="_INAR_ENERO_17012008 (modif)_FCST Subsidy Handset 2010 (Abril-Dic) 20100401v5 ejercicio A final envío con cierre (3) v 4 14" xfId="1355" xr:uid="{41C8A059-372E-46EC-ABB5-A1C7CAF2F3FB}"/>
    <cellStyle name="_INAR_ENERO_17012008 (modif)_FCST Subsidy Handset 2010 (Abril-Dic) 20100401v5 ejercicio A final envío con cierre (3) v 4 2" xfId="1356" xr:uid="{41578D79-9B94-408B-B442-C0F9240B54C8}"/>
    <cellStyle name="_INAR_ENERO_17012008 (modif)_FCST Subsidy Handset 2010 (Abril-Dic) 20100401v5 ejercicio A final envío con cierre (3) v 4 3" xfId="1357" xr:uid="{90A1466F-DAB9-4792-A733-9F7CF07E0E01}"/>
    <cellStyle name="_INAR_ENERO_17012008 (modif)_FCST Subsidy Handset 2010 (Abril-Dic) 20100401v5 ejercicio A final envío con cierre (3) v 4 4" xfId="1358" xr:uid="{EDD524BF-C2D7-4748-83DD-878BD694BD28}"/>
    <cellStyle name="_INAR_ENERO_17012008 (modif)_FCST Subsidy Handset 2010 (Abril-Dic) 20100401v5 ejercicio A final envío con cierre (3) v 4 5" xfId="1359" xr:uid="{D5F7BC44-766A-4D33-85C3-8A6BE26A134F}"/>
    <cellStyle name="_INAR_ENERO_17012008 (modif)_FCST Subsidy Handset 2010 (Abril-Dic) 20100401v5 ejercicio A final envío con cierre (3) v 4 6" xfId="1360" xr:uid="{F300210C-5D00-4683-847F-BEEA3D69CF35}"/>
    <cellStyle name="_INAR_ENERO_17012008 (modif)_FCST Subsidy Handset 2010 (Abril-Dic) 20100401v5 ejercicio A final envío con cierre (3) v 4 7" xfId="1361" xr:uid="{C7253C35-C2A2-45A5-AA23-24D88D035330}"/>
    <cellStyle name="_INAR_ENERO_17012008 (modif)_FCST Subsidy Handset 2010 (Abril-Dic) 20100401v5 ejercicio A final envío con cierre (3) v 4 8" xfId="1362" xr:uid="{5CB4A4BD-30DA-4C52-A8F4-A086E32CFBBB}"/>
    <cellStyle name="_INAR_ENERO_17012008 (modif)_FCST Subsidy Handset 2010 (Abril-Dic) 20100401v5 ejercicio A final envío con cierre (3) v 4 9" xfId="1363" xr:uid="{113FCC2E-6AE9-4FCA-8398-87045FD6D037}"/>
    <cellStyle name="_INAR_ENERO_17012008 (modif)_FCST Subsidy Handset 2010 (Mayo-Dic) 20100518 CT1000 $0 y CT500 $0-$699 v4 ER ejerc promo navidad (2) ej4" xfId="1364" xr:uid="{08D3663F-7577-49A2-A1C5-F9C7D08C3C88}"/>
    <cellStyle name="_INAR_ENERO_17012008 (modif)_FCST Subsidy Handset 2010 (Mayo-Dic) 20100518 CT1000 $0 y CT500 $0-$699 v4 ER ejerc promo navidad (2) ej4 10" xfId="1365" xr:uid="{B97795AA-E231-4E75-9E68-94BE63549362}"/>
    <cellStyle name="_INAR_ENERO_17012008 (modif)_FCST Subsidy Handset 2010 (Mayo-Dic) 20100518 CT1000 $0 y CT500 $0-$699 v4 ER ejerc promo navidad (2) ej4 11" xfId="1366" xr:uid="{15E4DCF2-5424-4741-9B9F-E5865FDB16F6}"/>
    <cellStyle name="_INAR_ENERO_17012008 (modif)_FCST Subsidy Handset 2010 (Mayo-Dic) 20100518 CT1000 $0 y CT500 $0-$699 v4 ER ejerc promo navidad (2) ej4 12" xfId="1367" xr:uid="{20154004-8C51-4256-8F3C-9BB14DB8AC3D}"/>
    <cellStyle name="_INAR_ENERO_17012008 (modif)_FCST Subsidy Handset 2010 (Mayo-Dic) 20100518 CT1000 $0 y CT500 $0-$699 v4 ER ejerc promo navidad (2) ej4 13" xfId="1368" xr:uid="{3E4B04E9-2C4A-4999-B8C9-B3B92EC71CA8}"/>
    <cellStyle name="_INAR_ENERO_17012008 (modif)_FCST Subsidy Handset 2010 (Mayo-Dic) 20100518 CT1000 $0 y CT500 $0-$699 v4 ER ejerc promo navidad (2) ej4 14" xfId="1369" xr:uid="{579A08ED-13A1-488F-835B-7025D65B4435}"/>
    <cellStyle name="_INAR_ENERO_17012008 (modif)_FCST Subsidy Handset 2010 (Mayo-Dic) 20100518 CT1000 $0 y CT500 $0-$699 v4 ER ejerc promo navidad (2) ej4 2" xfId="1370" xr:uid="{E7543D3C-3B40-4586-A4E1-15474F6C714C}"/>
    <cellStyle name="_INAR_ENERO_17012008 (modif)_FCST Subsidy Handset 2010 (Mayo-Dic) 20100518 CT1000 $0 y CT500 $0-$699 v4 ER ejerc promo navidad (2) ej4 3" xfId="1371" xr:uid="{44FCE9D0-EB09-4852-97DE-058F57765454}"/>
    <cellStyle name="_INAR_ENERO_17012008 (modif)_FCST Subsidy Handset 2010 (Mayo-Dic) 20100518 CT1000 $0 y CT500 $0-$699 v4 ER ejerc promo navidad (2) ej4 4" xfId="1372" xr:uid="{362D3C62-1235-4D1A-9701-7ACCDBE0275A}"/>
    <cellStyle name="_INAR_ENERO_17012008 (modif)_FCST Subsidy Handset 2010 (Mayo-Dic) 20100518 CT1000 $0 y CT500 $0-$699 v4 ER ejerc promo navidad (2) ej4 5" xfId="1373" xr:uid="{125EB02C-6FCF-42EE-8024-20F15C1D2EA8}"/>
    <cellStyle name="_INAR_ENERO_17012008 (modif)_FCST Subsidy Handset 2010 (Mayo-Dic) 20100518 CT1000 $0 y CT500 $0-$699 v4 ER ejerc promo navidad (2) ej4 6" xfId="1374" xr:uid="{C76DB35B-862A-4B13-83CB-75E417552289}"/>
    <cellStyle name="_INAR_ENERO_17012008 (modif)_FCST Subsidy Handset 2010 (Mayo-Dic) 20100518 CT1000 $0 y CT500 $0-$699 v4 ER ejerc promo navidad (2) ej4 7" xfId="1375" xr:uid="{3782E134-4E72-4261-90FC-AC3F2AF1621C}"/>
    <cellStyle name="_INAR_ENERO_17012008 (modif)_FCST Subsidy Handset 2010 (Mayo-Dic) 20100518 CT1000 $0 y CT500 $0-$699 v4 ER ejerc promo navidad (2) ej4 8" xfId="1376" xr:uid="{9E5DEA94-B54C-432B-9A8C-AA83A3EE4E91}"/>
    <cellStyle name="_INAR_ENERO_17012008 (modif)_FCST Subsidy Handset 2010 (Mayo-Dic) 20100518 CT1000 $0 y CT500 $0-$699 v4 ER ejerc promo navidad (2) ej4 9" xfId="1377" xr:uid="{516B3426-F9DD-4DC2-82C2-E24288BE9F94}"/>
    <cellStyle name="_INAR_ENERO_17012008 (modif)_Mix y ARP 2010 v2" xfId="1378" xr:uid="{7A81EAE3-DABB-43B5-B0D6-76495940AF58}"/>
    <cellStyle name="_INAR_ENERO_17012008 (modif)_Mix y ARP 2010 v2 10" xfId="1379" xr:uid="{4A1260E6-0FA3-46B9-8D39-7D2FC3659983}"/>
    <cellStyle name="_INAR_ENERO_17012008 (modif)_Mix y ARP 2010 v2 11" xfId="1380" xr:uid="{9BA35504-595D-4403-ACD6-87F59BC856DA}"/>
    <cellStyle name="_INAR_ENERO_17012008 (modif)_Mix y ARP 2010 v2 12" xfId="1381" xr:uid="{74A48DA0-5E2D-43B1-BBD4-1B40ED2EC176}"/>
    <cellStyle name="_INAR_ENERO_17012008 (modif)_Mix y ARP 2010 v2 13" xfId="1382" xr:uid="{F3A72FA7-71FF-423B-A41D-00C6E6AC4012}"/>
    <cellStyle name="_INAR_ENERO_17012008 (modif)_Mix y ARP 2010 v2 14" xfId="1383" xr:uid="{1B660526-DD06-4F40-880D-1EBD8937591A}"/>
    <cellStyle name="_INAR_ENERO_17012008 (modif)_Mix y ARP 2010 v2 2" xfId="1384" xr:uid="{FF584F82-57D1-40BC-A99E-09B9D89F9FB3}"/>
    <cellStyle name="_INAR_ENERO_17012008 (modif)_Mix y ARP 2010 v2 3" xfId="1385" xr:uid="{95CA2852-9A2C-4B54-8F01-2C834D835500}"/>
    <cellStyle name="_INAR_ENERO_17012008 (modif)_Mix y ARP 2010 v2 4" xfId="1386" xr:uid="{FD4B7298-E555-4235-A331-7A47AEBD24BF}"/>
    <cellStyle name="_INAR_ENERO_17012008 (modif)_Mix y ARP 2010 v2 5" xfId="1387" xr:uid="{4CD58A8E-D2DB-48FB-A4E4-D968CCB01726}"/>
    <cellStyle name="_INAR_ENERO_17012008 (modif)_Mix y ARP 2010 v2 6" xfId="1388" xr:uid="{6407D89B-BDD3-49F1-9777-11136DB3D84F}"/>
    <cellStyle name="_INAR_ENERO_17012008 (modif)_Mix y ARP 2010 v2 7" xfId="1389" xr:uid="{AAC47905-B084-4E55-93CE-3662DBFA399B}"/>
    <cellStyle name="_INAR_ENERO_17012008 (modif)_Mix y ARP 2010 v2 8" xfId="1390" xr:uid="{C6324194-6535-4A7A-BE2F-C2104AD4F220}"/>
    <cellStyle name="_INAR_ENERO_17012008 (modif)_Mix y ARP 2010 v2 9" xfId="1391" xr:uid="{C61DEF47-4CB9-4254-A73D-82C744522E79}"/>
    <cellStyle name="_INAR_ENERO_18012008" xfId="1392" xr:uid="{769CCB49-A002-4C4F-9A07-A34CEFB731F5}"/>
    <cellStyle name="_INAR_ENERO_18012008_FCST Subsidy Handset 2010 (Abril-Dic) 20100401v5 ejercicio A final envío con cierre (3) v 4" xfId="1393" xr:uid="{57EAA403-AB96-4629-83B9-61E67EA7AF41}"/>
    <cellStyle name="_INAR_ENERO_18012008_FCST Subsidy Handset 2010 (Abril-Dic) 20100401v5 ejercicio A final envío con cierre (3) v 4 10" xfId="1394" xr:uid="{118BE82B-643B-4EAE-9E09-F15631406786}"/>
    <cellStyle name="_INAR_ENERO_18012008_FCST Subsidy Handset 2010 (Abril-Dic) 20100401v5 ejercicio A final envío con cierre (3) v 4 11" xfId="1395" xr:uid="{A4FA039A-59F8-4B3E-A127-2F78D2E80AED}"/>
    <cellStyle name="_INAR_ENERO_18012008_FCST Subsidy Handset 2010 (Abril-Dic) 20100401v5 ejercicio A final envío con cierre (3) v 4 12" xfId="1396" xr:uid="{60E90D4A-C149-48AA-BA21-12AFEF85DD0B}"/>
    <cellStyle name="_INAR_ENERO_18012008_FCST Subsidy Handset 2010 (Abril-Dic) 20100401v5 ejercicio A final envío con cierre (3) v 4 13" xfId="1397" xr:uid="{FE87608D-C555-4258-AD16-3F0E72593E55}"/>
    <cellStyle name="_INAR_ENERO_18012008_FCST Subsidy Handset 2010 (Abril-Dic) 20100401v5 ejercicio A final envío con cierre (3) v 4 14" xfId="1398" xr:uid="{F2A2F739-FF7D-4318-9E8B-5F40F2CC8CCA}"/>
    <cellStyle name="_INAR_ENERO_18012008_FCST Subsidy Handset 2010 (Abril-Dic) 20100401v5 ejercicio A final envío con cierre (3) v 4 2" xfId="1399" xr:uid="{56D40CA7-A825-4BAC-BD44-7DDBEA435E45}"/>
    <cellStyle name="_INAR_ENERO_18012008_FCST Subsidy Handset 2010 (Abril-Dic) 20100401v5 ejercicio A final envío con cierre (3) v 4 3" xfId="1400" xr:uid="{05658C0C-D724-46B0-A43A-4540D4C8E0AE}"/>
    <cellStyle name="_INAR_ENERO_18012008_FCST Subsidy Handset 2010 (Abril-Dic) 20100401v5 ejercicio A final envío con cierre (3) v 4 4" xfId="1401" xr:uid="{6DB73A18-4DAA-4A2B-87E1-F368C63BC6EC}"/>
    <cellStyle name="_INAR_ENERO_18012008_FCST Subsidy Handset 2010 (Abril-Dic) 20100401v5 ejercicio A final envío con cierre (3) v 4 5" xfId="1402" xr:uid="{5B68E30A-7CB3-449D-8195-EF647B538A94}"/>
    <cellStyle name="_INAR_ENERO_18012008_FCST Subsidy Handset 2010 (Abril-Dic) 20100401v5 ejercicio A final envío con cierre (3) v 4 6" xfId="1403" xr:uid="{F7B49DC4-FB88-4BA3-AAEB-7EF403396DF1}"/>
    <cellStyle name="_INAR_ENERO_18012008_FCST Subsidy Handset 2010 (Abril-Dic) 20100401v5 ejercicio A final envío con cierre (3) v 4 7" xfId="1404" xr:uid="{4438D1FA-C891-430C-AE74-A303A9234A8A}"/>
    <cellStyle name="_INAR_ENERO_18012008_FCST Subsidy Handset 2010 (Abril-Dic) 20100401v5 ejercicio A final envío con cierre (3) v 4 8" xfId="1405" xr:uid="{0CE393F3-ABF5-4593-8724-D4C7124AD405}"/>
    <cellStyle name="_INAR_ENERO_18012008_FCST Subsidy Handset 2010 (Abril-Dic) 20100401v5 ejercicio A final envío con cierre (3) v 4 9" xfId="1406" xr:uid="{FF55E4D0-D2A0-4989-BB9D-C1EC711965B1}"/>
    <cellStyle name="_INAR_ENERO_18012008_FCST Subsidy Handset 2010 (Mayo-Dic) 20100518 CT1000 $0 y CT500 $0-$699 v4 ER ejerc promo navidad (2) ej4" xfId="1407" xr:uid="{7B9F89B6-B030-47C6-902E-40BF181018B1}"/>
    <cellStyle name="_INAR_ENERO_18012008_FCST Subsidy Handset 2010 (Mayo-Dic) 20100518 CT1000 $0 y CT500 $0-$699 v4 ER ejerc promo navidad (2) ej4 10" xfId="1408" xr:uid="{086815C6-4FC7-4E17-8DCF-5BBC9E54626D}"/>
    <cellStyle name="_INAR_ENERO_18012008_FCST Subsidy Handset 2010 (Mayo-Dic) 20100518 CT1000 $0 y CT500 $0-$699 v4 ER ejerc promo navidad (2) ej4 11" xfId="1409" xr:uid="{51856AEA-5131-4A5E-9D47-8079342D2105}"/>
    <cellStyle name="_INAR_ENERO_18012008_FCST Subsidy Handset 2010 (Mayo-Dic) 20100518 CT1000 $0 y CT500 $0-$699 v4 ER ejerc promo navidad (2) ej4 12" xfId="1410" xr:uid="{5F8304E1-ACE4-4235-BBFB-3EA0CDA978DF}"/>
    <cellStyle name="_INAR_ENERO_18012008_FCST Subsidy Handset 2010 (Mayo-Dic) 20100518 CT1000 $0 y CT500 $0-$699 v4 ER ejerc promo navidad (2) ej4 13" xfId="1411" xr:uid="{AC507D49-CFDE-476B-955C-E2CF6239F5F6}"/>
    <cellStyle name="_INAR_ENERO_18012008_FCST Subsidy Handset 2010 (Mayo-Dic) 20100518 CT1000 $0 y CT500 $0-$699 v4 ER ejerc promo navidad (2) ej4 14" xfId="1412" xr:uid="{D5B10072-4B6A-409C-872D-26BBFEE76A4C}"/>
    <cellStyle name="_INAR_ENERO_18012008_FCST Subsidy Handset 2010 (Mayo-Dic) 20100518 CT1000 $0 y CT500 $0-$699 v4 ER ejerc promo navidad (2) ej4 2" xfId="1413" xr:uid="{1DB0D9DA-28C1-41EF-990E-1F095E6C95F3}"/>
    <cellStyle name="_INAR_ENERO_18012008_FCST Subsidy Handset 2010 (Mayo-Dic) 20100518 CT1000 $0 y CT500 $0-$699 v4 ER ejerc promo navidad (2) ej4 3" xfId="1414" xr:uid="{D05679C8-4BA9-479D-BC78-D028EC9F4D83}"/>
    <cellStyle name="_INAR_ENERO_18012008_FCST Subsidy Handset 2010 (Mayo-Dic) 20100518 CT1000 $0 y CT500 $0-$699 v4 ER ejerc promo navidad (2) ej4 4" xfId="1415" xr:uid="{3C5DB1CA-8DE5-4EA0-B50E-204F1100C085}"/>
    <cellStyle name="_INAR_ENERO_18012008_FCST Subsidy Handset 2010 (Mayo-Dic) 20100518 CT1000 $0 y CT500 $0-$699 v4 ER ejerc promo navidad (2) ej4 5" xfId="1416" xr:uid="{8577DFBB-86F0-46BA-AA6E-FC9441C86204}"/>
    <cellStyle name="_INAR_ENERO_18012008_FCST Subsidy Handset 2010 (Mayo-Dic) 20100518 CT1000 $0 y CT500 $0-$699 v4 ER ejerc promo navidad (2) ej4 6" xfId="1417" xr:uid="{95BC7BB3-92E6-4AEC-9163-9FA9DCC1FC19}"/>
    <cellStyle name="_INAR_ENERO_18012008_FCST Subsidy Handset 2010 (Mayo-Dic) 20100518 CT1000 $0 y CT500 $0-$699 v4 ER ejerc promo navidad (2) ej4 7" xfId="1418" xr:uid="{6208C464-536B-4C76-99B9-D25D629497D6}"/>
    <cellStyle name="_INAR_ENERO_18012008_FCST Subsidy Handset 2010 (Mayo-Dic) 20100518 CT1000 $0 y CT500 $0-$699 v4 ER ejerc promo navidad (2) ej4 8" xfId="1419" xr:uid="{AB5D7DE7-D4D4-4087-B9E3-D3DD647D46BD}"/>
    <cellStyle name="_INAR_ENERO_18012008_FCST Subsidy Handset 2010 (Mayo-Dic) 20100518 CT1000 $0 y CT500 $0-$699 v4 ER ejerc promo navidad (2) ej4 9" xfId="1420" xr:uid="{9D9AFDF7-FD4D-4374-A46F-4FFACCAD350D}"/>
    <cellStyle name="_INAR_ENERO_18012008_Mix y ARP 2010 v2" xfId="1421" xr:uid="{6EFEAC20-A55E-466B-AC05-F198F5D1012A}"/>
    <cellStyle name="_INAR_ENERO_18012008_Mix y ARP 2010 v2 10" xfId="1422" xr:uid="{487212BC-0197-495F-B7A9-AFC25206C720}"/>
    <cellStyle name="_INAR_ENERO_18012008_Mix y ARP 2010 v2 11" xfId="1423" xr:uid="{95A4B5E7-A0A3-4DD1-8676-6FEEDE382FA2}"/>
    <cellStyle name="_INAR_ENERO_18012008_Mix y ARP 2010 v2 12" xfId="1424" xr:uid="{503D71D7-21A6-4BBD-B855-9AA4A34A431D}"/>
    <cellStyle name="_INAR_ENERO_18012008_Mix y ARP 2010 v2 13" xfId="1425" xr:uid="{DC7972CD-1DDC-4D8B-9339-3916B8F90B05}"/>
    <cellStyle name="_INAR_ENERO_18012008_Mix y ARP 2010 v2 14" xfId="1426" xr:uid="{B67AED2D-33B1-4318-985F-A9306BBA6B74}"/>
    <cellStyle name="_INAR_ENERO_18012008_Mix y ARP 2010 v2 2" xfId="1427" xr:uid="{69C40CFD-E4CB-4A1C-AFFB-7BEF7C2A48ED}"/>
    <cellStyle name="_INAR_ENERO_18012008_Mix y ARP 2010 v2 3" xfId="1428" xr:uid="{49E46052-16AF-406B-9522-2C241C8BC52F}"/>
    <cellStyle name="_INAR_ENERO_18012008_Mix y ARP 2010 v2 4" xfId="1429" xr:uid="{D29CD0FE-1E5A-46BA-B234-9CF90C5025F7}"/>
    <cellStyle name="_INAR_ENERO_18012008_Mix y ARP 2010 v2 5" xfId="1430" xr:uid="{7156BD30-0CA4-4C42-8E4A-83F890C96894}"/>
    <cellStyle name="_INAR_ENERO_18012008_Mix y ARP 2010 v2 6" xfId="1431" xr:uid="{31420506-1801-4B5F-B279-74EC880AF6A0}"/>
    <cellStyle name="_INAR_ENERO_18012008_Mix y ARP 2010 v2 7" xfId="1432" xr:uid="{5E4912F4-F5BA-40E2-BF27-7EEDDA89493E}"/>
    <cellStyle name="_INAR_ENERO_18012008_Mix y ARP 2010 v2 8" xfId="1433" xr:uid="{5FD23E35-ECEB-4A79-B829-275165C8F822}"/>
    <cellStyle name="_INAR_ENERO_18012008_Mix y ARP 2010 v2 9" xfId="1434" xr:uid="{ED504089-5E40-4FB5-88B6-8A05EAF6C83A}"/>
    <cellStyle name="_INAR_ENERO_2008_cierre (modif)" xfId="1435" xr:uid="{7F223017-BCF0-4CEE-833E-9F5942464861}"/>
    <cellStyle name="_INAR_ENERO_2008_cierre (modif)_FCST Subsidy Handset 2010 (Abril-Dic) 20100401v5 ejercicio A final envío con cierre (3) v 4" xfId="1436" xr:uid="{E9293A31-EB1C-46A9-944F-5E1A41A6D55C}"/>
    <cellStyle name="_INAR_ENERO_2008_cierre (modif)_FCST Subsidy Handset 2010 (Abril-Dic) 20100401v5 ejercicio A final envío con cierre (3) v 4 10" xfId="1437" xr:uid="{0BE1FBA3-3E02-4064-A511-0B9CEAD8FD40}"/>
    <cellStyle name="_INAR_ENERO_2008_cierre (modif)_FCST Subsidy Handset 2010 (Abril-Dic) 20100401v5 ejercicio A final envío con cierre (3) v 4 11" xfId="1438" xr:uid="{A1C3D025-3530-4F28-BD89-CB961981A52C}"/>
    <cellStyle name="_INAR_ENERO_2008_cierre (modif)_FCST Subsidy Handset 2010 (Abril-Dic) 20100401v5 ejercicio A final envío con cierre (3) v 4 12" xfId="1439" xr:uid="{F5C28293-3975-49A6-B1C8-C5BEF58DB52E}"/>
    <cellStyle name="_INAR_ENERO_2008_cierre (modif)_FCST Subsidy Handset 2010 (Abril-Dic) 20100401v5 ejercicio A final envío con cierre (3) v 4 13" xfId="1440" xr:uid="{932F46F5-54EA-469E-B41E-57DBECC9B5FF}"/>
    <cellStyle name="_INAR_ENERO_2008_cierre (modif)_FCST Subsidy Handset 2010 (Abril-Dic) 20100401v5 ejercicio A final envío con cierre (3) v 4 14" xfId="1441" xr:uid="{64010C55-8905-40E4-A885-4D09E6313A5E}"/>
    <cellStyle name="_INAR_ENERO_2008_cierre (modif)_FCST Subsidy Handset 2010 (Abril-Dic) 20100401v5 ejercicio A final envío con cierre (3) v 4 2" xfId="1442" xr:uid="{7AFCE02B-8FA8-4C15-8617-A7D04A867AA6}"/>
    <cellStyle name="_INAR_ENERO_2008_cierre (modif)_FCST Subsidy Handset 2010 (Abril-Dic) 20100401v5 ejercicio A final envío con cierre (3) v 4 3" xfId="1443" xr:uid="{D3455B9F-E1EE-40A4-987C-57FEFECE3E4F}"/>
    <cellStyle name="_INAR_ENERO_2008_cierre (modif)_FCST Subsidy Handset 2010 (Abril-Dic) 20100401v5 ejercicio A final envío con cierre (3) v 4 4" xfId="1444" xr:uid="{A7D39197-BEDF-4310-B538-FDB3132100B7}"/>
    <cellStyle name="_INAR_ENERO_2008_cierre (modif)_FCST Subsidy Handset 2010 (Abril-Dic) 20100401v5 ejercicio A final envío con cierre (3) v 4 5" xfId="1445" xr:uid="{49F5D054-AF7D-492E-B53A-9BDD79218A5C}"/>
    <cellStyle name="_INAR_ENERO_2008_cierre (modif)_FCST Subsidy Handset 2010 (Abril-Dic) 20100401v5 ejercicio A final envío con cierre (3) v 4 6" xfId="1446" xr:uid="{E5DE9345-364B-4524-902B-C1C501A0D7DE}"/>
    <cellStyle name="_INAR_ENERO_2008_cierre (modif)_FCST Subsidy Handset 2010 (Abril-Dic) 20100401v5 ejercicio A final envío con cierre (3) v 4 7" xfId="1447" xr:uid="{D42D6019-0B5C-4A9D-BCB0-BCFB54CA1EAD}"/>
    <cellStyle name="_INAR_ENERO_2008_cierre (modif)_FCST Subsidy Handset 2010 (Abril-Dic) 20100401v5 ejercicio A final envío con cierre (3) v 4 8" xfId="1448" xr:uid="{E709F915-CBA6-4586-BB67-553DC0017B98}"/>
    <cellStyle name="_INAR_ENERO_2008_cierre (modif)_FCST Subsidy Handset 2010 (Abril-Dic) 20100401v5 ejercicio A final envío con cierre (3) v 4 9" xfId="1449" xr:uid="{4D42D8AA-1EFA-4BBD-A952-17501AA88CA4}"/>
    <cellStyle name="_INAR_ENERO_2008_cierre (modif)_FCST Subsidy Handset 2010 (Mayo-Dic) 20100518 CT1000 $0 y CT500 $0-$699 v4 ER ejerc promo navidad (2) ej4" xfId="1450" xr:uid="{B795AD6B-ACB5-4B60-B2C4-80EB8AC6F4D5}"/>
    <cellStyle name="_INAR_ENERO_2008_cierre (modif)_FCST Subsidy Handset 2010 (Mayo-Dic) 20100518 CT1000 $0 y CT500 $0-$699 v4 ER ejerc promo navidad (2) ej4 10" xfId="1451" xr:uid="{598C6AF0-878A-499B-A631-036C0F6E8106}"/>
    <cellStyle name="_INAR_ENERO_2008_cierre (modif)_FCST Subsidy Handset 2010 (Mayo-Dic) 20100518 CT1000 $0 y CT500 $0-$699 v4 ER ejerc promo navidad (2) ej4 11" xfId="1452" xr:uid="{4995C53B-B048-431F-A136-2ECC23786644}"/>
    <cellStyle name="_INAR_ENERO_2008_cierre (modif)_FCST Subsidy Handset 2010 (Mayo-Dic) 20100518 CT1000 $0 y CT500 $0-$699 v4 ER ejerc promo navidad (2) ej4 12" xfId="1453" xr:uid="{998D8081-747E-4ACD-B0B9-B91E013103FA}"/>
    <cellStyle name="_INAR_ENERO_2008_cierre (modif)_FCST Subsidy Handset 2010 (Mayo-Dic) 20100518 CT1000 $0 y CT500 $0-$699 v4 ER ejerc promo navidad (2) ej4 13" xfId="1454" xr:uid="{16ED3331-B4FB-4928-A82F-4D5305B00646}"/>
    <cellStyle name="_INAR_ENERO_2008_cierre (modif)_FCST Subsidy Handset 2010 (Mayo-Dic) 20100518 CT1000 $0 y CT500 $0-$699 v4 ER ejerc promo navidad (2) ej4 14" xfId="1455" xr:uid="{100CA0AD-3383-4D7E-B38C-5EB0C71A25DF}"/>
    <cellStyle name="_INAR_ENERO_2008_cierre (modif)_FCST Subsidy Handset 2010 (Mayo-Dic) 20100518 CT1000 $0 y CT500 $0-$699 v4 ER ejerc promo navidad (2) ej4 2" xfId="1456" xr:uid="{6201EBEA-20AA-43A5-8730-C4ED5EDB63A8}"/>
    <cellStyle name="_INAR_ENERO_2008_cierre (modif)_FCST Subsidy Handset 2010 (Mayo-Dic) 20100518 CT1000 $0 y CT500 $0-$699 v4 ER ejerc promo navidad (2) ej4 3" xfId="1457" xr:uid="{A0F0D278-BD41-4F62-A6CD-2CF7DBE39A0A}"/>
    <cellStyle name="_INAR_ENERO_2008_cierre (modif)_FCST Subsidy Handset 2010 (Mayo-Dic) 20100518 CT1000 $0 y CT500 $0-$699 v4 ER ejerc promo navidad (2) ej4 4" xfId="1458" xr:uid="{5E435DFD-633F-474A-B2E2-83A94B42A3AC}"/>
    <cellStyle name="_INAR_ENERO_2008_cierre (modif)_FCST Subsidy Handset 2010 (Mayo-Dic) 20100518 CT1000 $0 y CT500 $0-$699 v4 ER ejerc promo navidad (2) ej4 5" xfId="1459" xr:uid="{00162613-266F-4DE0-8FFF-E04B71261394}"/>
    <cellStyle name="_INAR_ENERO_2008_cierre (modif)_FCST Subsidy Handset 2010 (Mayo-Dic) 20100518 CT1000 $0 y CT500 $0-$699 v4 ER ejerc promo navidad (2) ej4 6" xfId="1460" xr:uid="{9310C66A-59C6-422C-8F62-2430FF83B3A5}"/>
    <cellStyle name="_INAR_ENERO_2008_cierre (modif)_FCST Subsidy Handset 2010 (Mayo-Dic) 20100518 CT1000 $0 y CT500 $0-$699 v4 ER ejerc promo navidad (2) ej4 7" xfId="1461" xr:uid="{E1A9648E-0C13-448F-B114-D82AD65B2A6D}"/>
    <cellStyle name="_INAR_ENERO_2008_cierre (modif)_FCST Subsidy Handset 2010 (Mayo-Dic) 20100518 CT1000 $0 y CT500 $0-$699 v4 ER ejerc promo navidad (2) ej4 8" xfId="1462" xr:uid="{45AAA0AA-C8C1-4E92-B0EE-43639885D07F}"/>
    <cellStyle name="_INAR_ENERO_2008_cierre (modif)_FCST Subsidy Handset 2010 (Mayo-Dic) 20100518 CT1000 $0 y CT500 $0-$699 v4 ER ejerc promo navidad (2) ej4 9" xfId="1463" xr:uid="{8357BA0C-4C3E-4826-88C8-23347A6FC01F}"/>
    <cellStyle name="_INAR_ENERO_2008_cierre (modif)_Mix y ARP 2010 v2" xfId="1464" xr:uid="{A95FC051-0604-408D-8A28-BD0382EE8129}"/>
    <cellStyle name="_INAR_ENERO_2008_cierre (modif)_Mix y ARP 2010 v2 10" xfId="1465" xr:uid="{3897A4EC-4341-44BC-8264-557DCDB6BF38}"/>
    <cellStyle name="_INAR_ENERO_2008_cierre (modif)_Mix y ARP 2010 v2 11" xfId="1466" xr:uid="{D7C1A014-2708-46FF-8652-52EB3F391597}"/>
    <cellStyle name="_INAR_ENERO_2008_cierre (modif)_Mix y ARP 2010 v2 12" xfId="1467" xr:uid="{3EC5D432-3B93-4358-BAEE-BBDF483932E3}"/>
    <cellStyle name="_INAR_ENERO_2008_cierre (modif)_Mix y ARP 2010 v2 13" xfId="1468" xr:uid="{4F84247B-5738-4213-A51E-74C331C35AA8}"/>
    <cellStyle name="_INAR_ENERO_2008_cierre (modif)_Mix y ARP 2010 v2 14" xfId="1469" xr:uid="{35E04B7B-1DD5-4781-A4FD-C76DD8B82B64}"/>
    <cellStyle name="_INAR_ENERO_2008_cierre (modif)_Mix y ARP 2010 v2 2" xfId="1470" xr:uid="{5032B5F9-D3B3-454E-AA86-87E7CD418424}"/>
    <cellStyle name="_INAR_ENERO_2008_cierre (modif)_Mix y ARP 2010 v2 3" xfId="1471" xr:uid="{8B8B2591-D969-4E3E-BB31-C23BC2BD2BFF}"/>
    <cellStyle name="_INAR_ENERO_2008_cierre (modif)_Mix y ARP 2010 v2 4" xfId="1472" xr:uid="{7F807142-6BA0-499D-93D7-3AE57B7C0BC4}"/>
    <cellStyle name="_INAR_ENERO_2008_cierre (modif)_Mix y ARP 2010 v2 5" xfId="1473" xr:uid="{DD2888D1-DE07-41C8-978F-3C2877191A51}"/>
    <cellStyle name="_INAR_ENERO_2008_cierre (modif)_Mix y ARP 2010 v2 6" xfId="1474" xr:uid="{ADF566A8-7732-4042-A2FC-484870899B86}"/>
    <cellStyle name="_INAR_ENERO_2008_cierre (modif)_Mix y ARP 2010 v2 7" xfId="1475" xr:uid="{FF54E92C-109F-41A6-97D3-6FE67B7FD63D}"/>
    <cellStyle name="_INAR_ENERO_2008_cierre (modif)_Mix y ARP 2010 v2 8" xfId="1476" xr:uid="{BBA5CC3C-E7A6-45CE-BDB1-B43C502EB052}"/>
    <cellStyle name="_INAR_ENERO_2008_cierre (modif)_Mix y ARP 2010 v2 9" xfId="1477" xr:uid="{904E83C8-B922-44BC-84F7-0EA66474DD27}"/>
    <cellStyle name="_INAR_ENERO_21012008 (modif)" xfId="1478" xr:uid="{3C14DDDE-EB16-4F9F-9F19-6DE8753F5DE0}"/>
    <cellStyle name="_INAR_ENERO_21012008 (modif)_FCST Subsidy Handset 2010 (Abril-Dic) 20100401v5 ejercicio A final envío con cierre (3) v 4" xfId="1479" xr:uid="{28DCABE3-C9FA-48E9-A198-2FD6C7565732}"/>
    <cellStyle name="_INAR_ENERO_21012008 (modif)_FCST Subsidy Handset 2010 (Abril-Dic) 20100401v5 ejercicio A final envío con cierre (3) v 4 10" xfId="1480" xr:uid="{B8CEB9C9-95E5-48F2-B6A6-995C102A3905}"/>
    <cellStyle name="_INAR_ENERO_21012008 (modif)_FCST Subsidy Handset 2010 (Abril-Dic) 20100401v5 ejercicio A final envío con cierre (3) v 4 11" xfId="1481" xr:uid="{B9390DA8-CEEA-4F14-BB3A-3C2635909AE6}"/>
    <cellStyle name="_INAR_ENERO_21012008 (modif)_FCST Subsidy Handset 2010 (Abril-Dic) 20100401v5 ejercicio A final envío con cierre (3) v 4 12" xfId="1482" xr:uid="{A3D543C8-48DF-44A6-B006-6F723BECEA66}"/>
    <cellStyle name="_INAR_ENERO_21012008 (modif)_FCST Subsidy Handset 2010 (Abril-Dic) 20100401v5 ejercicio A final envío con cierre (3) v 4 13" xfId="1483" xr:uid="{D910DF73-15AD-4DEA-A579-DA463033DC5F}"/>
    <cellStyle name="_INAR_ENERO_21012008 (modif)_FCST Subsidy Handset 2010 (Abril-Dic) 20100401v5 ejercicio A final envío con cierre (3) v 4 14" xfId="1484" xr:uid="{B57BF98F-FC14-4E76-B5FC-265CC5ED8996}"/>
    <cellStyle name="_INAR_ENERO_21012008 (modif)_FCST Subsidy Handset 2010 (Abril-Dic) 20100401v5 ejercicio A final envío con cierre (3) v 4 2" xfId="1485" xr:uid="{41ECAD24-0EC1-4D1A-8FA6-B42FC1093DA7}"/>
    <cellStyle name="_INAR_ENERO_21012008 (modif)_FCST Subsidy Handset 2010 (Abril-Dic) 20100401v5 ejercicio A final envío con cierre (3) v 4 3" xfId="1486" xr:uid="{F2284AD1-682C-4F60-B19B-FBC8FCD7DCF8}"/>
    <cellStyle name="_INAR_ENERO_21012008 (modif)_FCST Subsidy Handset 2010 (Abril-Dic) 20100401v5 ejercicio A final envío con cierre (3) v 4 4" xfId="1487" xr:uid="{859DF01D-1CB2-4F63-BD95-2DDE6409F8F6}"/>
    <cellStyle name="_INAR_ENERO_21012008 (modif)_FCST Subsidy Handset 2010 (Abril-Dic) 20100401v5 ejercicio A final envío con cierre (3) v 4 5" xfId="1488" xr:uid="{9EEBE24D-1596-4AAC-9E01-407F568B371E}"/>
    <cellStyle name="_INAR_ENERO_21012008 (modif)_FCST Subsidy Handset 2010 (Abril-Dic) 20100401v5 ejercicio A final envío con cierre (3) v 4 6" xfId="1489" xr:uid="{8827116D-C620-4505-AFD8-CC5371E386EE}"/>
    <cellStyle name="_INAR_ENERO_21012008 (modif)_FCST Subsidy Handset 2010 (Abril-Dic) 20100401v5 ejercicio A final envío con cierre (3) v 4 7" xfId="1490" xr:uid="{B329E4A0-092B-468C-9E67-997A4A6355C1}"/>
    <cellStyle name="_INAR_ENERO_21012008 (modif)_FCST Subsidy Handset 2010 (Abril-Dic) 20100401v5 ejercicio A final envío con cierre (3) v 4 8" xfId="1491" xr:uid="{B98B3870-F596-4009-BBC8-7DC3FD257EF4}"/>
    <cellStyle name="_INAR_ENERO_21012008 (modif)_FCST Subsidy Handset 2010 (Abril-Dic) 20100401v5 ejercicio A final envío con cierre (3) v 4 9" xfId="1492" xr:uid="{DA69B08D-F0B6-4DD1-91F7-FC3050F7B02B}"/>
    <cellStyle name="_INAR_ENERO_21012008 (modif)_FCST Subsidy Handset 2010 (Mayo-Dic) 20100518 CT1000 $0 y CT500 $0-$699 v4 ER ejerc promo navidad (2) ej4" xfId="1493" xr:uid="{73E3AF60-2440-4000-A074-007EB2882A12}"/>
    <cellStyle name="_INAR_ENERO_21012008 (modif)_FCST Subsidy Handset 2010 (Mayo-Dic) 20100518 CT1000 $0 y CT500 $0-$699 v4 ER ejerc promo navidad (2) ej4 10" xfId="1494" xr:uid="{8F7E1DB6-BCAE-49A0-BCBC-34A3B9BB88CC}"/>
    <cellStyle name="_INAR_ENERO_21012008 (modif)_FCST Subsidy Handset 2010 (Mayo-Dic) 20100518 CT1000 $0 y CT500 $0-$699 v4 ER ejerc promo navidad (2) ej4 11" xfId="1495" xr:uid="{F7B113F7-D1EA-4AE8-B3E8-90F4C54E9A7A}"/>
    <cellStyle name="_INAR_ENERO_21012008 (modif)_FCST Subsidy Handset 2010 (Mayo-Dic) 20100518 CT1000 $0 y CT500 $0-$699 v4 ER ejerc promo navidad (2) ej4 12" xfId="1496" xr:uid="{F4E6C482-D5D4-42E4-8A9C-0ABF107F9933}"/>
    <cellStyle name="_INAR_ENERO_21012008 (modif)_FCST Subsidy Handset 2010 (Mayo-Dic) 20100518 CT1000 $0 y CT500 $0-$699 v4 ER ejerc promo navidad (2) ej4 13" xfId="1497" xr:uid="{DFEF7A07-2584-4CF4-801C-3A1E92C52901}"/>
    <cellStyle name="_INAR_ENERO_21012008 (modif)_FCST Subsidy Handset 2010 (Mayo-Dic) 20100518 CT1000 $0 y CT500 $0-$699 v4 ER ejerc promo navidad (2) ej4 14" xfId="1498" xr:uid="{118301B6-9A08-4E59-B062-DF889AEA36DA}"/>
    <cellStyle name="_INAR_ENERO_21012008 (modif)_FCST Subsidy Handset 2010 (Mayo-Dic) 20100518 CT1000 $0 y CT500 $0-$699 v4 ER ejerc promo navidad (2) ej4 2" xfId="1499" xr:uid="{8AFCE304-940C-4087-BE18-99D7BED891FA}"/>
    <cellStyle name="_INAR_ENERO_21012008 (modif)_FCST Subsidy Handset 2010 (Mayo-Dic) 20100518 CT1000 $0 y CT500 $0-$699 v4 ER ejerc promo navidad (2) ej4 3" xfId="1500" xr:uid="{02415E8D-12B3-480A-A64D-5BBF1D09DD07}"/>
    <cellStyle name="_INAR_ENERO_21012008 (modif)_FCST Subsidy Handset 2010 (Mayo-Dic) 20100518 CT1000 $0 y CT500 $0-$699 v4 ER ejerc promo navidad (2) ej4 4" xfId="1501" xr:uid="{2D2E7961-35F9-48DB-B4A1-C3B7BD856227}"/>
    <cellStyle name="_INAR_ENERO_21012008 (modif)_FCST Subsidy Handset 2010 (Mayo-Dic) 20100518 CT1000 $0 y CT500 $0-$699 v4 ER ejerc promo navidad (2) ej4 5" xfId="1502" xr:uid="{16C880F8-3E41-461C-88D7-B97DB4253B9F}"/>
    <cellStyle name="_INAR_ENERO_21012008 (modif)_FCST Subsidy Handset 2010 (Mayo-Dic) 20100518 CT1000 $0 y CT500 $0-$699 v4 ER ejerc promo navidad (2) ej4 6" xfId="1503" xr:uid="{CCE5D2D4-A5E6-4CB0-8DFD-ACDBBA37507D}"/>
    <cellStyle name="_INAR_ENERO_21012008 (modif)_FCST Subsidy Handset 2010 (Mayo-Dic) 20100518 CT1000 $0 y CT500 $0-$699 v4 ER ejerc promo navidad (2) ej4 7" xfId="1504" xr:uid="{F4C4A1AC-6C1F-49D5-AB90-0F689805C0A7}"/>
    <cellStyle name="_INAR_ENERO_21012008 (modif)_FCST Subsidy Handset 2010 (Mayo-Dic) 20100518 CT1000 $0 y CT500 $0-$699 v4 ER ejerc promo navidad (2) ej4 8" xfId="1505" xr:uid="{67629C72-B511-40C1-9AFF-82620B0EDB01}"/>
    <cellStyle name="_INAR_ENERO_21012008 (modif)_FCST Subsidy Handset 2010 (Mayo-Dic) 20100518 CT1000 $0 y CT500 $0-$699 v4 ER ejerc promo navidad (2) ej4 9" xfId="1506" xr:uid="{ACF0027E-EDC7-4360-AADC-539930EA3542}"/>
    <cellStyle name="_INAR_ENERO_21012008 (modif)_Mix y ARP 2010 v2" xfId="1507" xr:uid="{EFF0AB1F-E154-4E61-8593-C6B1BC28D0C1}"/>
    <cellStyle name="_INAR_ENERO_21012008 (modif)_Mix y ARP 2010 v2 10" xfId="1508" xr:uid="{821AD204-08E2-44B5-AB2C-8AFE5884FD21}"/>
    <cellStyle name="_INAR_ENERO_21012008 (modif)_Mix y ARP 2010 v2 11" xfId="1509" xr:uid="{F86F321A-47EA-4EFC-B478-1B9196B17573}"/>
    <cellStyle name="_INAR_ENERO_21012008 (modif)_Mix y ARP 2010 v2 12" xfId="1510" xr:uid="{B512BF9E-0462-426E-8A24-ED50E693D7BE}"/>
    <cellStyle name="_INAR_ENERO_21012008 (modif)_Mix y ARP 2010 v2 13" xfId="1511" xr:uid="{70219C32-30D0-4C76-AC7E-B2BD6015CC19}"/>
    <cellStyle name="_INAR_ENERO_21012008 (modif)_Mix y ARP 2010 v2 14" xfId="1512" xr:uid="{1D171728-67E4-4A1E-AE45-113E1F31EE9E}"/>
    <cellStyle name="_INAR_ENERO_21012008 (modif)_Mix y ARP 2010 v2 2" xfId="1513" xr:uid="{76B94994-4C87-4F8B-BDF5-1F236A33D261}"/>
    <cellStyle name="_INAR_ENERO_21012008 (modif)_Mix y ARP 2010 v2 3" xfId="1514" xr:uid="{D84E0C51-3584-44AB-AA11-9101A3E9F542}"/>
    <cellStyle name="_INAR_ENERO_21012008 (modif)_Mix y ARP 2010 v2 4" xfId="1515" xr:uid="{AD1F3F6B-9CA7-4856-BCB8-56EEB3D4252B}"/>
    <cellStyle name="_INAR_ENERO_21012008 (modif)_Mix y ARP 2010 v2 5" xfId="1516" xr:uid="{3FA46826-F39F-40BE-BA8E-114DDA3D01DA}"/>
    <cellStyle name="_INAR_ENERO_21012008 (modif)_Mix y ARP 2010 v2 6" xfId="1517" xr:uid="{81195F64-5709-4002-9588-A856AD951790}"/>
    <cellStyle name="_INAR_ENERO_21012008 (modif)_Mix y ARP 2010 v2 7" xfId="1518" xr:uid="{1F058978-A732-44E3-AA5A-7CCD0495A591}"/>
    <cellStyle name="_INAR_ENERO_21012008 (modif)_Mix y ARP 2010 v2 8" xfId="1519" xr:uid="{16A4B236-E669-4155-BDD0-DE1424859D2B}"/>
    <cellStyle name="_INAR_ENERO_21012008 (modif)_Mix y ARP 2010 v2 9" xfId="1520" xr:uid="{1F9D4B97-7C0F-42FD-8C42-1174759DEC28}"/>
    <cellStyle name="_INAR_ENERO_23012008 (modif)" xfId="1521" xr:uid="{CA69606C-F6DC-4DF6-AE37-E9D238F11C52}"/>
    <cellStyle name="_INAR_ENERO_23012008 (modif)_FCST Subsidy Handset 2010 (Abril-Dic) 20100401v5 ejercicio A final envío con cierre (3) v 4" xfId="1522" xr:uid="{DC5B5D8E-E092-4502-A428-52BF783B62DB}"/>
    <cellStyle name="_INAR_ENERO_23012008 (modif)_FCST Subsidy Handset 2010 (Abril-Dic) 20100401v5 ejercicio A final envío con cierre (3) v 4 10" xfId="1523" xr:uid="{2494F87B-3169-477D-848E-93F3CD725B05}"/>
    <cellStyle name="_INAR_ENERO_23012008 (modif)_FCST Subsidy Handset 2010 (Abril-Dic) 20100401v5 ejercicio A final envío con cierre (3) v 4 11" xfId="1524" xr:uid="{05AB6CB0-7E9A-4A0D-AF42-6CEB8FAF953A}"/>
    <cellStyle name="_INAR_ENERO_23012008 (modif)_FCST Subsidy Handset 2010 (Abril-Dic) 20100401v5 ejercicio A final envío con cierre (3) v 4 12" xfId="1525" xr:uid="{08CB2B16-AE68-41DC-96D8-60F21D5761B3}"/>
    <cellStyle name="_INAR_ENERO_23012008 (modif)_FCST Subsidy Handset 2010 (Abril-Dic) 20100401v5 ejercicio A final envío con cierre (3) v 4 13" xfId="1526" xr:uid="{76C4388C-BC5C-4204-94F4-FB76071A6B6A}"/>
    <cellStyle name="_INAR_ENERO_23012008 (modif)_FCST Subsidy Handset 2010 (Abril-Dic) 20100401v5 ejercicio A final envío con cierre (3) v 4 14" xfId="1527" xr:uid="{6E74D157-0E39-43F3-82B3-0B01094622D4}"/>
    <cellStyle name="_INAR_ENERO_23012008 (modif)_FCST Subsidy Handset 2010 (Abril-Dic) 20100401v5 ejercicio A final envío con cierre (3) v 4 2" xfId="1528" xr:uid="{A40AFEFE-836C-41BC-8B33-B6E56B2518BF}"/>
    <cellStyle name="_INAR_ENERO_23012008 (modif)_FCST Subsidy Handset 2010 (Abril-Dic) 20100401v5 ejercicio A final envío con cierre (3) v 4 3" xfId="1529" xr:uid="{93E120F4-4EEA-431E-A95F-633ED7FA5953}"/>
    <cellStyle name="_INAR_ENERO_23012008 (modif)_FCST Subsidy Handset 2010 (Abril-Dic) 20100401v5 ejercicio A final envío con cierre (3) v 4 4" xfId="1530" xr:uid="{800ADAC8-55DA-46FE-B213-DF9A6CFB3C5F}"/>
    <cellStyle name="_INAR_ENERO_23012008 (modif)_FCST Subsidy Handset 2010 (Abril-Dic) 20100401v5 ejercicio A final envío con cierre (3) v 4 5" xfId="1531" xr:uid="{F6166D68-272C-48AA-A03E-745A6AC91332}"/>
    <cellStyle name="_INAR_ENERO_23012008 (modif)_FCST Subsidy Handset 2010 (Abril-Dic) 20100401v5 ejercicio A final envío con cierre (3) v 4 6" xfId="1532" xr:uid="{CACB2147-F303-40E4-BAB0-47B9CF20D90F}"/>
    <cellStyle name="_INAR_ENERO_23012008 (modif)_FCST Subsidy Handset 2010 (Abril-Dic) 20100401v5 ejercicio A final envío con cierre (3) v 4 7" xfId="1533" xr:uid="{6F3B9EB5-76E6-482E-B7EA-980B1E1E7378}"/>
    <cellStyle name="_INAR_ENERO_23012008 (modif)_FCST Subsidy Handset 2010 (Abril-Dic) 20100401v5 ejercicio A final envío con cierre (3) v 4 8" xfId="1534" xr:uid="{1397A223-130F-48DA-8698-99040BA5E0DA}"/>
    <cellStyle name="_INAR_ENERO_23012008 (modif)_FCST Subsidy Handset 2010 (Abril-Dic) 20100401v5 ejercicio A final envío con cierre (3) v 4 9" xfId="1535" xr:uid="{F8C9E4EB-568E-46AD-9638-220BF2B80896}"/>
    <cellStyle name="_INAR_ENERO_23012008 (modif)_FCST Subsidy Handset 2010 (Mayo-Dic) 20100518 CT1000 $0 y CT500 $0-$699 v4 ER ejerc promo navidad (2) ej4" xfId="1536" xr:uid="{589378D8-0905-4A94-90A4-300B62EB44BA}"/>
    <cellStyle name="_INAR_ENERO_23012008 (modif)_FCST Subsidy Handset 2010 (Mayo-Dic) 20100518 CT1000 $0 y CT500 $0-$699 v4 ER ejerc promo navidad (2) ej4 10" xfId="1537" xr:uid="{C8443139-A68C-4CDD-B588-2742C461B43F}"/>
    <cellStyle name="_INAR_ENERO_23012008 (modif)_FCST Subsidy Handset 2010 (Mayo-Dic) 20100518 CT1000 $0 y CT500 $0-$699 v4 ER ejerc promo navidad (2) ej4 11" xfId="1538" xr:uid="{06A22FED-5EA3-4AF0-B58E-E594A2A65CEC}"/>
    <cellStyle name="_INAR_ENERO_23012008 (modif)_FCST Subsidy Handset 2010 (Mayo-Dic) 20100518 CT1000 $0 y CT500 $0-$699 v4 ER ejerc promo navidad (2) ej4 12" xfId="1539" xr:uid="{E56EFFDF-C95C-4CFF-9325-FF5434333068}"/>
    <cellStyle name="_INAR_ENERO_23012008 (modif)_FCST Subsidy Handset 2010 (Mayo-Dic) 20100518 CT1000 $0 y CT500 $0-$699 v4 ER ejerc promo navidad (2) ej4 13" xfId="1540" xr:uid="{23A3C29B-EFAD-4BAB-A739-3346949379D2}"/>
    <cellStyle name="_INAR_ENERO_23012008 (modif)_FCST Subsidy Handset 2010 (Mayo-Dic) 20100518 CT1000 $0 y CT500 $0-$699 v4 ER ejerc promo navidad (2) ej4 14" xfId="1541" xr:uid="{6CE06819-0139-45D9-8644-42AF50B4EC6D}"/>
    <cellStyle name="_INAR_ENERO_23012008 (modif)_FCST Subsidy Handset 2010 (Mayo-Dic) 20100518 CT1000 $0 y CT500 $0-$699 v4 ER ejerc promo navidad (2) ej4 2" xfId="1542" xr:uid="{EEACC9D9-B251-4A78-88D5-E9ABE3154605}"/>
    <cellStyle name="_INAR_ENERO_23012008 (modif)_FCST Subsidy Handset 2010 (Mayo-Dic) 20100518 CT1000 $0 y CT500 $0-$699 v4 ER ejerc promo navidad (2) ej4 3" xfId="1543" xr:uid="{D9AC5403-6CFA-4199-9F2F-5FE59700F2C1}"/>
    <cellStyle name="_INAR_ENERO_23012008 (modif)_FCST Subsidy Handset 2010 (Mayo-Dic) 20100518 CT1000 $0 y CT500 $0-$699 v4 ER ejerc promo navidad (2) ej4 4" xfId="1544" xr:uid="{C2BC0709-8F64-499A-A0E5-AAEC0B3622DA}"/>
    <cellStyle name="_INAR_ENERO_23012008 (modif)_FCST Subsidy Handset 2010 (Mayo-Dic) 20100518 CT1000 $0 y CT500 $0-$699 v4 ER ejerc promo navidad (2) ej4 5" xfId="1545" xr:uid="{54C4EB4E-C21D-43DD-B8C9-5670209957F6}"/>
    <cellStyle name="_INAR_ENERO_23012008 (modif)_FCST Subsidy Handset 2010 (Mayo-Dic) 20100518 CT1000 $0 y CT500 $0-$699 v4 ER ejerc promo navidad (2) ej4 6" xfId="1546" xr:uid="{76A06A53-B36A-4195-A01E-B9683A9C5537}"/>
    <cellStyle name="_INAR_ENERO_23012008 (modif)_FCST Subsidy Handset 2010 (Mayo-Dic) 20100518 CT1000 $0 y CT500 $0-$699 v4 ER ejerc promo navidad (2) ej4 7" xfId="1547" xr:uid="{5E31D22F-D5A4-43E6-B696-E6D0C04FB598}"/>
    <cellStyle name="_INAR_ENERO_23012008 (modif)_FCST Subsidy Handset 2010 (Mayo-Dic) 20100518 CT1000 $0 y CT500 $0-$699 v4 ER ejerc promo navidad (2) ej4 8" xfId="1548" xr:uid="{96EE7255-5069-4A80-99F7-EE877F3209A0}"/>
    <cellStyle name="_INAR_ENERO_23012008 (modif)_FCST Subsidy Handset 2010 (Mayo-Dic) 20100518 CT1000 $0 y CT500 $0-$699 v4 ER ejerc promo navidad (2) ej4 9" xfId="1549" xr:uid="{05294B8A-2E7B-490D-9FB1-DBE7AC9819F5}"/>
    <cellStyle name="_INAR_ENERO_23012008 (modif)_Mix y ARP 2010 v2" xfId="1550" xr:uid="{E00F12BE-AA8E-4C8F-9EC2-D26F7ED1A045}"/>
    <cellStyle name="_INAR_ENERO_23012008 (modif)_Mix y ARP 2010 v2 10" xfId="1551" xr:uid="{56876EF6-F379-4893-92FF-89A56A873B6A}"/>
    <cellStyle name="_INAR_ENERO_23012008 (modif)_Mix y ARP 2010 v2 11" xfId="1552" xr:uid="{1C25BAA6-03C4-472D-A144-D36F54108260}"/>
    <cellStyle name="_INAR_ENERO_23012008 (modif)_Mix y ARP 2010 v2 12" xfId="1553" xr:uid="{C2DF5A1B-6F4B-45D7-8E1C-86B23EFFD637}"/>
    <cellStyle name="_INAR_ENERO_23012008 (modif)_Mix y ARP 2010 v2 13" xfId="1554" xr:uid="{CCAF01D1-333B-42B8-A76A-46E64C19E5AF}"/>
    <cellStyle name="_INAR_ENERO_23012008 (modif)_Mix y ARP 2010 v2 14" xfId="1555" xr:uid="{27AD82F8-FF03-4552-B97D-F9345C57A09C}"/>
    <cellStyle name="_INAR_ENERO_23012008 (modif)_Mix y ARP 2010 v2 2" xfId="1556" xr:uid="{6C025DAE-D497-4F1E-A356-BC9E44F12F6F}"/>
    <cellStyle name="_INAR_ENERO_23012008 (modif)_Mix y ARP 2010 v2 3" xfId="1557" xr:uid="{09D86D17-28D2-4E93-93C1-060117007B1D}"/>
    <cellStyle name="_INAR_ENERO_23012008 (modif)_Mix y ARP 2010 v2 4" xfId="1558" xr:uid="{85B557D3-225B-46BC-B04D-9FE4F234134E}"/>
    <cellStyle name="_INAR_ENERO_23012008 (modif)_Mix y ARP 2010 v2 5" xfId="1559" xr:uid="{4A727AFD-5CEE-48A1-ABE2-1CA256760B49}"/>
    <cellStyle name="_INAR_ENERO_23012008 (modif)_Mix y ARP 2010 v2 6" xfId="1560" xr:uid="{0C755F18-92AF-43D0-A176-F6CDB4D45A09}"/>
    <cellStyle name="_INAR_ENERO_23012008 (modif)_Mix y ARP 2010 v2 7" xfId="1561" xr:uid="{A9977F06-420A-4FFD-AAFD-593D7A3A767C}"/>
    <cellStyle name="_INAR_ENERO_23012008 (modif)_Mix y ARP 2010 v2 8" xfId="1562" xr:uid="{8C605181-D8DD-407D-BBF8-7F314FC3C1B1}"/>
    <cellStyle name="_INAR_ENERO_23012008 (modif)_Mix y ARP 2010 v2 9" xfId="1563" xr:uid="{F800EFE0-5895-401F-A7C1-9A9BD1FAFD13}"/>
    <cellStyle name="_INAR_ENERO_25012008 (modif)" xfId="1564" xr:uid="{4F2348FE-105D-42A0-86FF-A51E54119205}"/>
    <cellStyle name="_INAR_ENERO_25012008 (modif)_FCST Subsidy Handset 2010 (Abril-Dic) 20100401v5 ejercicio A final envío con cierre (3) v 4" xfId="1565" xr:uid="{3882EB64-86D0-44D8-9B73-BAA95191D257}"/>
    <cellStyle name="_INAR_ENERO_25012008 (modif)_FCST Subsidy Handset 2010 (Abril-Dic) 20100401v5 ejercicio A final envío con cierre (3) v 4 10" xfId="1566" xr:uid="{0C642263-4401-4CFE-9F8C-810EC4043D84}"/>
    <cellStyle name="_INAR_ENERO_25012008 (modif)_FCST Subsidy Handset 2010 (Abril-Dic) 20100401v5 ejercicio A final envío con cierre (3) v 4 11" xfId="1567" xr:uid="{7E6D13C7-A5C3-406E-8C97-0BB42415F7C1}"/>
    <cellStyle name="_INAR_ENERO_25012008 (modif)_FCST Subsidy Handset 2010 (Abril-Dic) 20100401v5 ejercicio A final envío con cierre (3) v 4 12" xfId="1568" xr:uid="{9302D6A0-A4B8-47D4-BDDD-896D7F0B2347}"/>
    <cellStyle name="_INAR_ENERO_25012008 (modif)_FCST Subsidy Handset 2010 (Abril-Dic) 20100401v5 ejercicio A final envío con cierre (3) v 4 13" xfId="1569" xr:uid="{5E24DE6C-EBD8-4F2F-A90A-8A1B09BC0E4A}"/>
    <cellStyle name="_INAR_ENERO_25012008 (modif)_FCST Subsidy Handset 2010 (Abril-Dic) 20100401v5 ejercicio A final envío con cierre (3) v 4 14" xfId="1570" xr:uid="{C53C3230-3171-4065-99B9-C320102D6EB8}"/>
    <cellStyle name="_INAR_ENERO_25012008 (modif)_FCST Subsidy Handset 2010 (Abril-Dic) 20100401v5 ejercicio A final envío con cierre (3) v 4 2" xfId="1571" xr:uid="{3EFE3183-07BB-44FB-B3EF-79142B7E5BA0}"/>
    <cellStyle name="_INAR_ENERO_25012008 (modif)_FCST Subsidy Handset 2010 (Abril-Dic) 20100401v5 ejercicio A final envío con cierre (3) v 4 3" xfId="1572" xr:uid="{9B7A1F2F-C10A-4904-90C8-81A2CAD2D7AE}"/>
    <cellStyle name="_INAR_ENERO_25012008 (modif)_FCST Subsidy Handset 2010 (Abril-Dic) 20100401v5 ejercicio A final envío con cierre (3) v 4 4" xfId="1573" xr:uid="{8381A7C8-C431-4AF3-AAA9-2615273A1A1E}"/>
    <cellStyle name="_INAR_ENERO_25012008 (modif)_FCST Subsidy Handset 2010 (Abril-Dic) 20100401v5 ejercicio A final envío con cierre (3) v 4 5" xfId="1574" xr:uid="{0ACAFB40-09F0-46AD-8DF3-A12CCCC75FAC}"/>
    <cellStyle name="_INAR_ENERO_25012008 (modif)_FCST Subsidy Handset 2010 (Abril-Dic) 20100401v5 ejercicio A final envío con cierre (3) v 4 6" xfId="1575" xr:uid="{9427F172-DF23-4FD6-AB8E-19222F09BE6B}"/>
    <cellStyle name="_INAR_ENERO_25012008 (modif)_FCST Subsidy Handset 2010 (Abril-Dic) 20100401v5 ejercicio A final envío con cierre (3) v 4 7" xfId="1576" xr:uid="{4FFB6D95-83FA-4CE6-A8D3-3D3F6ADD89EC}"/>
    <cellStyle name="_INAR_ENERO_25012008 (modif)_FCST Subsidy Handset 2010 (Abril-Dic) 20100401v5 ejercicio A final envío con cierre (3) v 4 8" xfId="1577" xr:uid="{ABCADB96-786E-4ABC-B540-D161223BFB11}"/>
    <cellStyle name="_INAR_ENERO_25012008 (modif)_FCST Subsidy Handset 2010 (Abril-Dic) 20100401v5 ejercicio A final envío con cierre (3) v 4 9" xfId="1578" xr:uid="{0404A5EF-D74A-4280-88FF-0E6C14CF018F}"/>
    <cellStyle name="_INAR_ENERO_25012008 (modif)_FCST Subsidy Handset 2010 (Mayo-Dic) 20100518 CT1000 $0 y CT500 $0-$699 v4 ER ejerc promo navidad (2) ej4" xfId="1579" xr:uid="{C43642E2-1111-4D53-9EDF-96C85C6176C6}"/>
    <cellStyle name="_INAR_ENERO_25012008 (modif)_FCST Subsidy Handset 2010 (Mayo-Dic) 20100518 CT1000 $0 y CT500 $0-$699 v4 ER ejerc promo navidad (2) ej4 10" xfId="1580" xr:uid="{BA377896-3E2E-4A58-AA39-78533BACAA0A}"/>
    <cellStyle name="_INAR_ENERO_25012008 (modif)_FCST Subsidy Handset 2010 (Mayo-Dic) 20100518 CT1000 $0 y CT500 $0-$699 v4 ER ejerc promo navidad (2) ej4 11" xfId="1581" xr:uid="{6BA198D0-9529-4E67-A353-36E3F1273C76}"/>
    <cellStyle name="_INAR_ENERO_25012008 (modif)_FCST Subsidy Handset 2010 (Mayo-Dic) 20100518 CT1000 $0 y CT500 $0-$699 v4 ER ejerc promo navidad (2) ej4 12" xfId="1582" xr:uid="{41D18C02-2D83-4B86-A889-2F536FD64A41}"/>
    <cellStyle name="_INAR_ENERO_25012008 (modif)_FCST Subsidy Handset 2010 (Mayo-Dic) 20100518 CT1000 $0 y CT500 $0-$699 v4 ER ejerc promo navidad (2) ej4 13" xfId="1583" xr:uid="{FB67E20B-F2D4-435E-BB94-7C945567B4EE}"/>
    <cellStyle name="_INAR_ENERO_25012008 (modif)_FCST Subsidy Handset 2010 (Mayo-Dic) 20100518 CT1000 $0 y CT500 $0-$699 v4 ER ejerc promo navidad (2) ej4 14" xfId="1584" xr:uid="{D1826AF8-A50B-458E-8415-955A212FE5D3}"/>
    <cellStyle name="_INAR_ENERO_25012008 (modif)_FCST Subsidy Handset 2010 (Mayo-Dic) 20100518 CT1000 $0 y CT500 $0-$699 v4 ER ejerc promo navidad (2) ej4 2" xfId="1585" xr:uid="{B02B3309-7F3C-4982-BEEE-B1B02576FFF7}"/>
    <cellStyle name="_INAR_ENERO_25012008 (modif)_FCST Subsidy Handset 2010 (Mayo-Dic) 20100518 CT1000 $0 y CT500 $0-$699 v4 ER ejerc promo navidad (2) ej4 3" xfId="1586" xr:uid="{89A97CD3-A8E4-469A-8BBD-228C1098387B}"/>
    <cellStyle name="_INAR_ENERO_25012008 (modif)_FCST Subsidy Handset 2010 (Mayo-Dic) 20100518 CT1000 $0 y CT500 $0-$699 v4 ER ejerc promo navidad (2) ej4 4" xfId="1587" xr:uid="{975A07F3-F099-4801-8072-45BD6825C2C7}"/>
    <cellStyle name="_INAR_ENERO_25012008 (modif)_FCST Subsidy Handset 2010 (Mayo-Dic) 20100518 CT1000 $0 y CT500 $0-$699 v4 ER ejerc promo navidad (2) ej4 5" xfId="1588" xr:uid="{5A8507C2-F2ED-447F-9B3B-3D1A75EEFE2E}"/>
    <cellStyle name="_INAR_ENERO_25012008 (modif)_FCST Subsidy Handset 2010 (Mayo-Dic) 20100518 CT1000 $0 y CT500 $0-$699 v4 ER ejerc promo navidad (2) ej4 6" xfId="1589" xr:uid="{837C6F94-7D02-4E90-89EC-E8F092018F67}"/>
    <cellStyle name="_INAR_ENERO_25012008 (modif)_FCST Subsidy Handset 2010 (Mayo-Dic) 20100518 CT1000 $0 y CT500 $0-$699 v4 ER ejerc promo navidad (2) ej4 7" xfId="1590" xr:uid="{0EBEEAB0-DBF6-43F8-8C29-F02602B7A634}"/>
    <cellStyle name="_INAR_ENERO_25012008 (modif)_FCST Subsidy Handset 2010 (Mayo-Dic) 20100518 CT1000 $0 y CT500 $0-$699 v4 ER ejerc promo navidad (2) ej4 8" xfId="1591" xr:uid="{ACDAC13D-6C15-4ED3-A9C4-6F22D98E8EF5}"/>
    <cellStyle name="_INAR_ENERO_25012008 (modif)_FCST Subsidy Handset 2010 (Mayo-Dic) 20100518 CT1000 $0 y CT500 $0-$699 v4 ER ejerc promo navidad (2) ej4 9" xfId="1592" xr:uid="{5D0CB6BA-18BF-4F98-871F-06EEA574E164}"/>
    <cellStyle name="_INAR_ENERO_25012008 (modif)_Mix y ARP 2010 v2" xfId="1593" xr:uid="{D4796402-9D71-4670-8B55-19733F91F29E}"/>
    <cellStyle name="_INAR_ENERO_25012008 (modif)_Mix y ARP 2010 v2 10" xfId="1594" xr:uid="{E1E7CDBD-9271-472C-BFAD-EADA8CCB7051}"/>
    <cellStyle name="_INAR_ENERO_25012008 (modif)_Mix y ARP 2010 v2 11" xfId="1595" xr:uid="{13E1CCD8-E38F-405B-A7A7-6BEF3A909ECB}"/>
    <cellStyle name="_INAR_ENERO_25012008 (modif)_Mix y ARP 2010 v2 12" xfId="1596" xr:uid="{83D55A4E-65B9-47B0-BDB6-8075F4984678}"/>
    <cellStyle name="_INAR_ENERO_25012008 (modif)_Mix y ARP 2010 v2 13" xfId="1597" xr:uid="{31895E6C-8C1C-42A7-AEF5-33FDEC9969C2}"/>
    <cellStyle name="_INAR_ENERO_25012008 (modif)_Mix y ARP 2010 v2 14" xfId="1598" xr:uid="{9D37E79B-2C40-4C7C-BD26-402ED778C4DA}"/>
    <cellStyle name="_INAR_ENERO_25012008 (modif)_Mix y ARP 2010 v2 2" xfId="1599" xr:uid="{31B9BB81-146F-4782-B6F1-6EE0BA420728}"/>
    <cellStyle name="_INAR_ENERO_25012008 (modif)_Mix y ARP 2010 v2 3" xfId="1600" xr:uid="{E57EFF77-B3ED-4C39-B47C-3EDF885B58ED}"/>
    <cellStyle name="_INAR_ENERO_25012008 (modif)_Mix y ARP 2010 v2 4" xfId="1601" xr:uid="{85FACEB1-5E0D-4F1D-9016-8C8D0D0E6FAA}"/>
    <cellStyle name="_INAR_ENERO_25012008 (modif)_Mix y ARP 2010 v2 5" xfId="1602" xr:uid="{D3CC654D-D419-48DB-A502-5DD51EDB6891}"/>
    <cellStyle name="_INAR_ENERO_25012008 (modif)_Mix y ARP 2010 v2 6" xfId="1603" xr:uid="{540CC32D-4E8B-4770-899D-190F40B80508}"/>
    <cellStyle name="_INAR_ENERO_25012008 (modif)_Mix y ARP 2010 v2 7" xfId="1604" xr:uid="{115AAB6A-2ACE-4132-8E24-B9FAA2BD594A}"/>
    <cellStyle name="_INAR_ENERO_25012008 (modif)_Mix y ARP 2010 v2 8" xfId="1605" xr:uid="{058D45D8-E73A-4728-B205-5FD2EB1EA933}"/>
    <cellStyle name="_INAR_ENERO_25012008 (modif)_Mix y ARP 2010 v2 9" xfId="1606" xr:uid="{5D998007-1BBF-432A-A374-E9279E822B0A}"/>
    <cellStyle name="_INAR_ENERO_31012008 (modif)" xfId="1607" xr:uid="{D11789F6-587D-4DFB-9873-76BDE2C10357}"/>
    <cellStyle name="_INAR_ENERO_31012008 (modif)_FCST Subsidy Handset 2010 (Abril-Dic) 20100401v5 ejercicio A final envío con cierre (3) v 4" xfId="1608" xr:uid="{1C920ECF-9E7C-4190-8EB4-8C9838D37EEF}"/>
    <cellStyle name="_INAR_ENERO_31012008 (modif)_FCST Subsidy Handset 2010 (Abril-Dic) 20100401v5 ejercicio A final envío con cierre (3) v 4 10" xfId="1609" xr:uid="{18589948-38B0-4050-B358-54F41871FE5E}"/>
    <cellStyle name="_INAR_ENERO_31012008 (modif)_FCST Subsidy Handset 2010 (Abril-Dic) 20100401v5 ejercicio A final envío con cierre (3) v 4 11" xfId="1610" xr:uid="{CFDD4785-EFD7-438B-BA4C-7FBAD4AC2DCD}"/>
    <cellStyle name="_INAR_ENERO_31012008 (modif)_FCST Subsidy Handset 2010 (Abril-Dic) 20100401v5 ejercicio A final envío con cierre (3) v 4 12" xfId="1611" xr:uid="{FBCBD1BC-803F-4FF4-B9D4-31D2C8CBEE6F}"/>
    <cellStyle name="_INAR_ENERO_31012008 (modif)_FCST Subsidy Handset 2010 (Abril-Dic) 20100401v5 ejercicio A final envío con cierre (3) v 4 13" xfId="1612" xr:uid="{EF3FCA53-B710-4FE1-8595-1ECB7950B0CF}"/>
    <cellStyle name="_INAR_ENERO_31012008 (modif)_FCST Subsidy Handset 2010 (Abril-Dic) 20100401v5 ejercicio A final envío con cierre (3) v 4 14" xfId="1613" xr:uid="{5D4142C8-8B30-4B1A-A9DA-C87C65EAE973}"/>
    <cellStyle name="_INAR_ENERO_31012008 (modif)_FCST Subsidy Handset 2010 (Abril-Dic) 20100401v5 ejercicio A final envío con cierre (3) v 4 2" xfId="1614" xr:uid="{21895C04-BCDC-4A04-AACF-23E69A2CE29B}"/>
    <cellStyle name="_INAR_ENERO_31012008 (modif)_FCST Subsidy Handset 2010 (Abril-Dic) 20100401v5 ejercicio A final envío con cierre (3) v 4 3" xfId="1615" xr:uid="{F56FFE1B-9CFA-4A35-A07B-BF5BFD35986A}"/>
    <cellStyle name="_INAR_ENERO_31012008 (modif)_FCST Subsidy Handset 2010 (Abril-Dic) 20100401v5 ejercicio A final envío con cierre (3) v 4 4" xfId="1616" xr:uid="{AEB8DC69-4796-4F7A-9687-99F23958A25C}"/>
    <cellStyle name="_INAR_ENERO_31012008 (modif)_FCST Subsidy Handset 2010 (Abril-Dic) 20100401v5 ejercicio A final envío con cierre (3) v 4 5" xfId="1617" xr:uid="{D3A9808D-3A67-4D6A-923E-BD5D573F6AD8}"/>
    <cellStyle name="_INAR_ENERO_31012008 (modif)_FCST Subsidy Handset 2010 (Abril-Dic) 20100401v5 ejercicio A final envío con cierre (3) v 4 6" xfId="1618" xr:uid="{D26F08F2-A1EE-4742-8875-BB52D6721B32}"/>
    <cellStyle name="_INAR_ENERO_31012008 (modif)_FCST Subsidy Handset 2010 (Abril-Dic) 20100401v5 ejercicio A final envío con cierre (3) v 4 7" xfId="1619" xr:uid="{5C4A6454-5B10-4045-BA22-CF2AE11B9EA2}"/>
    <cellStyle name="_INAR_ENERO_31012008 (modif)_FCST Subsidy Handset 2010 (Abril-Dic) 20100401v5 ejercicio A final envío con cierre (3) v 4 8" xfId="1620" xr:uid="{1F5F18C0-9A7D-4E0F-AF23-6E8A464174B0}"/>
    <cellStyle name="_INAR_ENERO_31012008 (modif)_FCST Subsidy Handset 2010 (Abril-Dic) 20100401v5 ejercicio A final envío con cierre (3) v 4 9" xfId="1621" xr:uid="{60964EDA-7627-4573-9FA2-2F7FCF39FAA4}"/>
    <cellStyle name="_INAR_ENERO_31012008 (modif)_FCST Subsidy Handset 2010 (Mayo-Dic) 20100518 CT1000 $0 y CT500 $0-$699 v4 ER ejerc promo navidad (2) ej4" xfId="1622" xr:uid="{D70F883C-3B86-4BC3-9DF2-042087D48EC3}"/>
    <cellStyle name="_INAR_ENERO_31012008 (modif)_FCST Subsidy Handset 2010 (Mayo-Dic) 20100518 CT1000 $0 y CT500 $0-$699 v4 ER ejerc promo navidad (2) ej4 10" xfId="1623" xr:uid="{7B338CE6-B7E7-434E-BB53-10C25C5D0623}"/>
    <cellStyle name="_INAR_ENERO_31012008 (modif)_FCST Subsidy Handset 2010 (Mayo-Dic) 20100518 CT1000 $0 y CT500 $0-$699 v4 ER ejerc promo navidad (2) ej4 11" xfId="1624" xr:uid="{47E7C7D4-6C90-4465-9C14-C9F414EBDBEA}"/>
    <cellStyle name="_INAR_ENERO_31012008 (modif)_FCST Subsidy Handset 2010 (Mayo-Dic) 20100518 CT1000 $0 y CT500 $0-$699 v4 ER ejerc promo navidad (2) ej4 12" xfId="1625" xr:uid="{86F33497-3A87-4A83-9580-6DFF8C602958}"/>
    <cellStyle name="_INAR_ENERO_31012008 (modif)_FCST Subsidy Handset 2010 (Mayo-Dic) 20100518 CT1000 $0 y CT500 $0-$699 v4 ER ejerc promo navidad (2) ej4 13" xfId="1626" xr:uid="{D592F9C3-0CE2-4837-858F-1868EB969D54}"/>
    <cellStyle name="_INAR_ENERO_31012008 (modif)_FCST Subsidy Handset 2010 (Mayo-Dic) 20100518 CT1000 $0 y CT500 $0-$699 v4 ER ejerc promo navidad (2) ej4 14" xfId="1627" xr:uid="{B4DC3C42-FEEF-4C4D-8ED0-FBFDE6F25AD4}"/>
    <cellStyle name="_INAR_ENERO_31012008 (modif)_FCST Subsidy Handset 2010 (Mayo-Dic) 20100518 CT1000 $0 y CT500 $0-$699 v4 ER ejerc promo navidad (2) ej4 2" xfId="1628" xr:uid="{AD3B1917-59D1-412C-AA12-7F48DC4ECBF9}"/>
    <cellStyle name="_INAR_ENERO_31012008 (modif)_FCST Subsidy Handset 2010 (Mayo-Dic) 20100518 CT1000 $0 y CT500 $0-$699 v4 ER ejerc promo navidad (2) ej4 3" xfId="1629" xr:uid="{5B068430-F19C-4F4C-90A4-1003EE031EB0}"/>
    <cellStyle name="_INAR_ENERO_31012008 (modif)_FCST Subsidy Handset 2010 (Mayo-Dic) 20100518 CT1000 $0 y CT500 $0-$699 v4 ER ejerc promo navidad (2) ej4 4" xfId="1630" xr:uid="{18C87D6E-4BA4-43A0-84CD-81C72BA34ABC}"/>
    <cellStyle name="_INAR_ENERO_31012008 (modif)_FCST Subsidy Handset 2010 (Mayo-Dic) 20100518 CT1000 $0 y CT500 $0-$699 v4 ER ejerc promo navidad (2) ej4 5" xfId="1631" xr:uid="{41694267-0A00-469E-9A55-090BECC8CBA0}"/>
    <cellStyle name="_INAR_ENERO_31012008 (modif)_FCST Subsidy Handset 2010 (Mayo-Dic) 20100518 CT1000 $0 y CT500 $0-$699 v4 ER ejerc promo navidad (2) ej4 6" xfId="1632" xr:uid="{803ED590-57E0-44B1-A335-36F4C8382D55}"/>
    <cellStyle name="_INAR_ENERO_31012008 (modif)_FCST Subsidy Handset 2010 (Mayo-Dic) 20100518 CT1000 $0 y CT500 $0-$699 v4 ER ejerc promo navidad (2) ej4 7" xfId="1633" xr:uid="{6D1B3D30-F19A-49D4-ABCF-EF48CD8B2272}"/>
    <cellStyle name="_INAR_ENERO_31012008 (modif)_FCST Subsidy Handset 2010 (Mayo-Dic) 20100518 CT1000 $0 y CT500 $0-$699 v4 ER ejerc promo navidad (2) ej4 8" xfId="1634" xr:uid="{E5354FE3-669B-439A-85C1-E60D2BEA780C}"/>
    <cellStyle name="_INAR_ENERO_31012008 (modif)_FCST Subsidy Handset 2010 (Mayo-Dic) 20100518 CT1000 $0 y CT500 $0-$699 v4 ER ejerc promo navidad (2) ej4 9" xfId="1635" xr:uid="{C1C25597-D9BD-481E-8A9D-B21924BA96C2}"/>
    <cellStyle name="_INAR_ENERO_31012008 (modif)_Mix y ARP 2010 v2" xfId="1636" xr:uid="{24709550-1C29-4F17-B163-F4B2BDA1C2BE}"/>
    <cellStyle name="_INAR_ENERO_31012008 (modif)_Mix y ARP 2010 v2 10" xfId="1637" xr:uid="{5612A7BB-5B59-4023-9662-2197D3C4F8A7}"/>
    <cellStyle name="_INAR_ENERO_31012008 (modif)_Mix y ARP 2010 v2 11" xfId="1638" xr:uid="{8C798F4F-0FCB-458F-AFAA-EDF6EDC793E0}"/>
    <cellStyle name="_INAR_ENERO_31012008 (modif)_Mix y ARP 2010 v2 12" xfId="1639" xr:uid="{9C618B93-6AC2-480E-899A-05E795D7DAB9}"/>
    <cellStyle name="_INAR_ENERO_31012008 (modif)_Mix y ARP 2010 v2 13" xfId="1640" xr:uid="{A766B8CA-2E5D-4795-8F92-8AEC1EFC8009}"/>
    <cellStyle name="_INAR_ENERO_31012008 (modif)_Mix y ARP 2010 v2 14" xfId="1641" xr:uid="{5BDCB499-01D5-4E8C-91DE-6B779618EA2B}"/>
    <cellStyle name="_INAR_ENERO_31012008 (modif)_Mix y ARP 2010 v2 2" xfId="1642" xr:uid="{6C565AC3-E0D1-400E-86E4-EBCF20CB9E62}"/>
    <cellStyle name="_INAR_ENERO_31012008 (modif)_Mix y ARP 2010 v2 3" xfId="1643" xr:uid="{2F948CF8-5038-49A5-AA31-26C971C83966}"/>
    <cellStyle name="_INAR_ENERO_31012008 (modif)_Mix y ARP 2010 v2 4" xfId="1644" xr:uid="{17676B7F-D97D-4C67-A984-7E5A016467CF}"/>
    <cellStyle name="_INAR_ENERO_31012008 (modif)_Mix y ARP 2010 v2 5" xfId="1645" xr:uid="{ACB6D907-5528-441A-B738-5ADF233C66DC}"/>
    <cellStyle name="_INAR_ENERO_31012008 (modif)_Mix y ARP 2010 v2 6" xfId="1646" xr:uid="{6193B709-651B-46D3-B1E3-767D4BD7623F}"/>
    <cellStyle name="_INAR_ENERO_31012008 (modif)_Mix y ARP 2010 v2 7" xfId="1647" xr:uid="{10CACA99-7C81-49D9-95D7-BE63A7AD5CBD}"/>
    <cellStyle name="_INAR_ENERO_31012008 (modif)_Mix y ARP 2010 v2 8" xfId="1648" xr:uid="{AAB153BF-A0AB-40C6-9707-D42E5BAAE296}"/>
    <cellStyle name="_INAR_ENERO_31012008 (modif)_Mix y ARP 2010 v2 9" xfId="1649" xr:uid="{8A805B69-1666-45F1-B0DB-DEDB5A01AF48}"/>
    <cellStyle name="_INAR_FEBRERO_08022008" xfId="1650" xr:uid="{49394319-4322-49A4-BFA7-307650C582D1}"/>
    <cellStyle name="_INAR_FEBRERO_08022008_FCST Subsidy Handset 2010 (Abril-Dic) 20100401v5 ejercicio A final envío con cierre (3) v 4" xfId="1651" xr:uid="{8AB82A8B-0EB7-42DD-83B3-F9716747F6FA}"/>
    <cellStyle name="_INAR_FEBRERO_08022008_FCST Subsidy Handset 2010 (Abril-Dic) 20100401v5 ejercicio A final envío con cierre (3) v 4 10" xfId="1652" xr:uid="{253D5813-8E87-4150-A02C-C59ACF5A6698}"/>
    <cellStyle name="_INAR_FEBRERO_08022008_FCST Subsidy Handset 2010 (Abril-Dic) 20100401v5 ejercicio A final envío con cierre (3) v 4 11" xfId="1653" xr:uid="{085E6D40-34BD-47F1-ACE7-A0415D75B317}"/>
    <cellStyle name="_INAR_FEBRERO_08022008_FCST Subsidy Handset 2010 (Abril-Dic) 20100401v5 ejercicio A final envío con cierre (3) v 4 12" xfId="1654" xr:uid="{8F56CAC8-19C6-47AD-A634-C7F270F3BA91}"/>
    <cellStyle name="_INAR_FEBRERO_08022008_FCST Subsidy Handset 2010 (Abril-Dic) 20100401v5 ejercicio A final envío con cierre (3) v 4 13" xfId="1655" xr:uid="{C3F88D5C-F9BA-4162-9497-F42A806518B9}"/>
    <cellStyle name="_INAR_FEBRERO_08022008_FCST Subsidy Handset 2010 (Abril-Dic) 20100401v5 ejercicio A final envío con cierre (3) v 4 14" xfId="1656" xr:uid="{C85F8BA9-1E71-4370-919A-F83362DD26CB}"/>
    <cellStyle name="_INAR_FEBRERO_08022008_FCST Subsidy Handset 2010 (Abril-Dic) 20100401v5 ejercicio A final envío con cierre (3) v 4 2" xfId="1657" xr:uid="{82AA8D39-A445-4E81-BA72-102669AD9FD7}"/>
    <cellStyle name="_INAR_FEBRERO_08022008_FCST Subsidy Handset 2010 (Abril-Dic) 20100401v5 ejercicio A final envío con cierre (3) v 4 3" xfId="1658" xr:uid="{E550B1BB-FC8A-4932-A836-B383072B0721}"/>
    <cellStyle name="_INAR_FEBRERO_08022008_FCST Subsidy Handset 2010 (Abril-Dic) 20100401v5 ejercicio A final envío con cierre (3) v 4 4" xfId="1659" xr:uid="{F3D72E6F-CD20-494B-9A45-9517802F48FF}"/>
    <cellStyle name="_INAR_FEBRERO_08022008_FCST Subsidy Handset 2010 (Abril-Dic) 20100401v5 ejercicio A final envío con cierre (3) v 4 5" xfId="1660" xr:uid="{DBCD2A0C-FA08-4C50-BD8E-A081CAC96A7A}"/>
    <cellStyle name="_INAR_FEBRERO_08022008_FCST Subsidy Handset 2010 (Abril-Dic) 20100401v5 ejercicio A final envío con cierre (3) v 4 6" xfId="1661" xr:uid="{B95BDF34-748C-466C-8688-681316492148}"/>
    <cellStyle name="_INAR_FEBRERO_08022008_FCST Subsidy Handset 2010 (Abril-Dic) 20100401v5 ejercicio A final envío con cierre (3) v 4 7" xfId="1662" xr:uid="{C4596E11-4F63-42ED-83DE-43EA0C768F29}"/>
    <cellStyle name="_INAR_FEBRERO_08022008_FCST Subsidy Handset 2010 (Abril-Dic) 20100401v5 ejercicio A final envío con cierre (3) v 4 8" xfId="1663" xr:uid="{BF96E722-A31D-4657-9054-1B8580797FE9}"/>
    <cellStyle name="_INAR_FEBRERO_08022008_FCST Subsidy Handset 2010 (Abril-Dic) 20100401v5 ejercicio A final envío con cierre (3) v 4 9" xfId="1664" xr:uid="{BA9B8D74-6CD8-4E8E-91C7-D86AB77077B0}"/>
    <cellStyle name="_INAR_FEBRERO_08022008_FCST Subsidy Handset 2010 (Mayo-Dic) 20100518 CT1000 $0 y CT500 $0-$699 v4 ER ejerc promo navidad (2) ej4" xfId="1665" xr:uid="{8B608F39-558B-48E3-9983-71D2F7A9877A}"/>
    <cellStyle name="_INAR_FEBRERO_08022008_FCST Subsidy Handset 2010 (Mayo-Dic) 20100518 CT1000 $0 y CT500 $0-$699 v4 ER ejerc promo navidad (2) ej4 10" xfId="1666" xr:uid="{1C69256A-7F50-4B60-B08E-951A4600493B}"/>
    <cellStyle name="_INAR_FEBRERO_08022008_FCST Subsidy Handset 2010 (Mayo-Dic) 20100518 CT1000 $0 y CT500 $0-$699 v4 ER ejerc promo navidad (2) ej4 11" xfId="1667" xr:uid="{6CDD71D2-8A20-4F41-B11D-42EA5015E37D}"/>
    <cellStyle name="_INAR_FEBRERO_08022008_FCST Subsidy Handset 2010 (Mayo-Dic) 20100518 CT1000 $0 y CT500 $0-$699 v4 ER ejerc promo navidad (2) ej4 12" xfId="1668" xr:uid="{AFC06DB5-9B3F-4E8A-B714-95AE5E3C10DA}"/>
    <cellStyle name="_INAR_FEBRERO_08022008_FCST Subsidy Handset 2010 (Mayo-Dic) 20100518 CT1000 $0 y CT500 $0-$699 v4 ER ejerc promo navidad (2) ej4 13" xfId="1669" xr:uid="{840DCE84-45EE-4BD6-8EB9-055BC305B6AC}"/>
    <cellStyle name="_INAR_FEBRERO_08022008_FCST Subsidy Handset 2010 (Mayo-Dic) 20100518 CT1000 $0 y CT500 $0-$699 v4 ER ejerc promo navidad (2) ej4 14" xfId="1670" xr:uid="{C4A22F1E-28D9-4229-A276-D97AD9B5B401}"/>
    <cellStyle name="_INAR_FEBRERO_08022008_FCST Subsidy Handset 2010 (Mayo-Dic) 20100518 CT1000 $0 y CT500 $0-$699 v4 ER ejerc promo navidad (2) ej4 2" xfId="1671" xr:uid="{3BFC018C-9C71-4B57-A9A2-02A1D2F7C878}"/>
    <cellStyle name="_INAR_FEBRERO_08022008_FCST Subsidy Handset 2010 (Mayo-Dic) 20100518 CT1000 $0 y CT500 $0-$699 v4 ER ejerc promo navidad (2) ej4 3" xfId="1672" xr:uid="{821353AD-4A3B-4D69-AF44-0FA2BCA44B7B}"/>
    <cellStyle name="_INAR_FEBRERO_08022008_FCST Subsidy Handset 2010 (Mayo-Dic) 20100518 CT1000 $0 y CT500 $0-$699 v4 ER ejerc promo navidad (2) ej4 4" xfId="1673" xr:uid="{61ED3883-C6B0-4B87-A21C-3F1EE3F8C706}"/>
    <cellStyle name="_INAR_FEBRERO_08022008_FCST Subsidy Handset 2010 (Mayo-Dic) 20100518 CT1000 $0 y CT500 $0-$699 v4 ER ejerc promo navidad (2) ej4 5" xfId="1674" xr:uid="{70336593-4AAC-4D96-9AE7-B97E30ADF563}"/>
    <cellStyle name="_INAR_FEBRERO_08022008_FCST Subsidy Handset 2010 (Mayo-Dic) 20100518 CT1000 $0 y CT500 $0-$699 v4 ER ejerc promo navidad (2) ej4 6" xfId="1675" xr:uid="{6B065ED0-1491-4382-B466-B2679396F347}"/>
    <cellStyle name="_INAR_FEBRERO_08022008_FCST Subsidy Handset 2010 (Mayo-Dic) 20100518 CT1000 $0 y CT500 $0-$699 v4 ER ejerc promo navidad (2) ej4 7" xfId="1676" xr:uid="{547679EC-6B43-4DDA-98F0-3CEB68492EBA}"/>
    <cellStyle name="_INAR_FEBRERO_08022008_FCST Subsidy Handset 2010 (Mayo-Dic) 20100518 CT1000 $0 y CT500 $0-$699 v4 ER ejerc promo navidad (2) ej4 8" xfId="1677" xr:uid="{82DC9E31-AD27-4437-9DBF-C1DA9EB9EE71}"/>
    <cellStyle name="_INAR_FEBRERO_08022008_FCST Subsidy Handset 2010 (Mayo-Dic) 20100518 CT1000 $0 y CT500 $0-$699 v4 ER ejerc promo navidad (2) ej4 9" xfId="1678" xr:uid="{16FCDDA4-4D89-4E8B-B111-E81CB6639130}"/>
    <cellStyle name="_INAR_FEBRERO_08022008_Mix y ARP 2010 v2" xfId="1679" xr:uid="{AD9A27B2-4425-45FB-AB8B-6CC697BBDF28}"/>
    <cellStyle name="_INAR_FEBRERO_08022008_Mix y ARP 2010 v2 10" xfId="1680" xr:uid="{615BBEFF-AA70-41E0-8D34-A7C2997268CA}"/>
    <cellStyle name="_INAR_FEBRERO_08022008_Mix y ARP 2010 v2 11" xfId="1681" xr:uid="{FB61EABF-B105-4E53-B13E-840C25340675}"/>
    <cellStyle name="_INAR_FEBRERO_08022008_Mix y ARP 2010 v2 12" xfId="1682" xr:uid="{6A2C9461-196E-45F0-A7CC-8EEFB554EB31}"/>
    <cellStyle name="_INAR_FEBRERO_08022008_Mix y ARP 2010 v2 13" xfId="1683" xr:uid="{473A23ED-F9E7-477B-B002-957F942EAAB8}"/>
    <cellStyle name="_INAR_FEBRERO_08022008_Mix y ARP 2010 v2 14" xfId="1684" xr:uid="{325269BF-350B-48DD-8E3F-193F07D717D6}"/>
    <cellStyle name="_INAR_FEBRERO_08022008_Mix y ARP 2010 v2 2" xfId="1685" xr:uid="{D9358A43-F6B7-40B2-BB30-156554B5C2EC}"/>
    <cellStyle name="_INAR_FEBRERO_08022008_Mix y ARP 2010 v2 3" xfId="1686" xr:uid="{112115C7-C083-4A3D-9856-F6C6E4C9ACA6}"/>
    <cellStyle name="_INAR_FEBRERO_08022008_Mix y ARP 2010 v2 4" xfId="1687" xr:uid="{BDFAA8DC-998E-453D-83DD-925FF9DE4B8A}"/>
    <cellStyle name="_INAR_FEBRERO_08022008_Mix y ARP 2010 v2 5" xfId="1688" xr:uid="{7048E682-5FE7-477A-805E-E907CC2781EC}"/>
    <cellStyle name="_INAR_FEBRERO_08022008_Mix y ARP 2010 v2 6" xfId="1689" xr:uid="{29C939F8-DA30-4043-9F3D-42DEF42B1BF0}"/>
    <cellStyle name="_INAR_FEBRERO_08022008_Mix y ARP 2010 v2 7" xfId="1690" xr:uid="{54C221C3-1D92-4BD5-8D14-879191BC64FA}"/>
    <cellStyle name="_INAR_FEBRERO_08022008_Mix y ARP 2010 v2 8" xfId="1691" xr:uid="{A7E77339-83EB-4702-9DF1-C2A0DB3C5846}"/>
    <cellStyle name="_INAR_FEBRERO_08022008_Mix y ARP 2010 v2 9" xfId="1692" xr:uid="{4F80F74D-B8DE-4B39-BE7D-8BD6A9AADE85}"/>
    <cellStyle name="_INAR_FEBRERO_11022008" xfId="1693" xr:uid="{BDA1192F-60B8-4482-8EC7-B2DB92E1AFB0}"/>
    <cellStyle name="_INAR_FEBRERO_11022008_FCST Subsidy Handset 2010 (Abril-Dic) 20100401v5 ejercicio A final envío con cierre (3) v 4" xfId="1694" xr:uid="{8C2B7FDF-DC8A-4059-B259-EB3BA328A400}"/>
    <cellStyle name="_INAR_FEBRERO_11022008_FCST Subsidy Handset 2010 (Abril-Dic) 20100401v5 ejercicio A final envío con cierre (3) v 4 10" xfId="1695" xr:uid="{BBEB67CD-AA1E-4352-BF1E-6CB37BA0176D}"/>
    <cellStyle name="_INAR_FEBRERO_11022008_FCST Subsidy Handset 2010 (Abril-Dic) 20100401v5 ejercicio A final envío con cierre (3) v 4 11" xfId="1696" xr:uid="{4D0D9223-C86C-4C48-86B4-93B485FB9154}"/>
    <cellStyle name="_INAR_FEBRERO_11022008_FCST Subsidy Handset 2010 (Abril-Dic) 20100401v5 ejercicio A final envío con cierre (3) v 4 12" xfId="1697" xr:uid="{87F775FC-97DA-413A-BD26-6007EA80D364}"/>
    <cellStyle name="_INAR_FEBRERO_11022008_FCST Subsidy Handset 2010 (Abril-Dic) 20100401v5 ejercicio A final envío con cierre (3) v 4 13" xfId="1698" xr:uid="{2FE00C65-698D-4458-B5B3-5B715F891C23}"/>
    <cellStyle name="_INAR_FEBRERO_11022008_FCST Subsidy Handset 2010 (Abril-Dic) 20100401v5 ejercicio A final envío con cierre (3) v 4 14" xfId="1699" xr:uid="{83AB3048-3DD8-4334-BBAE-9928733CAD24}"/>
    <cellStyle name="_INAR_FEBRERO_11022008_FCST Subsidy Handset 2010 (Abril-Dic) 20100401v5 ejercicio A final envío con cierre (3) v 4 2" xfId="1700" xr:uid="{53AD2526-4AA6-4BE7-95D6-053365811BCD}"/>
    <cellStyle name="_INAR_FEBRERO_11022008_FCST Subsidy Handset 2010 (Abril-Dic) 20100401v5 ejercicio A final envío con cierre (3) v 4 3" xfId="1701" xr:uid="{4425D9C4-D8D7-4D90-97C1-0403AFB23FAD}"/>
    <cellStyle name="_INAR_FEBRERO_11022008_FCST Subsidy Handset 2010 (Abril-Dic) 20100401v5 ejercicio A final envío con cierre (3) v 4 4" xfId="1702" xr:uid="{88E3A2C9-47F4-4045-8108-E7B11C031916}"/>
    <cellStyle name="_INAR_FEBRERO_11022008_FCST Subsidy Handset 2010 (Abril-Dic) 20100401v5 ejercicio A final envío con cierre (3) v 4 5" xfId="1703" xr:uid="{84ECD7B9-A4F6-4DE1-B52E-6D11849D5411}"/>
    <cellStyle name="_INAR_FEBRERO_11022008_FCST Subsidy Handset 2010 (Abril-Dic) 20100401v5 ejercicio A final envío con cierre (3) v 4 6" xfId="1704" xr:uid="{AA655039-7546-403C-993F-EE0DA38C9FAC}"/>
    <cellStyle name="_INAR_FEBRERO_11022008_FCST Subsidy Handset 2010 (Abril-Dic) 20100401v5 ejercicio A final envío con cierre (3) v 4 7" xfId="1705" xr:uid="{491C2D19-8FB5-44BC-A629-4120F121185F}"/>
    <cellStyle name="_INAR_FEBRERO_11022008_FCST Subsidy Handset 2010 (Abril-Dic) 20100401v5 ejercicio A final envío con cierre (3) v 4 8" xfId="1706" xr:uid="{44639297-A253-44B8-9253-D3D5F4191033}"/>
    <cellStyle name="_INAR_FEBRERO_11022008_FCST Subsidy Handset 2010 (Abril-Dic) 20100401v5 ejercicio A final envío con cierre (3) v 4 9" xfId="1707" xr:uid="{822747BA-4A67-40B0-BF02-FFB82598825D}"/>
    <cellStyle name="_INAR_FEBRERO_11022008_FCST Subsidy Handset 2010 (Mayo-Dic) 20100518 CT1000 $0 y CT500 $0-$699 v4 ER ejerc promo navidad (2) ej4" xfId="1708" xr:uid="{C753E9DD-B8E4-40E7-BE29-EED469499019}"/>
    <cellStyle name="_INAR_FEBRERO_11022008_FCST Subsidy Handset 2010 (Mayo-Dic) 20100518 CT1000 $0 y CT500 $0-$699 v4 ER ejerc promo navidad (2) ej4 10" xfId="1709" xr:uid="{BD88F28F-0A73-4D81-9E43-1FCC2F31328B}"/>
    <cellStyle name="_INAR_FEBRERO_11022008_FCST Subsidy Handset 2010 (Mayo-Dic) 20100518 CT1000 $0 y CT500 $0-$699 v4 ER ejerc promo navidad (2) ej4 11" xfId="1710" xr:uid="{0B4D6680-37DB-4363-AA25-8D2EEB3A02DE}"/>
    <cellStyle name="_INAR_FEBRERO_11022008_FCST Subsidy Handset 2010 (Mayo-Dic) 20100518 CT1000 $0 y CT500 $0-$699 v4 ER ejerc promo navidad (2) ej4 12" xfId="1711" xr:uid="{CD6CA4B1-67C8-4A27-B5BC-5C16F00CF1C9}"/>
    <cellStyle name="_INAR_FEBRERO_11022008_FCST Subsidy Handset 2010 (Mayo-Dic) 20100518 CT1000 $0 y CT500 $0-$699 v4 ER ejerc promo navidad (2) ej4 13" xfId="1712" xr:uid="{3472F0CE-2B12-465F-9B27-3B0754975FB1}"/>
    <cellStyle name="_INAR_FEBRERO_11022008_FCST Subsidy Handset 2010 (Mayo-Dic) 20100518 CT1000 $0 y CT500 $0-$699 v4 ER ejerc promo navidad (2) ej4 14" xfId="1713" xr:uid="{AAF74D63-22D6-4460-88B7-C96F33C259BF}"/>
    <cellStyle name="_INAR_FEBRERO_11022008_FCST Subsidy Handset 2010 (Mayo-Dic) 20100518 CT1000 $0 y CT500 $0-$699 v4 ER ejerc promo navidad (2) ej4 2" xfId="1714" xr:uid="{58B43191-9F7A-4301-BE67-EEAFB3812DE1}"/>
    <cellStyle name="_INAR_FEBRERO_11022008_FCST Subsidy Handset 2010 (Mayo-Dic) 20100518 CT1000 $0 y CT500 $0-$699 v4 ER ejerc promo navidad (2) ej4 3" xfId="1715" xr:uid="{2C1B347C-14FC-41F0-8454-A9EFD2C1488A}"/>
    <cellStyle name="_INAR_FEBRERO_11022008_FCST Subsidy Handset 2010 (Mayo-Dic) 20100518 CT1000 $0 y CT500 $0-$699 v4 ER ejerc promo navidad (2) ej4 4" xfId="1716" xr:uid="{04882AC8-8EC6-49E0-A577-AB071FA76DBD}"/>
    <cellStyle name="_INAR_FEBRERO_11022008_FCST Subsidy Handset 2010 (Mayo-Dic) 20100518 CT1000 $0 y CT500 $0-$699 v4 ER ejerc promo navidad (2) ej4 5" xfId="1717" xr:uid="{5C250B7C-2EE7-4AC0-823A-3F195FF727B2}"/>
    <cellStyle name="_INAR_FEBRERO_11022008_FCST Subsidy Handset 2010 (Mayo-Dic) 20100518 CT1000 $0 y CT500 $0-$699 v4 ER ejerc promo navidad (2) ej4 6" xfId="1718" xr:uid="{CFA8A9DC-9E38-4650-9251-96E03CE77187}"/>
    <cellStyle name="_INAR_FEBRERO_11022008_FCST Subsidy Handset 2010 (Mayo-Dic) 20100518 CT1000 $0 y CT500 $0-$699 v4 ER ejerc promo navidad (2) ej4 7" xfId="1719" xr:uid="{9AAF9C71-EEC0-4A86-B7F4-9C1ADA92E867}"/>
    <cellStyle name="_INAR_FEBRERO_11022008_FCST Subsidy Handset 2010 (Mayo-Dic) 20100518 CT1000 $0 y CT500 $0-$699 v4 ER ejerc promo navidad (2) ej4 8" xfId="1720" xr:uid="{A082BFC6-2817-4CDB-9AC4-2B6212D92C54}"/>
    <cellStyle name="_INAR_FEBRERO_11022008_FCST Subsidy Handset 2010 (Mayo-Dic) 20100518 CT1000 $0 y CT500 $0-$699 v4 ER ejerc promo navidad (2) ej4 9" xfId="1721" xr:uid="{E858DCAD-F11F-4EA2-9937-2D4152AAABB1}"/>
    <cellStyle name="_INAR_FEBRERO_11022008_Mix y ARP 2010 v2" xfId="1722" xr:uid="{1D03C8FA-DC5F-43F6-93B0-DAE36A3D0306}"/>
    <cellStyle name="_INAR_FEBRERO_11022008_Mix y ARP 2010 v2 10" xfId="1723" xr:uid="{24CEF0C2-F222-485A-B462-7AEB6849F01E}"/>
    <cellStyle name="_INAR_FEBRERO_11022008_Mix y ARP 2010 v2 11" xfId="1724" xr:uid="{3649602E-07C6-44C8-BB8E-6BC4FD7D6D4C}"/>
    <cellStyle name="_INAR_FEBRERO_11022008_Mix y ARP 2010 v2 12" xfId="1725" xr:uid="{B879F816-F475-4B7D-9515-5EF98E7A079E}"/>
    <cellStyle name="_INAR_FEBRERO_11022008_Mix y ARP 2010 v2 13" xfId="1726" xr:uid="{46776C45-82B8-468E-87B1-3C405A521C27}"/>
    <cellStyle name="_INAR_FEBRERO_11022008_Mix y ARP 2010 v2 14" xfId="1727" xr:uid="{56E21ED2-1E4B-48AC-BC41-B6518D40E241}"/>
    <cellStyle name="_INAR_FEBRERO_11022008_Mix y ARP 2010 v2 2" xfId="1728" xr:uid="{824E551D-8F5D-483A-B351-26E12896C031}"/>
    <cellStyle name="_INAR_FEBRERO_11022008_Mix y ARP 2010 v2 3" xfId="1729" xr:uid="{92F593F4-6DC9-4528-85C0-C255199A421F}"/>
    <cellStyle name="_INAR_FEBRERO_11022008_Mix y ARP 2010 v2 4" xfId="1730" xr:uid="{5226CD9E-7C9C-4DDA-80F9-467CFDD3D15D}"/>
    <cellStyle name="_INAR_FEBRERO_11022008_Mix y ARP 2010 v2 5" xfId="1731" xr:uid="{7F8EBC75-F952-482B-8060-A355375CE6A1}"/>
    <cellStyle name="_INAR_FEBRERO_11022008_Mix y ARP 2010 v2 6" xfId="1732" xr:uid="{6F2676C5-0015-4160-B754-B2934A10BEF4}"/>
    <cellStyle name="_INAR_FEBRERO_11022008_Mix y ARP 2010 v2 7" xfId="1733" xr:uid="{16936948-0F34-4AEF-9E0B-DB5C07D4114A}"/>
    <cellStyle name="_INAR_FEBRERO_11022008_Mix y ARP 2010 v2 8" xfId="1734" xr:uid="{2B8A88E1-703E-4402-BD78-E2EDB01114DC}"/>
    <cellStyle name="_INAR_FEBRERO_11022008_Mix y ARP 2010 v2 9" xfId="1735" xr:uid="{70EF4E02-7FB6-44D3-830C-F01E4B105E37}"/>
    <cellStyle name="_INAR_FEBRERO_12022008 (modif)" xfId="1736" xr:uid="{F833DB51-E89C-4F89-8617-27370B86E0CF}"/>
    <cellStyle name="_INAR_FEBRERO_12022008 (modif)_FCST Subsidy Handset 2010 (Abril-Dic) 20100401v5 ejercicio A final envío con cierre (3) v 4" xfId="1737" xr:uid="{7AD93A6C-9828-456D-9E9C-48DB50167E10}"/>
    <cellStyle name="_INAR_FEBRERO_12022008 (modif)_FCST Subsidy Handset 2010 (Abril-Dic) 20100401v5 ejercicio A final envío con cierre (3) v 4 10" xfId="1738" xr:uid="{DFD999CE-50F1-4262-A125-20ADC4E08AFC}"/>
    <cellStyle name="_INAR_FEBRERO_12022008 (modif)_FCST Subsidy Handset 2010 (Abril-Dic) 20100401v5 ejercicio A final envío con cierre (3) v 4 11" xfId="1739" xr:uid="{FE44C53A-F344-4AB8-AC8C-479F8834F14D}"/>
    <cellStyle name="_INAR_FEBRERO_12022008 (modif)_FCST Subsidy Handset 2010 (Abril-Dic) 20100401v5 ejercicio A final envío con cierre (3) v 4 12" xfId="1740" xr:uid="{A6FD08F7-AAF4-4473-BA5D-3443BBED450B}"/>
    <cellStyle name="_INAR_FEBRERO_12022008 (modif)_FCST Subsidy Handset 2010 (Abril-Dic) 20100401v5 ejercicio A final envío con cierre (3) v 4 13" xfId="1741" xr:uid="{C04EEDBC-0E3A-4210-BF1A-26C2D602611E}"/>
    <cellStyle name="_INAR_FEBRERO_12022008 (modif)_FCST Subsidy Handset 2010 (Abril-Dic) 20100401v5 ejercicio A final envío con cierre (3) v 4 14" xfId="1742" xr:uid="{8EE79D53-F8DA-4F56-A890-17E149872704}"/>
    <cellStyle name="_INAR_FEBRERO_12022008 (modif)_FCST Subsidy Handset 2010 (Abril-Dic) 20100401v5 ejercicio A final envío con cierre (3) v 4 2" xfId="1743" xr:uid="{06FD0F6C-0746-4FE7-BE6F-9BA429FB0004}"/>
    <cellStyle name="_INAR_FEBRERO_12022008 (modif)_FCST Subsidy Handset 2010 (Abril-Dic) 20100401v5 ejercicio A final envío con cierre (3) v 4 3" xfId="1744" xr:uid="{822A02D9-7963-4857-B666-FA10DB53DD41}"/>
    <cellStyle name="_INAR_FEBRERO_12022008 (modif)_FCST Subsidy Handset 2010 (Abril-Dic) 20100401v5 ejercicio A final envío con cierre (3) v 4 4" xfId="1745" xr:uid="{43024281-ED3B-4DCF-B3E7-A063248C9A1E}"/>
    <cellStyle name="_INAR_FEBRERO_12022008 (modif)_FCST Subsidy Handset 2010 (Abril-Dic) 20100401v5 ejercicio A final envío con cierre (3) v 4 5" xfId="1746" xr:uid="{ECC041B0-2638-421C-91AB-8648C9E06019}"/>
    <cellStyle name="_INAR_FEBRERO_12022008 (modif)_FCST Subsidy Handset 2010 (Abril-Dic) 20100401v5 ejercicio A final envío con cierre (3) v 4 6" xfId="1747" xr:uid="{C2A3B027-4F59-49F4-A55D-A803A6E970DA}"/>
    <cellStyle name="_INAR_FEBRERO_12022008 (modif)_FCST Subsidy Handset 2010 (Abril-Dic) 20100401v5 ejercicio A final envío con cierre (3) v 4 7" xfId="1748" xr:uid="{8F6EB0DF-004D-444E-9B8A-959A88250050}"/>
    <cellStyle name="_INAR_FEBRERO_12022008 (modif)_FCST Subsidy Handset 2010 (Abril-Dic) 20100401v5 ejercicio A final envío con cierre (3) v 4 8" xfId="1749" xr:uid="{0474D3F9-11C6-46FD-B0B3-056D6AEB33CB}"/>
    <cellStyle name="_INAR_FEBRERO_12022008 (modif)_FCST Subsidy Handset 2010 (Abril-Dic) 20100401v5 ejercicio A final envío con cierre (3) v 4 9" xfId="1750" xr:uid="{7FC30602-425D-41B8-B40D-A983B1FE1021}"/>
    <cellStyle name="_INAR_FEBRERO_12022008 (modif)_FCST Subsidy Handset 2010 (Mayo-Dic) 20100518 CT1000 $0 y CT500 $0-$699 v4 ER ejerc promo navidad (2) ej4" xfId="1751" xr:uid="{FADA70C6-1CF8-48B3-BAC3-C948B8E73493}"/>
    <cellStyle name="_INAR_FEBRERO_12022008 (modif)_FCST Subsidy Handset 2010 (Mayo-Dic) 20100518 CT1000 $0 y CT500 $0-$699 v4 ER ejerc promo navidad (2) ej4 10" xfId="1752" xr:uid="{32F3EBD7-7EF5-44B8-A176-4EA85DF808F3}"/>
    <cellStyle name="_INAR_FEBRERO_12022008 (modif)_FCST Subsidy Handset 2010 (Mayo-Dic) 20100518 CT1000 $0 y CT500 $0-$699 v4 ER ejerc promo navidad (2) ej4 11" xfId="1753" xr:uid="{DCA5572B-C64C-4D33-ACB3-C816F96EB6F6}"/>
    <cellStyle name="_INAR_FEBRERO_12022008 (modif)_FCST Subsidy Handset 2010 (Mayo-Dic) 20100518 CT1000 $0 y CT500 $0-$699 v4 ER ejerc promo navidad (2) ej4 12" xfId="1754" xr:uid="{4A3C705B-818C-4791-AF23-EBF293A311CF}"/>
    <cellStyle name="_INAR_FEBRERO_12022008 (modif)_FCST Subsidy Handset 2010 (Mayo-Dic) 20100518 CT1000 $0 y CT500 $0-$699 v4 ER ejerc promo navidad (2) ej4 13" xfId="1755" xr:uid="{7100559F-4B7C-47CE-8104-83BBD822D035}"/>
    <cellStyle name="_INAR_FEBRERO_12022008 (modif)_FCST Subsidy Handset 2010 (Mayo-Dic) 20100518 CT1000 $0 y CT500 $0-$699 v4 ER ejerc promo navidad (2) ej4 14" xfId="1756" xr:uid="{D576EAC5-A0A8-4B3D-ABD2-3A87FA493272}"/>
    <cellStyle name="_INAR_FEBRERO_12022008 (modif)_FCST Subsidy Handset 2010 (Mayo-Dic) 20100518 CT1000 $0 y CT500 $0-$699 v4 ER ejerc promo navidad (2) ej4 2" xfId="1757" xr:uid="{96696808-780A-43A8-8C61-0AC5875901DE}"/>
    <cellStyle name="_INAR_FEBRERO_12022008 (modif)_FCST Subsidy Handset 2010 (Mayo-Dic) 20100518 CT1000 $0 y CT500 $0-$699 v4 ER ejerc promo navidad (2) ej4 3" xfId="1758" xr:uid="{2AFB56D7-BCE5-4766-8A41-8C50309C3840}"/>
    <cellStyle name="_INAR_FEBRERO_12022008 (modif)_FCST Subsidy Handset 2010 (Mayo-Dic) 20100518 CT1000 $0 y CT500 $0-$699 v4 ER ejerc promo navidad (2) ej4 4" xfId="1759" xr:uid="{AD452466-8CC2-42B8-9584-D69F744DCE2B}"/>
    <cellStyle name="_INAR_FEBRERO_12022008 (modif)_FCST Subsidy Handset 2010 (Mayo-Dic) 20100518 CT1000 $0 y CT500 $0-$699 v4 ER ejerc promo navidad (2) ej4 5" xfId="1760" xr:uid="{3A7D6272-59E9-4302-9983-34BDA9C873EE}"/>
    <cellStyle name="_INAR_FEBRERO_12022008 (modif)_FCST Subsidy Handset 2010 (Mayo-Dic) 20100518 CT1000 $0 y CT500 $0-$699 v4 ER ejerc promo navidad (2) ej4 6" xfId="1761" xr:uid="{1056A74C-A312-4141-9665-4221379CAC88}"/>
    <cellStyle name="_INAR_FEBRERO_12022008 (modif)_FCST Subsidy Handset 2010 (Mayo-Dic) 20100518 CT1000 $0 y CT500 $0-$699 v4 ER ejerc promo navidad (2) ej4 7" xfId="1762" xr:uid="{4E36E896-59F3-49C3-9C9A-D70D84F0DCC4}"/>
    <cellStyle name="_INAR_FEBRERO_12022008 (modif)_FCST Subsidy Handset 2010 (Mayo-Dic) 20100518 CT1000 $0 y CT500 $0-$699 v4 ER ejerc promo navidad (2) ej4 8" xfId="1763" xr:uid="{5CAC880C-E84E-462E-88D8-F5A6CF495466}"/>
    <cellStyle name="_INAR_FEBRERO_12022008 (modif)_FCST Subsidy Handset 2010 (Mayo-Dic) 20100518 CT1000 $0 y CT500 $0-$699 v4 ER ejerc promo navidad (2) ej4 9" xfId="1764" xr:uid="{1B1424C2-9C14-4040-BCC7-9FE9227B3D4E}"/>
    <cellStyle name="_INAR_FEBRERO_12022008 (modif)_Mix y ARP 2010 v2" xfId="1765" xr:uid="{D979AD6F-F18D-49D1-9ADC-EB7918BB6302}"/>
    <cellStyle name="_INAR_FEBRERO_12022008 (modif)_Mix y ARP 2010 v2 10" xfId="1766" xr:uid="{67D0BAE2-2627-4751-97A0-71B02568AAF7}"/>
    <cellStyle name="_INAR_FEBRERO_12022008 (modif)_Mix y ARP 2010 v2 11" xfId="1767" xr:uid="{002E644D-FFDA-4FD4-B3D1-F16763A58D62}"/>
    <cellStyle name="_INAR_FEBRERO_12022008 (modif)_Mix y ARP 2010 v2 12" xfId="1768" xr:uid="{D91A3628-DF03-4E3A-A2A8-B1D927F482A0}"/>
    <cellStyle name="_INAR_FEBRERO_12022008 (modif)_Mix y ARP 2010 v2 13" xfId="1769" xr:uid="{089CA7F4-B2AF-4B82-8DB9-4B25DE86817D}"/>
    <cellStyle name="_INAR_FEBRERO_12022008 (modif)_Mix y ARP 2010 v2 14" xfId="1770" xr:uid="{1C08C7FF-63AE-420C-8B91-81B2A882562E}"/>
    <cellStyle name="_INAR_FEBRERO_12022008 (modif)_Mix y ARP 2010 v2 2" xfId="1771" xr:uid="{4A3DF783-AE2D-4263-9CD5-581C26D493C2}"/>
    <cellStyle name="_INAR_FEBRERO_12022008 (modif)_Mix y ARP 2010 v2 3" xfId="1772" xr:uid="{BF6AA76D-75FF-4092-B22F-5FF46334DBE4}"/>
    <cellStyle name="_INAR_FEBRERO_12022008 (modif)_Mix y ARP 2010 v2 4" xfId="1773" xr:uid="{F84EEF9D-B8EF-49B7-98FA-18CCDF9836A0}"/>
    <cellStyle name="_INAR_FEBRERO_12022008 (modif)_Mix y ARP 2010 v2 5" xfId="1774" xr:uid="{7C8CC8B9-0D8C-4B93-9B5D-FC5B4D6743D0}"/>
    <cellStyle name="_INAR_FEBRERO_12022008 (modif)_Mix y ARP 2010 v2 6" xfId="1775" xr:uid="{6443EE8A-E0F6-48E8-8BF6-60A06B7A41EC}"/>
    <cellStyle name="_INAR_FEBRERO_12022008 (modif)_Mix y ARP 2010 v2 7" xfId="1776" xr:uid="{60BC6861-EB3E-4BCE-ACD7-BA6346D6823A}"/>
    <cellStyle name="_INAR_FEBRERO_12022008 (modif)_Mix y ARP 2010 v2 8" xfId="1777" xr:uid="{53F735B2-33E4-4E12-B268-959AB3DF8F48}"/>
    <cellStyle name="_INAR_FEBRERO_12022008 (modif)_Mix y ARP 2010 v2 9" xfId="1778" xr:uid="{2C9299E0-7107-4B58-AE66-FFECD4DAEB14}"/>
    <cellStyle name="_INAR_FEBRERO_15022008" xfId="1779" xr:uid="{73F01273-747B-44BD-9CA8-C655FDFCC76F}"/>
    <cellStyle name="_INAR_FEBRERO_15022008_FCST Subsidy Handset 2010 (Abril-Dic) 20100401v5 ejercicio A final envío con cierre (3) v 4" xfId="1780" xr:uid="{005468A1-89DC-48C3-9A20-681EB9851334}"/>
    <cellStyle name="_INAR_FEBRERO_15022008_FCST Subsidy Handset 2010 (Abril-Dic) 20100401v5 ejercicio A final envío con cierre (3) v 4 10" xfId="1781" xr:uid="{FBCFAEEA-1FBC-4F69-B5EE-9A7C229214F1}"/>
    <cellStyle name="_INAR_FEBRERO_15022008_FCST Subsidy Handset 2010 (Abril-Dic) 20100401v5 ejercicio A final envío con cierre (3) v 4 11" xfId="1782" xr:uid="{5D50F3FB-4F08-463F-BFB3-AAD3F7166B9F}"/>
    <cellStyle name="_INAR_FEBRERO_15022008_FCST Subsidy Handset 2010 (Abril-Dic) 20100401v5 ejercicio A final envío con cierre (3) v 4 12" xfId="1783" xr:uid="{9131C5FE-04E1-4F0C-B3A6-E341A34E1339}"/>
    <cellStyle name="_INAR_FEBRERO_15022008_FCST Subsidy Handset 2010 (Abril-Dic) 20100401v5 ejercicio A final envío con cierre (3) v 4 13" xfId="1784" xr:uid="{D007AD01-DAA9-4DAC-8BCF-F6509942DF9B}"/>
    <cellStyle name="_INAR_FEBRERO_15022008_FCST Subsidy Handset 2010 (Abril-Dic) 20100401v5 ejercicio A final envío con cierre (3) v 4 14" xfId="1785" xr:uid="{86F7591B-F1AD-40C1-A401-9A8D76D1CD52}"/>
    <cellStyle name="_INAR_FEBRERO_15022008_FCST Subsidy Handset 2010 (Abril-Dic) 20100401v5 ejercicio A final envío con cierre (3) v 4 2" xfId="1786" xr:uid="{BDA6D44B-486C-41BF-B730-0D009229CDC3}"/>
    <cellStyle name="_INAR_FEBRERO_15022008_FCST Subsidy Handset 2010 (Abril-Dic) 20100401v5 ejercicio A final envío con cierre (3) v 4 3" xfId="1787" xr:uid="{0791CA0C-7A84-4332-9A64-E65C67E0C5BE}"/>
    <cellStyle name="_INAR_FEBRERO_15022008_FCST Subsidy Handset 2010 (Abril-Dic) 20100401v5 ejercicio A final envío con cierre (3) v 4 4" xfId="1788" xr:uid="{7C3AE82F-063F-43E2-A4F1-27370CB9776D}"/>
    <cellStyle name="_INAR_FEBRERO_15022008_FCST Subsidy Handset 2010 (Abril-Dic) 20100401v5 ejercicio A final envío con cierre (3) v 4 5" xfId="1789" xr:uid="{39816738-FBC6-4BDD-807A-B468DDABFB1B}"/>
    <cellStyle name="_INAR_FEBRERO_15022008_FCST Subsidy Handset 2010 (Abril-Dic) 20100401v5 ejercicio A final envío con cierre (3) v 4 6" xfId="1790" xr:uid="{18398565-921C-4B17-B0E1-7BC5D68F2EA0}"/>
    <cellStyle name="_INAR_FEBRERO_15022008_FCST Subsidy Handset 2010 (Abril-Dic) 20100401v5 ejercicio A final envío con cierre (3) v 4 7" xfId="1791" xr:uid="{F706D9A3-4155-416B-B012-9679369F835C}"/>
    <cellStyle name="_INAR_FEBRERO_15022008_FCST Subsidy Handset 2010 (Abril-Dic) 20100401v5 ejercicio A final envío con cierre (3) v 4 8" xfId="1792" xr:uid="{CE81D105-B0EC-4F6C-88F2-CEDEC04063CF}"/>
    <cellStyle name="_INAR_FEBRERO_15022008_FCST Subsidy Handset 2010 (Abril-Dic) 20100401v5 ejercicio A final envío con cierre (3) v 4 9" xfId="1793" xr:uid="{A9271F31-9987-4709-ACB2-9A646D7C31EA}"/>
    <cellStyle name="_INAR_FEBRERO_15022008_FCST Subsidy Handset 2010 (Mayo-Dic) 20100518 CT1000 $0 y CT500 $0-$699 v4 ER ejerc promo navidad (2) ej4" xfId="1794" xr:uid="{03A915A9-C298-4EFB-9EC6-7870066FD6BC}"/>
    <cellStyle name="_INAR_FEBRERO_15022008_FCST Subsidy Handset 2010 (Mayo-Dic) 20100518 CT1000 $0 y CT500 $0-$699 v4 ER ejerc promo navidad (2) ej4 10" xfId="1795" xr:uid="{AA76AC00-1662-4C62-A521-2CC04B05BB4A}"/>
    <cellStyle name="_INAR_FEBRERO_15022008_FCST Subsidy Handset 2010 (Mayo-Dic) 20100518 CT1000 $0 y CT500 $0-$699 v4 ER ejerc promo navidad (2) ej4 11" xfId="1796" xr:uid="{6269BF66-D442-4585-A749-972A5282F524}"/>
    <cellStyle name="_INAR_FEBRERO_15022008_FCST Subsidy Handset 2010 (Mayo-Dic) 20100518 CT1000 $0 y CT500 $0-$699 v4 ER ejerc promo navidad (2) ej4 12" xfId="1797" xr:uid="{853D50D5-1631-482B-992C-7784DA3EDF03}"/>
    <cellStyle name="_INAR_FEBRERO_15022008_FCST Subsidy Handset 2010 (Mayo-Dic) 20100518 CT1000 $0 y CT500 $0-$699 v4 ER ejerc promo navidad (2) ej4 13" xfId="1798" xr:uid="{EEEEF274-2C6D-49DE-B6F0-D7575EF6B754}"/>
    <cellStyle name="_INAR_FEBRERO_15022008_FCST Subsidy Handset 2010 (Mayo-Dic) 20100518 CT1000 $0 y CT500 $0-$699 v4 ER ejerc promo navidad (2) ej4 14" xfId="1799" xr:uid="{2A9081B5-6737-409F-B193-FDA5C16C429F}"/>
    <cellStyle name="_INAR_FEBRERO_15022008_FCST Subsidy Handset 2010 (Mayo-Dic) 20100518 CT1000 $0 y CT500 $0-$699 v4 ER ejerc promo navidad (2) ej4 2" xfId="1800" xr:uid="{28CB35F4-3656-4142-9831-C04B3544B68D}"/>
    <cellStyle name="_INAR_FEBRERO_15022008_FCST Subsidy Handset 2010 (Mayo-Dic) 20100518 CT1000 $0 y CT500 $0-$699 v4 ER ejerc promo navidad (2) ej4 3" xfId="1801" xr:uid="{EA0FF4DF-AB94-49A6-BEB3-E5329C42CF30}"/>
    <cellStyle name="_INAR_FEBRERO_15022008_FCST Subsidy Handset 2010 (Mayo-Dic) 20100518 CT1000 $0 y CT500 $0-$699 v4 ER ejerc promo navidad (2) ej4 4" xfId="1802" xr:uid="{F99A65A6-2C02-44A7-8B02-E7DBE34A4851}"/>
    <cellStyle name="_INAR_FEBRERO_15022008_FCST Subsidy Handset 2010 (Mayo-Dic) 20100518 CT1000 $0 y CT500 $0-$699 v4 ER ejerc promo navidad (2) ej4 5" xfId="1803" xr:uid="{1F33DDA8-C5D8-46CA-840A-47D135714B49}"/>
    <cellStyle name="_INAR_FEBRERO_15022008_FCST Subsidy Handset 2010 (Mayo-Dic) 20100518 CT1000 $0 y CT500 $0-$699 v4 ER ejerc promo navidad (2) ej4 6" xfId="1804" xr:uid="{1275FE89-9280-4AEF-ADBA-52141ECBD6E1}"/>
    <cellStyle name="_INAR_FEBRERO_15022008_FCST Subsidy Handset 2010 (Mayo-Dic) 20100518 CT1000 $0 y CT500 $0-$699 v4 ER ejerc promo navidad (2) ej4 7" xfId="1805" xr:uid="{C3602539-9BEA-41BD-B82F-29E12E0CD550}"/>
    <cellStyle name="_INAR_FEBRERO_15022008_FCST Subsidy Handset 2010 (Mayo-Dic) 20100518 CT1000 $0 y CT500 $0-$699 v4 ER ejerc promo navidad (2) ej4 8" xfId="1806" xr:uid="{9107204D-5029-44FA-81EC-953B6605611C}"/>
    <cellStyle name="_INAR_FEBRERO_15022008_FCST Subsidy Handset 2010 (Mayo-Dic) 20100518 CT1000 $0 y CT500 $0-$699 v4 ER ejerc promo navidad (2) ej4 9" xfId="1807" xr:uid="{0592D05A-55DF-458B-9302-45C2DC98C9FC}"/>
    <cellStyle name="_INAR_FEBRERO_15022008_Mix y ARP 2010 v2" xfId="1808" xr:uid="{E195AE60-CC55-4230-AFB8-D5DA54FCC57F}"/>
    <cellStyle name="_INAR_FEBRERO_15022008_Mix y ARP 2010 v2 10" xfId="1809" xr:uid="{8F29DE01-314D-48C1-BAC6-0E4E50A840BB}"/>
    <cellStyle name="_INAR_FEBRERO_15022008_Mix y ARP 2010 v2 11" xfId="1810" xr:uid="{6996EBE2-D040-4373-B83C-68058F174D1C}"/>
    <cellStyle name="_INAR_FEBRERO_15022008_Mix y ARP 2010 v2 12" xfId="1811" xr:uid="{E4F0D2AB-3D2B-449E-9359-F779F5AB980A}"/>
    <cellStyle name="_INAR_FEBRERO_15022008_Mix y ARP 2010 v2 13" xfId="1812" xr:uid="{62C5565B-8402-4FD3-A0A4-338CD4D3712D}"/>
    <cellStyle name="_INAR_FEBRERO_15022008_Mix y ARP 2010 v2 14" xfId="1813" xr:uid="{866DB71F-A199-4C09-8595-0909C46FEB7B}"/>
    <cellStyle name="_INAR_FEBRERO_15022008_Mix y ARP 2010 v2 2" xfId="1814" xr:uid="{68B47C61-7D21-4FD0-A63C-3D2745F05D32}"/>
    <cellStyle name="_INAR_FEBRERO_15022008_Mix y ARP 2010 v2 3" xfId="1815" xr:uid="{BCBB3643-344B-495D-84CE-D7A140515F3F}"/>
    <cellStyle name="_INAR_FEBRERO_15022008_Mix y ARP 2010 v2 4" xfId="1816" xr:uid="{79B3A5EE-C3BE-4822-9228-BD5133B9EEFA}"/>
    <cellStyle name="_INAR_FEBRERO_15022008_Mix y ARP 2010 v2 5" xfId="1817" xr:uid="{ACDA1FD6-BC34-4D75-90A2-B85FE8E782A1}"/>
    <cellStyle name="_INAR_FEBRERO_15022008_Mix y ARP 2010 v2 6" xfId="1818" xr:uid="{D9FF2AF8-1784-472B-B27D-A2477A2FBD46}"/>
    <cellStyle name="_INAR_FEBRERO_15022008_Mix y ARP 2010 v2 7" xfId="1819" xr:uid="{E0E331FF-CC37-40DF-A92C-D2DED7D66399}"/>
    <cellStyle name="_INAR_FEBRERO_15022008_Mix y ARP 2010 v2 8" xfId="1820" xr:uid="{C6D49AD9-17C5-443D-BDF6-178C721381EA}"/>
    <cellStyle name="_INAR_FEBRERO_15022008_Mix y ARP 2010 v2 9" xfId="1821" xr:uid="{5850BF4F-29B0-4F00-B65F-90AF687EA42A}"/>
    <cellStyle name="_INAR_FEBRERO_18022008 (modif)" xfId="1822" xr:uid="{5D6C80BF-21B3-4CAC-9E89-91D195091BEA}"/>
    <cellStyle name="_INAR_FEBRERO_18022008 (modif)_FCST Subsidy Handset 2010 (Abril-Dic) 20100401v5 ejercicio A final envío con cierre (3) v 4" xfId="1823" xr:uid="{63805F1B-113C-476D-ADAD-29964D0D68C4}"/>
    <cellStyle name="_INAR_FEBRERO_18022008 (modif)_FCST Subsidy Handset 2010 (Abril-Dic) 20100401v5 ejercicio A final envío con cierre (3) v 4 10" xfId="1824" xr:uid="{A4598A81-C1E7-4F9B-BCF7-E2527BE27F88}"/>
    <cellStyle name="_INAR_FEBRERO_18022008 (modif)_FCST Subsidy Handset 2010 (Abril-Dic) 20100401v5 ejercicio A final envío con cierre (3) v 4 11" xfId="1825" xr:uid="{C1B0ECBD-0504-4C4D-BBF9-279D5BEAA013}"/>
    <cellStyle name="_INAR_FEBRERO_18022008 (modif)_FCST Subsidy Handset 2010 (Abril-Dic) 20100401v5 ejercicio A final envío con cierre (3) v 4 12" xfId="1826" xr:uid="{11CD52B6-321B-41D7-9571-9E2A03DF1ED6}"/>
    <cellStyle name="_INAR_FEBRERO_18022008 (modif)_FCST Subsidy Handset 2010 (Abril-Dic) 20100401v5 ejercicio A final envío con cierre (3) v 4 13" xfId="1827" xr:uid="{971AB9B2-5FA7-428B-93B8-68D961240727}"/>
    <cellStyle name="_INAR_FEBRERO_18022008 (modif)_FCST Subsidy Handset 2010 (Abril-Dic) 20100401v5 ejercicio A final envío con cierre (3) v 4 14" xfId="1828" xr:uid="{07CB832A-F613-4E8D-93B0-173B5D163212}"/>
    <cellStyle name="_INAR_FEBRERO_18022008 (modif)_FCST Subsidy Handset 2010 (Abril-Dic) 20100401v5 ejercicio A final envío con cierre (3) v 4 2" xfId="1829" xr:uid="{C7B1EA04-4BAD-489E-BA9A-42AE590CB478}"/>
    <cellStyle name="_INAR_FEBRERO_18022008 (modif)_FCST Subsidy Handset 2010 (Abril-Dic) 20100401v5 ejercicio A final envío con cierre (3) v 4 3" xfId="1830" xr:uid="{25DD7BA7-1842-445D-945F-A9842951D8BA}"/>
    <cellStyle name="_INAR_FEBRERO_18022008 (modif)_FCST Subsidy Handset 2010 (Abril-Dic) 20100401v5 ejercicio A final envío con cierre (3) v 4 4" xfId="1831" xr:uid="{1B18A3AB-5B2A-4C24-B30B-38DF3910CA35}"/>
    <cellStyle name="_INAR_FEBRERO_18022008 (modif)_FCST Subsidy Handset 2010 (Abril-Dic) 20100401v5 ejercicio A final envío con cierre (3) v 4 5" xfId="1832" xr:uid="{CB877563-DD74-47F9-82EB-323EB0A95291}"/>
    <cellStyle name="_INAR_FEBRERO_18022008 (modif)_FCST Subsidy Handset 2010 (Abril-Dic) 20100401v5 ejercicio A final envío con cierre (3) v 4 6" xfId="1833" xr:uid="{10BEAFC7-5C69-45B5-BC0B-CF0A2FA58D49}"/>
    <cellStyle name="_INAR_FEBRERO_18022008 (modif)_FCST Subsidy Handset 2010 (Abril-Dic) 20100401v5 ejercicio A final envío con cierre (3) v 4 7" xfId="1834" xr:uid="{345A06FD-21A2-45F1-9009-C412ADB9D543}"/>
    <cellStyle name="_INAR_FEBRERO_18022008 (modif)_FCST Subsidy Handset 2010 (Abril-Dic) 20100401v5 ejercicio A final envío con cierre (3) v 4 8" xfId="1835" xr:uid="{D073C24E-0BA5-4814-B3DA-7AE12C7737D7}"/>
    <cellStyle name="_INAR_FEBRERO_18022008 (modif)_FCST Subsidy Handset 2010 (Abril-Dic) 20100401v5 ejercicio A final envío con cierre (3) v 4 9" xfId="1836" xr:uid="{A3BEC913-8A6F-4E7A-8769-94016EA2D873}"/>
    <cellStyle name="_INAR_FEBRERO_18022008 (modif)_FCST Subsidy Handset 2010 (Mayo-Dic) 20100518 CT1000 $0 y CT500 $0-$699 v4 ER ejerc promo navidad (2) ej4" xfId="1837" xr:uid="{E1BA4CB8-3C5F-4094-B6A1-801E5572D5D5}"/>
    <cellStyle name="_INAR_FEBRERO_18022008 (modif)_FCST Subsidy Handset 2010 (Mayo-Dic) 20100518 CT1000 $0 y CT500 $0-$699 v4 ER ejerc promo navidad (2) ej4 10" xfId="1838" xr:uid="{49C591F7-D326-4961-B5D1-7C6C5E028EE9}"/>
    <cellStyle name="_INAR_FEBRERO_18022008 (modif)_FCST Subsidy Handset 2010 (Mayo-Dic) 20100518 CT1000 $0 y CT500 $0-$699 v4 ER ejerc promo navidad (2) ej4 11" xfId="1839" xr:uid="{E258EC26-A232-4230-BAE1-79A63AC8A621}"/>
    <cellStyle name="_INAR_FEBRERO_18022008 (modif)_FCST Subsidy Handset 2010 (Mayo-Dic) 20100518 CT1000 $0 y CT500 $0-$699 v4 ER ejerc promo navidad (2) ej4 12" xfId="1840" xr:uid="{F9A6FAB6-BC06-4E85-ADEF-F232BECF28C1}"/>
    <cellStyle name="_INAR_FEBRERO_18022008 (modif)_FCST Subsidy Handset 2010 (Mayo-Dic) 20100518 CT1000 $0 y CT500 $0-$699 v4 ER ejerc promo navidad (2) ej4 13" xfId="1841" xr:uid="{FD384157-A8AA-4672-AC9A-3200556AAE7D}"/>
    <cellStyle name="_INAR_FEBRERO_18022008 (modif)_FCST Subsidy Handset 2010 (Mayo-Dic) 20100518 CT1000 $0 y CT500 $0-$699 v4 ER ejerc promo navidad (2) ej4 14" xfId="1842" xr:uid="{9AFE404D-A501-41D4-B76B-2AAD434719EC}"/>
    <cellStyle name="_INAR_FEBRERO_18022008 (modif)_FCST Subsidy Handset 2010 (Mayo-Dic) 20100518 CT1000 $0 y CT500 $0-$699 v4 ER ejerc promo navidad (2) ej4 2" xfId="1843" xr:uid="{2118CAC7-A15E-4CB2-87BA-F548D57B3492}"/>
    <cellStyle name="_INAR_FEBRERO_18022008 (modif)_FCST Subsidy Handset 2010 (Mayo-Dic) 20100518 CT1000 $0 y CT500 $0-$699 v4 ER ejerc promo navidad (2) ej4 3" xfId="1844" xr:uid="{010F266C-FEC4-41F5-A55B-2E2701B51D0B}"/>
    <cellStyle name="_INAR_FEBRERO_18022008 (modif)_FCST Subsidy Handset 2010 (Mayo-Dic) 20100518 CT1000 $0 y CT500 $0-$699 v4 ER ejerc promo navidad (2) ej4 4" xfId="1845" xr:uid="{25D16674-F206-487E-8505-2D21E756E4B2}"/>
    <cellStyle name="_INAR_FEBRERO_18022008 (modif)_FCST Subsidy Handset 2010 (Mayo-Dic) 20100518 CT1000 $0 y CT500 $0-$699 v4 ER ejerc promo navidad (2) ej4 5" xfId="1846" xr:uid="{33FB65E6-53CB-403D-9CEA-78984E3B9AB7}"/>
    <cellStyle name="_INAR_FEBRERO_18022008 (modif)_FCST Subsidy Handset 2010 (Mayo-Dic) 20100518 CT1000 $0 y CT500 $0-$699 v4 ER ejerc promo navidad (2) ej4 6" xfId="1847" xr:uid="{3A235F71-4CF3-4C5D-9E33-CE3DA395D565}"/>
    <cellStyle name="_INAR_FEBRERO_18022008 (modif)_FCST Subsidy Handset 2010 (Mayo-Dic) 20100518 CT1000 $0 y CT500 $0-$699 v4 ER ejerc promo navidad (2) ej4 7" xfId="1848" xr:uid="{F1FE8013-CA9E-4410-A25A-5D612374E3F3}"/>
    <cellStyle name="_INAR_FEBRERO_18022008 (modif)_FCST Subsidy Handset 2010 (Mayo-Dic) 20100518 CT1000 $0 y CT500 $0-$699 v4 ER ejerc promo navidad (2) ej4 8" xfId="1849" xr:uid="{62D304F9-7AE9-4F37-BBA0-27084B9A116F}"/>
    <cellStyle name="_INAR_FEBRERO_18022008 (modif)_FCST Subsidy Handset 2010 (Mayo-Dic) 20100518 CT1000 $0 y CT500 $0-$699 v4 ER ejerc promo navidad (2) ej4 9" xfId="1850" xr:uid="{D5C74FA0-79B8-4201-B8C1-77146348F51B}"/>
    <cellStyle name="_INAR_FEBRERO_18022008 (modif)_Mix y ARP 2010 v2" xfId="1851" xr:uid="{B7C72133-D6B6-48B7-B275-47CF9887FF9B}"/>
    <cellStyle name="_INAR_FEBRERO_18022008 (modif)_Mix y ARP 2010 v2 10" xfId="1852" xr:uid="{5D388736-AD54-412C-9653-3311AED7C93C}"/>
    <cellStyle name="_INAR_FEBRERO_18022008 (modif)_Mix y ARP 2010 v2 11" xfId="1853" xr:uid="{5EF54153-97DE-4FA0-8F7C-06F28D3E7F13}"/>
    <cellStyle name="_INAR_FEBRERO_18022008 (modif)_Mix y ARP 2010 v2 12" xfId="1854" xr:uid="{1CA07598-9877-416C-88DE-BB0F895E3475}"/>
    <cellStyle name="_INAR_FEBRERO_18022008 (modif)_Mix y ARP 2010 v2 13" xfId="1855" xr:uid="{4C03AC09-C766-4EBC-90A4-B65AE960ACA7}"/>
    <cellStyle name="_INAR_FEBRERO_18022008 (modif)_Mix y ARP 2010 v2 14" xfId="1856" xr:uid="{46CF6443-089D-4A5B-AC4E-8D520C064290}"/>
    <cellStyle name="_INAR_FEBRERO_18022008 (modif)_Mix y ARP 2010 v2 2" xfId="1857" xr:uid="{FC7A077F-1743-48ED-9D18-97837562277E}"/>
    <cellStyle name="_INAR_FEBRERO_18022008 (modif)_Mix y ARP 2010 v2 3" xfId="1858" xr:uid="{36A4AA40-76FC-49A1-A0DD-6F48ED7B01C0}"/>
    <cellStyle name="_INAR_FEBRERO_18022008 (modif)_Mix y ARP 2010 v2 4" xfId="1859" xr:uid="{A521074B-C542-479E-B31E-D3DC39BE5E5C}"/>
    <cellStyle name="_INAR_FEBRERO_18022008 (modif)_Mix y ARP 2010 v2 5" xfId="1860" xr:uid="{424F4733-9899-4C8E-A362-335439337072}"/>
    <cellStyle name="_INAR_FEBRERO_18022008 (modif)_Mix y ARP 2010 v2 6" xfId="1861" xr:uid="{EF559948-466F-4936-9840-3629CCF3E34B}"/>
    <cellStyle name="_INAR_FEBRERO_18022008 (modif)_Mix y ARP 2010 v2 7" xfId="1862" xr:uid="{CA9A75BF-5E0D-4C7F-9FF7-7A533B9E4A46}"/>
    <cellStyle name="_INAR_FEBRERO_18022008 (modif)_Mix y ARP 2010 v2 8" xfId="1863" xr:uid="{75CCA098-5716-4BA1-AD8E-C00446E5CF55}"/>
    <cellStyle name="_INAR_FEBRERO_18022008 (modif)_Mix y ARP 2010 v2 9" xfId="1864" xr:uid="{E1A0889A-88DB-40AC-B4C8-05ADE74C49B0}"/>
    <cellStyle name="_INAR_FEBRERO_19022008 (modif)" xfId="1865" xr:uid="{941A3041-EF58-4B3B-A306-54B585E9F786}"/>
    <cellStyle name="_INAR_FEBRERO_19022008 (modif)_FCST Subsidy Handset 2010 (Abril-Dic) 20100401v5 ejercicio A final envío con cierre (3) v 4" xfId="1866" xr:uid="{6134A6FB-18E6-41A2-A343-02FDF5B1F1D9}"/>
    <cellStyle name="_INAR_FEBRERO_19022008 (modif)_FCST Subsidy Handset 2010 (Abril-Dic) 20100401v5 ejercicio A final envío con cierre (3) v 4 10" xfId="1867" xr:uid="{5326DBDD-C491-42B0-A1F7-85A8C60ED0A4}"/>
    <cellStyle name="_INAR_FEBRERO_19022008 (modif)_FCST Subsidy Handset 2010 (Abril-Dic) 20100401v5 ejercicio A final envío con cierre (3) v 4 11" xfId="1868" xr:uid="{690CC2E2-2745-49C5-B9C4-910E45492312}"/>
    <cellStyle name="_INAR_FEBRERO_19022008 (modif)_FCST Subsidy Handset 2010 (Abril-Dic) 20100401v5 ejercicio A final envío con cierre (3) v 4 12" xfId="1869" xr:uid="{DE718B58-80F6-4C2E-9061-B2E626AD9A85}"/>
    <cellStyle name="_INAR_FEBRERO_19022008 (modif)_FCST Subsidy Handset 2010 (Abril-Dic) 20100401v5 ejercicio A final envío con cierre (3) v 4 13" xfId="1870" xr:uid="{3B80AABE-575B-448E-83E7-C9D0B036131D}"/>
    <cellStyle name="_INAR_FEBRERO_19022008 (modif)_FCST Subsidy Handset 2010 (Abril-Dic) 20100401v5 ejercicio A final envío con cierre (3) v 4 14" xfId="1871" xr:uid="{D8F779D9-4EF3-43C0-8004-237F33DB0E30}"/>
    <cellStyle name="_INAR_FEBRERO_19022008 (modif)_FCST Subsidy Handset 2010 (Abril-Dic) 20100401v5 ejercicio A final envío con cierre (3) v 4 2" xfId="1872" xr:uid="{F8AAC229-F7B1-42F3-9F94-09C20E4D5C89}"/>
    <cellStyle name="_INAR_FEBRERO_19022008 (modif)_FCST Subsidy Handset 2010 (Abril-Dic) 20100401v5 ejercicio A final envío con cierre (3) v 4 3" xfId="1873" xr:uid="{2597C62D-142E-462E-ABFE-4D8CE85489B1}"/>
    <cellStyle name="_INAR_FEBRERO_19022008 (modif)_FCST Subsidy Handset 2010 (Abril-Dic) 20100401v5 ejercicio A final envío con cierre (3) v 4 4" xfId="1874" xr:uid="{591F0240-C922-4C6D-9C2F-65F68BEB543C}"/>
    <cellStyle name="_INAR_FEBRERO_19022008 (modif)_FCST Subsidy Handset 2010 (Abril-Dic) 20100401v5 ejercicio A final envío con cierre (3) v 4 5" xfId="1875" xr:uid="{D38D2F20-EB56-415C-94AB-8977D389A464}"/>
    <cellStyle name="_INAR_FEBRERO_19022008 (modif)_FCST Subsidy Handset 2010 (Abril-Dic) 20100401v5 ejercicio A final envío con cierre (3) v 4 6" xfId="1876" xr:uid="{4776BE6D-513C-48AC-8553-2FFA01E3ACCA}"/>
    <cellStyle name="_INAR_FEBRERO_19022008 (modif)_FCST Subsidy Handset 2010 (Abril-Dic) 20100401v5 ejercicio A final envío con cierre (3) v 4 7" xfId="1877" xr:uid="{22E20015-6B2E-4E3D-B2CB-E28B45192A6C}"/>
    <cellStyle name="_INAR_FEBRERO_19022008 (modif)_FCST Subsidy Handset 2010 (Abril-Dic) 20100401v5 ejercicio A final envío con cierre (3) v 4 8" xfId="1878" xr:uid="{95618C7B-094A-494F-957F-C1DF8BD1CCD2}"/>
    <cellStyle name="_INAR_FEBRERO_19022008 (modif)_FCST Subsidy Handset 2010 (Abril-Dic) 20100401v5 ejercicio A final envío con cierre (3) v 4 9" xfId="1879" xr:uid="{148FFC9D-C2F8-46F6-83F2-BF5A1FAC4C3D}"/>
    <cellStyle name="_INAR_FEBRERO_19022008 (modif)_FCST Subsidy Handset 2010 (Mayo-Dic) 20100518 CT1000 $0 y CT500 $0-$699 v4 ER ejerc promo navidad (2) ej4" xfId="1880" xr:uid="{640F7875-22EC-4F24-9B06-67A111FC79EC}"/>
    <cellStyle name="_INAR_FEBRERO_19022008 (modif)_FCST Subsidy Handset 2010 (Mayo-Dic) 20100518 CT1000 $0 y CT500 $0-$699 v4 ER ejerc promo navidad (2) ej4 10" xfId="1881" xr:uid="{3F41E6B1-AA64-42B9-A5FA-D6BD4D615E8B}"/>
    <cellStyle name="_INAR_FEBRERO_19022008 (modif)_FCST Subsidy Handset 2010 (Mayo-Dic) 20100518 CT1000 $0 y CT500 $0-$699 v4 ER ejerc promo navidad (2) ej4 11" xfId="1882" xr:uid="{17DFC472-79C1-41EE-9303-A4F4B4F6312B}"/>
    <cellStyle name="_INAR_FEBRERO_19022008 (modif)_FCST Subsidy Handset 2010 (Mayo-Dic) 20100518 CT1000 $0 y CT500 $0-$699 v4 ER ejerc promo navidad (2) ej4 12" xfId="1883" xr:uid="{67A3A019-8710-4806-8EBA-740A4F936DFC}"/>
    <cellStyle name="_INAR_FEBRERO_19022008 (modif)_FCST Subsidy Handset 2010 (Mayo-Dic) 20100518 CT1000 $0 y CT500 $0-$699 v4 ER ejerc promo navidad (2) ej4 13" xfId="1884" xr:uid="{DB210BB0-2F8A-4628-95FD-F7761E7A5093}"/>
    <cellStyle name="_INAR_FEBRERO_19022008 (modif)_FCST Subsidy Handset 2010 (Mayo-Dic) 20100518 CT1000 $0 y CT500 $0-$699 v4 ER ejerc promo navidad (2) ej4 14" xfId="1885" xr:uid="{FDE26CC4-5AE1-4F82-8C50-F4F158552845}"/>
    <cellStyle name="_INAR_FEBRERO_19022008 (modif)_FCST Subsidy Handset 2010 (Mayo-Dic) 20100518 CT1000 $0 y CT500 $0-$699 v4 ER ejerc promo navidad (2) ej4 2" xfId="1886" xr:uid="{447CE1B2-4B4A-4D96-9226-FC5B3189E952}"/>
    <cellStyle name="_INAR_FEBRERO_19022008 (modif)_FCST Subsidy Handset 2010 (Mayo-Dic) 20100518 CT1000 $0 y CT500 $0-$699 v4 ER ejerc promo navidad (2) ej4 3" xfId="1887" xr:uid="{6CFD44C3-E3A3-4DB9-8016-C4EA1E90EB8D}"/>
    <cellStyle name="_INAR_FEBRERO_19022008 (modif)_FCST Subsidy Handset 2010 (Mayo-Dic) 20100518 CT1000 $0 y CT500 $0-$699 v4 ER ejerc promo navidad (2) ej4 4" xfId="1888" xr:uid="{4DF0F944-4E08-40A7-9FC0-864EF8E823A3}"/>
    <cellStyle name="_INAR_FEBRERO_19022008 (modif)_FCST Subsidy Handset 2010 (Mayo-Dic) 20100518 CT1000 $0 y CT500 $0-$699 v4 ER ejerc promo navidad (2) ej4 5" xfId="1889" xr:uid="{31223973-A34D-4BFE-8CB6-85AF2CFABEB8}"/>
    <cellStyle name="_INAR_FEBRERO_19022008 (modif)_FCST Subsidy Handset 2010 (Mayo-Dic) 20100518 CT1000 $0 y CT500 $0-$699 v4 ER ejerc promo navidad (2) ej4 6" xfId="1890" xr:uid="{708C3E0B-9913-4999-B641-3D4062EF9B23}"/>
    <cellStyle name="_INAR_FEBRERO_19022008 (modif)_FCST Subsidy Handset 2010 (Mayo-Dic) 20100518 CT1000 $0 y CT500 $0-$699 v4 ER ejerc promo navidad (2) ej4 7" xfId="1891" xr:uid="{680E8D51-2ABE-4D60-892D-AA63E94EDA6E}"/>
    <cellStyle name="_INAR_FEBRERO_19022008 (modif)_FCST Subsidy Handset 2010 (Mayo-Dic) 20100518 CT1000 $0 y CT500 $0-$699 v4 ER ejerc promo navidad (2) ej4 8" xfId="1892" xr:uid="{7B2E79FE-6198-4158-9386-89143EEADCB9}"/>
    <cellStyle name="_INAR_FEBRERO_19022008 (modif)_FCST Subsidy Handset 2010 (Mayo-Dic) 20100518 CT1000 $0 y CT500 $0-$699 v4 ER ejerc promo navidad (2) ej4 9" xfId="1893" xr:uid="{F8911204-9D84-4994-8F67-0CA14B8EA135}"/>
    <cellStyle name="_INAR_FEBRERO_19022008 (modif)_Mix y ARP 2010 v2" xfId="1894" xr:uid="{9D742CAF-D2AD-4A3F-A2E4-66BE45B53C44}"/>
    <cellStyle name="_INAR_FEBRERO_19022008 (modif)_Mix y ARP 2010 v2 10" xfId="1895" xr:uid="{F63D18EE-33FB-49A5-A3E7-7FBAB77FFF71}"/>
    <cellStyle name="_INAR_FEBRERO_19022008 (modif)_Mix y ARP 2010 v2 11" xfId="1896" xr:uid="{02D66C70-8140-4A37-911A-B3CDB0D28413}"/>
    <cellStyle name="_INAR_FEBRERO_19022008 (modif)_Mix y ARP 2010 v2 12" xfId="1897" xr:uid="{1C744D88-B11F-4B74-8A90-1829A0FCBAEC}"/>
    <cellStyle name="_INAR_FEBRERO_19022008 (modif)_Mix y ARP 2010 v2 13" xfId="1898" xr:uid="{29DCF872-BBE5-408C-A8CD-9EBE4E3B1497}"/>
    <cellStyle name="_INAR_FEBRERO_19022008 (modif)_Mix y ARP 2010 v2 14" xfId="1899" xr:uid="{22C9035F-5D5F-419B-AB96-B6286E7F6C7A}"/>
    <cellStyle name="_INAR_FEBRERO_19022008 (modif)_Mix y ARP 2010 v2 2" xfId="1900" xr:uid="{DD3E0A06-9524-42D5-A39C-FA579FE14CCD}"/>
    <cellStyle name="_INAR_FEBRERO_19022008 (modif)_Mix y ARP 2010 v2 3" xfId="1901" xr:uid="{8FA0FF53-19FF-4A5B-9233-BF86DF81A50E}"/>
    <cellStyle name="_INAR_FEBRERO_19022008 (modif)_Mix y ARP 2010 v2 4" xfId="1902" xr:uid="{06EE2059-89C6-4E27-8C5E-28A9415ADFE9}"/>
    <cellStyle name="_INAR_FEBRERO_19022008 (modif)_Mix y ARP 2010 v2 5" xfId="1903" xr:uid="{8884C09F-997F-4253-BCDC-D4B4E1E91318}"/>
    <cellStyle name="_INAR_FEBRERO_19022008 (modif)_Mix y ARP 2010 v2 6" xfId="1904" xr:uid="{2C7A89C6-8657-40F1-A87B-D04917EF09A6}"/>
    <cellStyle name="_INAR_FEBRERO_19022008 (modif)_Mix y ARP 2010 v2 7" xfId="1905" xr:uid="{975CB360-1D02-4E82-AE9D-29A223EC4E28}"/>
    <cellStyle name="_INAR_FEBRERO_19022008 (modif)_Mix y ARP 2010 v2 8" xfId="1906" xr:uid="{797AEF04-FB8D-4ACF-8BDB-59ED344ECC3C}"/>
    <cellStyle name="_INAR_FEBRERO_19022008 (modif)_Mix y ARP 2010 v2 9" xfId="1907" xr:uid="{B0E9A556-EA27-4845-93AB-1FB051E78E86}"/>
    <cellStyle name="_INAR_FEBRERO_2008_cierre (modif)" xfId="1908" xr:uid="{97715752-BD21-443E-97E6-C12817BAE62C}"/>
    <cellStyle name="_INAR_FEBRERO_2008_cierre (modif)_FCST Subsidy Handset 2010 (Abril-Dic) 20100401v5 ejercicio A final envío con cierre (3) v 4" xfId="1909" xr:uid="{9DF67692-F440-4757-A58D-A53554D28A96}"/>
    <cellStyle name="_INAR_FEBRERO_2008_cierre (modif)_FCST Subsidy Handset 2010 (Abril-Dic) 20100401v5 ejercicio A final envío con cierre (3) v 4 10" xfId="1910" xr:uid="{BC100D3C-E2D9-4F4E-95B8-B95E920BAD30}"/>
    <cellStyle name="_INAR_FEBRERO_2008_cierre (modif)_FCST Subsidy Handset 2010 (Abril-Dic) 20100401v5 ejercicio A final envío con cierre (3) v 4 11" xfId="1911" xr:uid="{104BC199-7504-47CA-A864-57B696EAA02C}"/>
    <cellStyle name="_INAR_FEBRERO_2008_cierre (modif)_FCST Subsidy Handset 2010 (Abril-Dic) 20100401v5 ejercicio A final envío con cierre (3) v 4 12" xfId="1912" xr:uid="{F6565AAF-A5C6-4BC2-B613-49F9D81C48EC}"/>
    <cellStyle name="_INAR_FEBRERO_2008_cierre (modif)_FCST Subsidy Handset 2010 (Abril-Dic) 20100401v5 ejercicio A final envío con cierre (3) v 4 13" xfId="1913" xr:uid="{79CA2135-C2A1-42C5-B46C-911FE3A5FCE1}"/>
    <cellStyle name="_INAR_FEBRERO_2008_cierre (modif)_FCST Subsidy Handset 2010 (Abril-Dic) 20100401v5 ejercicio A final envío con cierre (3) v 4 14" xfId="1914" xr:uid="{E7D0F3DE-15D4-43A8-A057-248C0DCE1458}"/>
    <cellStyle name="_INAR_FEBRERO_2008_cierre (modif)_FCST Subsidy Handset 2010 (Abril-Dic) 20100401v5 ejercicio A final envío con cierre (3) v 4 2" xfId="1915" xr:uid="{C0DB86A5-BB6D-4922-8C37-8540310C6486}"/>
    <cellStyle name="_INAR_FEBRERO_2008_cierre (modif)_FCST Subsidy Handset 2010 (Abril-Dic) 20100401v5 ejercicio A final envío con cierre (3) v 4 3" xfId="1916" xr:uid="{84ACD870-6D59-44EF-964F-1549DFBF029D}"/>
    <cellStyle name="_INAR_FEBRERO_2008_cierre (modif)_FCST Subsidy Handset 2010 (Abril-Dic) 20100401v5 ejercicio A final envío con cierre (3) v 4 4" xfId="1917" xr:uid="{F8846852-76B7-48A3-B3F1-7892EB2C3349}"/>
    <cellStyle name="_INAR_FEBRERO_2008_cierre (modif)_FCST Subsidy Handset 2010 (Abril-Dic) 20100401v5 ejercicio A final envío con cierre (3) v 4 5" xfId="1918" xr:uid="{9DF9ADE5-04F1-44B6-AF8E-6758F866FDDB}"/>
    <cellStyle name="_INAR_FEBRERO_2008_cierre (modif)_FCST Subsidy Handset 2010 (Abril-Dic) 20100401v5 ejercicio A final envío con cierre (3) v 4 6" xfId="1919" xr:uid="{8A45C6A9-264F-4DE2-94E9-59F7F4EE348A}"/>
    <cellStyle name="_INAR_FEBRERO_2008_cierre (modif)_FCST Subsidy Handset 2010 (Abril-Dic) 20100401v5 ejercicio A final envío con cierre (3) v 4 7" xfId="1920" xr:uid="{60C26087-9BDA-42A0-80A9-A886B352DA8F}"/>
    <cellStyle name="_INAR_FEBRERO_2008_cierre (modif)_FCST Subsidy Handset 2010 (Abril-Dic) 20100401v5 ejercicio A final envío con cierre (3) v 4 8" xfId="1921" xr:uid="{88C2E7C9-0EEC-4F7B-A80D-97D95A42A944}"/>
    <cellStyle name="_INAR_FEBRERO_2008_cierre (modif)_FCST Subsidy Handset 2010 (Abril-Dic) 20100401v5 ejercicio A final envío con cierre (3) v 4 9" xfId="1922" xr:uid="{3ADF864C-FEC2-4DDA-BA39-98F740A10804}"/>
    <cellStyle name="_INAR_FEBRERO_2008_cierre (modif)_FCST Subsidy Handset 2010 (Mayo-Dic) 20100518 CT1000 $0 y CT500 $0-$699 v4 ER ejerc promo navidad (2) ej4" xfId="1923" xr:uid="{19CC9976-1CE3-45AF-89D1-150ED224EEC6}"/>
    <cellStyle name="_INAR_FEBRERO_2008_cierre (modif)_FCST Subsidy Handset 2010 (Mayo-Dic) 20100518 CT1000 $0 y CT500 $0-$699 v4 ER ejerc promo navidad (2) ej4 10" xfId="1924" xr:uid="{79076172-F73D-4FA9-A155-B01B4A75D6E7}"/>
    <cellStyle name="_INAR_FEBRERO_2008_cierre (modif)_FCST Subsidy Handset 2010 (Mayo-Dic) 20100518 CT1000 $0 y CT500 $0-$699 v4 ER ejerc promo navidad (2) ej4 11" xfId="1925" xr:uid="{CC60B181-482E-4013-AD3B-463046A25856}"/>
    <cellStyle name="_INAR_FEBRERO_2008_cierre (modif)_FCST Subsidy Handset 2010 (Mayo-Dic) 20100518 CT1000 $0 y CT500 $0-$699 v4 ER ejerc promo navidad (2) ej4 12" xfId="1926" xr:uid="{019AB44A-81BF-4B80-9AA0-5127AF1FB46B}"/>
    <cellStyle name="_INAR_FEBRERO_2008_cierre (modif)_FCST Subsidy Handset 2010 (Mayo-Dic) 20100518 CT1000 $0 y CT500 $0-$699 v4 ER ejerc promo navidad (2) ej4 13" xfId="1927" xr:uid="{94479DBE-5BF9-4460-8AA8-F70DB661DC3F}"/>
    <cellStyle name="_INAR_FEBRERO_2008_cierre (modif)_FCST Subsidy Handset 2010 (Mayo-Dic) 20100518 CT1000 $0 y CT500 $0-$699 v4 ER ejerc promo navidad (2) ej4 14" xfId="1928" xr:uid="{8307C978-FD3E-4C55-97B5-881299F38C9A}"/>
    <cellStyle name="_INAR_FEBRERO_2008_cierre (modif)_FCST Subsidy Handset 2010 (Mayo-Dic) 20100518 CT1000 $0 y CT500 $0-$699 v4 ER ejerc promo navidad (2) ej4 2" xfId="1929" xr:uid="{37AAC9FC-D627-4A2E-8696-E980ED347C9B}"/>
    <cellStyle name="_INAR_FEBRERO_2008_cierre (modif)_FCST Subsidy Handset 2010 (Mayo-Dic) 20100518 CT1000 $0 y CT500 $0-$699 v4 ER ejerc promo navidad (2) ej4 3" xfId="1930" xr:uid="{F609BE88-A308-48D9-9ED9-1ED7C1F54DBB}"/>
    <cellStyle name="_INAR_FEBRERO_2008_cierre (modif)_FCST Subsidy Handset 2010 (Mayo-Dic) 20100518 CT1000 $0 y CT500 $0-$699 v4 ER ejerc promo navidad (2) ej4 4" xfId="1931" xr:uid="{5AE0FC0B-E3C4-4612-8811-D0871CF23CF6}"/>
    <cellStyle name="_INAR_FEBRERO_2008_cierre (modif)_FCST Subsidy Handset 2010 (Mayo-Dic) 20100518 CT1000 $0 y CT500 $0-$699 v4 ER ejerc promo navidad (2) ej4 5" xfId="1932" xr:uid="{B32DC5F2-518E-4E2B-8092-7DB21581F62B}"/>
    <cellStyle name="_INAR_FEBRERO_2008_cierre (modif)_FCST Subsidy Handset 2010 (Mayo-Dic) 20100518 CT1000 $0 y CT500 $0-$699 v4 ER ejerc promo navidad (2) ej4 6" xfId="1933" xr:uid="{FC0A931C-0C37-4C5B-8E63-60B2B6D08311}"/>
    <cellStyle name="_INAR_FEBRERO_2008_cierre (modif)_FCST Subsidy Handset 2010 (Mayo-Dic) 20100518 CT1000 $0 y CT500 $0-$699 v4 ER ejerc promo navidad (2) ej4 7" xfId="1934" xr:uid="{E6CCD7DE-BC5E-4A62-A0BC-E4BD14F99CCD}"/>
    <cellStyle name="_INAR_FEBRERO_2008_cierre (modif)_FCST Subsidy Handset 2010 (Mayo-Dic) 20100518 CT1000 $0 y CT500 $0-$699 v4 ER ejerc promo navidad (2) ej4 8" xfId="1935" xr:uid="{B2396EAB-31B5-4AAA-8A09-BC12ACD4DB5B}"/>
    <cellStyle name="_INAR_FEBRERO_2008_cierre (modif)_FCST Subsidy Handset 2010 (Mayo-Dic) 20100518 CT1000 $0 y CT500 $0-$699 v4 ER ejerc promo navidad (2) ej4 9" xfId="1936" xr:uid="{4DD7D3D5-9C68-4E9A-B226-1957C158B9FD}"/>
    <cellStyle name="_INAR_FEBRERO_2008_cierre (modif)_Mix y ARP 2010 v2" xfId="1937" xr:uid="{817A20C7-07AA-4171-9633-D8F20F5F0F0C}"/>
    <cellStyle name="_INAR_FEBRERO_2008_cierre (modif)_Mix y ARP 2010 v2 10" xfId="1938" xr:uid="{EFEF72AF-CEA0-4FA6-AA62-B6CEC0449936}"/>
    <cellStyle name="_INAR_FEBRERO_2008_cierre (modif)_Mix y ARP 2010 v2 11" xfId="1939" xr:uid="{B4795F59-3F5C-406E-9FA6-CD39DE4A6953}"/>
    <cellStyle name="_INAR_FEBRERO_2008_cierre (modif)_Mix y ARP 2010 v2 12" xfId="1940" xr:uid="{50FA1D21-2274-4A9C-9DCA-18D881F291EF}"/>
    <cellStyle name="_INAR_FEBRERO_2008_cierre (modif)_Mix y ARP 2010 v2 13" xfId="1941" xr:uid="{C8C96160-D84A-47C7-A550-2D5F49E97B9A}"/>
    <cellStyle name="_INAR_FEBRERO_2008_cierre (modif)_Mix y ARP 2010 v2 14" xfId="1942" xr:uid="{65AE346C-4550-4847-9CD7-DE2AA4E06903}"/>
    <cellStyle name="_INAR_FEBRERO_2008_cierre (modif)_Mix y ARP 2010 v2 2" xfId="1943" xr:uid="{4526B9FF-C0C8-46D2-B075-A4B474F9E86F}"/>
    <cellStyle name="_INAR_FEBRERO_2008_cierre (modif)_Mix y ARP 2010 v2 3" xfId="1944" xr:uid="{2F0250A4-3FEC-4F7C-B501-BBA02D304786}"/>
    <cellStyle name="_INAR_FEBRERO_2008_cierre (modif)_Mix y ARP 2010 v2 4" xfId="1945" xr:uid="{BAC583B1-8597-49FB-A96C-1C6439522367}"/>
    <cellStyle name="_INAR_FEBRERO_2008_cierre (modif)_Mix y ARP 2010 v2 5" xfId="1946" xr:uid="{1C47C9AF-1218-43C3-8242-9D9B773E3EAF}"/>
    <cellStyle name="_INAR_FEBRERO_2008_cierre (modif)_Mix y ARP 2010 v2 6" xfId="1947" xr:uid="{EC048E38-8BD6-4DE3-9719-90250D489CBE}"/>
    <cellStyle name="_INAR_FEBRERO_2008_cierre (modif)_Mix y ARP 2010 v2 7" xfId="1948" xr:uid="{BA5188EE-6237-4C1E-9AE8-E6E2C991F193}"/>
    <cellStyle name="_INAR_FEBRERO_2008_cierre (modif)_Mix y ARP 2010 v2 8" xfId="1949" xr:uid="{34BA07B3-D9AA-4864-A9EC-0DB69406AFB2}"/>
    <cellStyle name="_INAR_FEBRERO_2008_cierre (modif)_Mix y ARP 2010 v2 9" xfId="1950" xr:uid="{4A2D0555-5DAC-4618-94E0-401E79A7567E}"/>
    <cellStyle name="_INAR_FEBRERO_25022008 (modif)" xfId="1951" xr:uid="{9A7BD7DB-F399-4B7F-868B-FA4DF6FC331C}"/>
    <cellStyle name="_INAR_FEBRERO_25022008 (modif)_FCST Subsidy Handset 2010 (Abril-Dic) 20100401v5 ejercicio A final envío con cierre (3) v 4" xfId="1952" xr:uid="{FA090669-C9DB-4298-8F23-905CA36B4162}"/>
    <cellStyle name="_INAR_FEBRERO_25022008 (modif)_FCST Subsidy Handset 2010 (Abril-Dic) 20100401v5 ejercicio A final envío con cierre (3) v 4 10" xfId="1953" xr:uid="{0230FFC0-AF5A-4CA6-A9D5-B97FDAF58492}"/>
    <cellStyle name="_INAR_FEBRERO_25022008 (modif)_FCST Subsidy Handset 2010 (Abril-Dic) 20100401v5 ejercicio A final envío con cierre (3) v 4 11" xfId="1954" xr:uid="{5E776748-E8E0-4EBF-B991-1148E71EA283}"/>
    <cellStyle name="_INAR_FEBRERO_25022008 (modif)_FCST Subsidy Handset 2010 (Abril-Dic) 20100401v5 ejercicio A final envío con cierre (3) v 4 12" xfId="1955" xr:uid="{871994A2-DCCC-463B-9AF9-D81862A364B0}"/>
    <cellStyle name="_INAR_FEBRERO_25022008 (modif)_FCST Subsidy Handset 2010 (Abril-Dic) 20100401v5 ejercicio A final envío con cierre (3) v 4 13" xfId="1956" xr:uid="{DC8FD62F-E70E-4AFA-9261-5881305AFEC7}"/>
    <cellStyle name="_INAR_FEBRERO_25022008 (modif)_FCST Subsidy Handset 2010 (Abril-Dic) 20100401v5 ejercicio A final envío con cierre (3) v 4 14" xfId="1957" xr:uid="{043152CD-DC14-4878-895E-8AFCC68F48E7}"/>
    <cellStyle name="_INAR_FEBRERO_25022008 (modif)_FCST Subsidy Handset 2010 (Abril-Dic) 20100401v5 ejercicio A final envío con cierre (3) v 4 2" xfId="1958" xr:uid="{84ED6C78-FE3A-49D8-ABD7-1EBF3163D202}"/>
    <cellStyle name="_INAR_FEBRERO_25022008 (modif)_FCST Subsidy Handset 2010 (Abril-Dic) 20100401v5 ejercicio A final envío con cierre (3) v 4 3" xfId="1959" xr:uid="{31C0B0C3-D75F-49BA-9998-77D74EC894FC}"/>
    <cellStyle name="_INAR_FEBRERO_25022008 (modif)_FCST Subsidy Handset 2010 (Abril-Dic) 20100401v5 ejercicio A final envío con cierre (3) v 4 4" xfId="1960" xr:uid="{E71FA564-7864-4C07-94CE-38FE51FCC5A8}"/>
    <cellStyle name="_INAR_FEBRERO_25022008 (modif)_FCST Subsidy Handset 2010 (Abril-Dic) 20100401v5 ejercicio A final envío con cierre (3) v 4 5" xfId="1961" xr:uid="{4702811A-DC16-4C3F-BF5F-BFD595C20D26}"/>
    <cellStyle name="_INAR_FEBRERO_25022008 (modif)_FCST Subsidy Handset 2010 (Abril-Dic) 20100401v5 ejercicio A final envío con cierre (3) v 4 6" xfId="1962" xr:uid="{6B1ED250-52A8-4534-9FF7-33BC27052011}"/>
    <cellStyle name="_INAR_FEBRERO_25022008 (modif)_FCST Subsidy Handset 2010 (Abril-Dic) 20100401v5 ejercicio A final envío con cierre (3) v 4 7" xfId="1963" xr:uid="{1A1377AF-DAD9-43E0-B551-72E70864AAC4}"/>
    <cellStyle name="_INAR_FEBRERO_25022008 (modif)_FCST Subsidy Handset 2010 (Abril-Dic) 20100401v5 ejercicio A final envío con cierre (3) v 4 8" xfId="1964" xr:uid="{4EFA2C37-D82F-4198-9FC9-4887B14D3485}"/>
    <cellStyle name="_INAR_FEBRERO_25022008 (modif)_FCST Subsidy Handset 2010 (Abril-Dic) 20100401v5 ejercicio A final envío con cierre (3) v 4 9" xfId="1965" xr:uid="{322D6B1F-B326-41DE-9F15-467F48E8F8A2}"/>
    <cellStyle name="_INAR_FEBRERO_25022008 (modif)_FCST Subsidy Handset 2010 (Mayo-Dic) 20100518 CT1000 $0 y CT500 $0-$699 v4 ER ejerc promo navidad (2) ej4" xfId="1966" xr:uid="{642B32B4-F986-44FF-8AD8-C5D81DBF10FE}"/>
    <cellStyle name="_INAR_FEBRERO_25022008 (modif)_FCST Subsidy Handset 2010 (Mayo-Dic) 20100518 CT1000 $0 y CT500 $0-$699 v4 ER ejerc promo navidad (2) ej4 10" xfId="1967" xr:uid="{D21FCD7F-3D53-41A1-8D0C-2FAD41F2CA6E}"/>
    <cellStyle name="_INAR_FEBRERO_25022008 (modif)_FCST Subsidy Handset 2010 (Mayo-Dic) 20100518 CT1000 $0 y CT500 $0-$699 v4 ER ejerc promo navidad (2) ej4 11" xfId="1968" xr:uid="{D79D4BB8-6B9A-445D-B891-8EBF109ECC63}"/>
    <cellStyle name="_INAR_FEBRERO_25022008 (modif)_FCST Subsidy Handset 2010 (Mayo-Dic) 20100518 CT1000 $0 y CT500 $0-$699 v4 ER ejerc promo navidad (2) ej4 12" xfId="1969" xr:uid="{7CCC5E0C-5A35-4591-9075-50341D363EBE}"/>
    <cellStyle name="_INAR_FEBRERO_25022008 (modif)_FCST Subsidy Handset 2010 (Mayo-Dic) 20100518 CT1000 $0 y CT500 $0-$699 v4 ER ejerc promo navidad (2) ej4 13" xfId="1970" xr:uid="{27D296B4-8F9E-4F47-81B6-B50685F96C66}"/>
    <cellStyle name="_INAR_FEBRERO_25022008 (modif)_FCST Subsidy Handset 2010 (Mayo-Dic) 20100518 CT1000 $0 y CT500 $0-$699 v4 ER ejerc promo navidad (2) ej4 14" xfId="1971" xr:uid="{BD6C439E-883A-476F-9FFA-DA52ACA81144}"/>
    <cellStyle name="_INAR_FEBRERO_25022008 (modif)_FCST Subsidy Handset 2010 (Mayo-Dic) 20100518 CT1000 $0 y CT500 $0-$699 v4 ER ejerc promo navidad (2) ej4 2" xfId="1972" xr:uid="{157D4EE0-5EA7-4208-AB38-051F835293B2}"/>
    <cellStyle name="_INAR_FEBRERO_25022008 (modif)_FCST Subsidy Handset 2010 (Mayo-Dic) 20100518 CT1000 $0 y CT500 $0-$699 v4 ER ejerc promo navidad (2) ej4 3" xfId="1973" xr:uid="{2893C32F-C216-4F6F-A357-3B89A6FDB803}"/>
    <cellStyle name="_INAR_FEBRERO_25022008 (modif)_FCST Subsidy Handset 2010 (Mayo-Dic) 20100518 CT1000 $0 y CT500 $0-$699 v4 ER ejerc promo navidad (2) ej4 4" xfId="1974" xr:uid="{F3042B35-EF6E-49B3-BABF-4BC3077B1E2C}"/>
    <cellStyle name="_INAR_FEBRERO_25022008 (modif)_FCST Subsidy Handset 2010 (Mayo-Dic) 20100518 CT1000 $0 y CT500 $0-$699 v4 ER ejerc promo navidad (2) ej4 5" xfId="1975" xr:uid="{3753D475-E23D-48CF-AA76-6BDB38DDDEF0}"/>
    <cellStyle name="_INAR_FEBRERO_25022008 (modif)_FCST Subsidy Handset 2010 (Mayo-Dic) 20100518 CT1000 $0 y CT500 $0-$699 v4 ER ejerc promo navidad (2) ej4 6" xfId="1976" xr:uid="{0AAF4980-F341-4893-B38E-C05E9E2A4699}"/>
    <cellStyle name="_INAR_FEBRERO_25022008 (modif)_FCST Subsidy Handset 2010 (Mayo-Dic) 20100518 CT1000 $0 y CT500 $0-$699 v4 ER ejerc promo navidad (2) ej4 7" xfId="1977" xr:uid="{27D8754E-E334-4F66-80E5-4F4F2FA758B9}"/>
    <cellStyle name="_INAR_FEBRERO_25022008 (modif)_FCST Subsidy Handset 2010 (Mayo-Dic) 20100518 CT1000 $0 y CT500 $0-$699 v4 ER ejerc promo navidad (2) ej4 8" xfId="1978" xr:uid="{8CF3455E-DCAE-4DBE-8250-EAC8EA64522C}"/>
    <cellStyle name="_INAR_FEBRERO_25022008 (modif)_FCST Subsidy Handset 2010 (Mayo-Dic) 20100518 CT1000 $0 y CT500 $0-$699 v4 ER ejerc promo navidad (2) ej4 9" xfId="1979" xr:uid="{67EA9D56-E5B4-4562-9B73-5FB891718625}"/>
    <cellStyle name="_INAR_FEBRERO_25022008 (modif)_Mix y ARP 2010 v2" xfId="1980" xr:uid="{04901AB6-7A91-4DCD-9FD1-1941E99956B0}"/>
    <cellStyle name="_INAR_FEBRERO_25022008 (modif)_Mix y ARP 2010 v2 10" xfId="1981" xr:uid="{49079E06-A2EF-49F5-9CC5-00F2AA8CDAB9}"/>
    <cellStyle name="_INAR_FEBRERO_25022008 (modif)_Mix y ARP 2010 v2 11" xfId="1982" xr:uid="{AB7086A7-E1D8-446A-9148-6488F3C4F63F}"/>
    <cellStyle name="_INAR_FEBRERO_25022008 (modif)_Mix y ARP 2010 v2 12" xfId="1983" xr:uid="{5B9DA800-1BC7-4DEE-AFDA-319A0BE614B0}"/>
    <cellStyle name="_INAR_FEBRERO_25022008 (modif)_Mix y ARP 2010 v2 13" xfId="1984" xr:uid="{5581355C-C9B9-4D08-80B2-254A311894D3}"/>
    <cellStyle name="_INAR_FEBRERO_25022008 (modif)_Mix y ARP 2010 v2 14" xfId="1985" xr:uid="{E14967E6-BE13-44D1-A125-46CFCDBE1911}"/>
    <cellStyle name="_INAR_FEBRERO_25022008 (modif)_Mix y ARP 2010 v2 2" xfId="1986" xr:uid="{9F62F998-2D4D-4F3F-A117-61D6D86AF062}"/>
    <cellStyle name="_INAR_FEBRERO_25022008 (modif)_Mix y ARP 2010 v2 3" xfId="1987" xr:uid="{94C892CA-EED6-4C5A-8D8B-86202917FA3F}"/>
    <cellStyle name="_INAR_FEBRERO_25022008 (modif)_Mix y ARP 2010 v2 4" xfId="1988" xr:uid="{3C71AFD9-AD2B-4E32-97C9-0D8EE8E153A7}"/>
    <cellStyle name="_INAR_FEBRERO_25022008 (modif)_Mix y ARP 2010 v2 5" xfId="1989" xr:uid="{DC016D30-8BA5-448C-8472-94FED0DF9738}"/>
    <cellStyle name="_INAR_FEBRERO_25022008 (modif)_Mix y ARP 2010 v2 6" xfId="1990" xr:uid="{97946D76-3812-4121-9934-35D68C50C302}"/>
    <cellStyle name="_INAR_FEBRERO_25022008 (modif)_Mix y ARP 2010 v2 7" xfId="1991" xr:uid="{5369056F-CF5C-4B09-BD15-226B74D20AE5}"/>
    <cellStyle name="_INAR_FEBRERO_25022008 (modif)_Mix y ARP 2010 v2 8" xfId="1992" xr:uid="{744D1898-8080-4697-9986-BFBF14AC2613}"/>
    <cellStyle name="_INAR_FEBRERO_25022008 (modif)_Mix y ARP 2010 v2 9" xfId="1993" xr:uid="{37E63914-819B-4A42-921F-5D4740AD2048}"/>
    <cellStyle name="_INAR_FEBRERO_26022008 (modif)" xfId="1994" xr:uid="{3C171116-4253-477A-BF08-930CD7582FCA}"/>
    <cellStyle name="_INAR_FEBRERO_26022008 (modif)_FCST Subsidy Handset 2010 (Abril-Dic) 20100401v5 ejercicio A final envío con cierre (3) v 4" xfId="1995" xr:uid="{CE343C21-EFF0-4A4F-B1D0-D9B296A6C1D2}"/>
    <cellStyle name="_INAR_FEBRERO_26022008 (modif)_FCST Subsidy Handset 2010 (Abril-Dic) 20100401v5 ejercicio A final envío con cierre (3) v 4 10" xfId="1996" xr:uid="{54D18643-4CDA-410E-A473-2B995960D1B1}"/>
    <cellStyle name="_INAR_FEBRERO_26022008 (modif)_FCST Subsidy Handset 2010 (Abril-Dic) 20100401v5 ejercicio A final envío con cierre (3) v 4 11" xfId="1997" xr:uid="{7A00008C-BD07-4B40-B645-A885352E0953}"/>
    <cellStyle name="_INAR_FEBRERO_26022008 (modif)_FCST Subsidy Handset 2010 (Abril-Dic) 20100401v5 ejercicio A final envío con cierre (3) v 4 12" xfId="1998" xr:uid="{1906E35E-7AF6-4E00-91B3-A86AB2A5FE20}"/>
    <cellStyle name="_INAR_FEBRERO_26022008 (modif)_FCST Subsidy Handset 2010 (Abril-Dic) 20100401v5 ejercicio A final envío con cierre (3) v 4 13" xfId="1999" xr:uid="{75131963-AF33-4E39-8F2B-E32A5B3B5EEA}"/>
    <cellStyle name="_INAR_FEBRERO_26022008 (modif)_FCST Subsidy Handset 2010 (Abril-Dic) 20100401v5 ejercicio A final envío con cierre (3) v 4 14" xfId="2000" xr:uid="{8DA41941-F216-4AFA-83B5-75FBFA6756B4}"/>
    <cellStyle name="_INAR_FEBRERO_26022008 (modif)_FCST Subsidy Handset 2010 (Abril-Dic) 20100401v5 ejercicio A final envío con cierre (3) v 4 2" xfId="2001" xr:uid="{18A52ED0-2862-492B-A045-EE832930A109}"/>
    <cellStyle name="_INAR_FEBRERO_26022008 (modif)_FCST Subsidy Handset 2010 (Abril-Dic) 20100401v5 ejercicio A final envío con cierre (3) v 4 3" xfId="2002" xr:uid="{0D6DC5AF-ADEC-45C9-9BEF-4CDBE57B5477}"/>
    <cellStyle name="_INAR_FEBRERO_26022008 (modif)_FCST Subsidy Handset 2010 (Abril-Dic) 20100401v5 ejercicio A final envío con cierre (3) v 4 4" xfId="2003" xr:uid="{FD511920-8336-40BB-A1F5-EAAF88D791B4}"/>
    <cellStyle name="_INAR_FEBRERO_26022008 (modif)_FCST Subsidy Handset 2010 (Abril-Dic) 20100401v5 ejercicio A final envío con cierre (3) v 4 5" xfId="2004" xr:uid="{4A5CBE78-0791-4C43-B742-7BD4532A2BAF}"/>
    <cellStyle name="_INAR_FEBRERO_26022008 (modif)_FCST Subsidy Handset 2010 (Abril-Dic) 20100401v5 ejercicio A final envío con cierre (3) v 4 6" xfId="2005" xr:uid="{72C90F39-8AEB-42E0-AB4A-72019B0DEE8A}"/>
    <cellStyle name="_INAR_FEBRERO_26022008 (modif)_FCST Subsidy Handset 2010 (Abril-Dic) 20100401v5 ejercicio A final envío con cierre (3) v 4 7" xfId="2006" xr:uid="{EC948737-EF94-4439-B648-2F25107C93CA}"/>
    <cellStyle name="_INAR_FEBRERO_26022008 (modif)_FCST Subsidy Handset 2010 (Abril-Dic) 20100401v5 ejercicio A final envío con cierre (3) v 4 8" xfId="2007" xr:uid="{8C0A113B-A462-43E0-A77A-C650742D39B2}"/>
    <cellStyle name="_INAR_FEBRERO_26022008 (modif)_FCST Subsidy Handset 2010 (Abril-Dic) 20100401v5 ejercicio A final envío con cierre (3) v 4 9" xfId="2008" xr:uid="{81403400-F753-4B1A-A1DB-6C034299A2FF}"/>
    <cellStyle name="_INAR_FEBRERO_26022008 (modif)_FCST Subsidy Handset 2010 (Mayo-Dic) 20100518 CT1000 $0 y CT500 $0-$699 v4 ER ejerc promo navidad (2) ej4" xfId="2009" xr:uid="{6B7FFDE7-AFA4-42A0-A4E6-DF71645F7EBA}"/>
    <cellStyle name="_INAR_FEBRERO_26022008 (modif)_FCST Subsidy Handset 2010 (Mayo-Dic) 20100518 CT1000 $0 y CT500 $0-$699 v4 ER ejerc promo navidad (2) ej4 10" xfId="2010" xr:uid="{6A195DC0-F618-4B24-91E4-92AE69BB0B57}"/>
    <cellStyle name="_INAR_FEBRERO_26022008 (modif)_FCST Subsidy Handset 2010 (Mayo-Dic) 20100518 CT1000 $0 y CT500 $0-$699 v4 ER ejerc promo navidad (2) ej4 11" xfId="2011" xr:uid="{71FEC074-C726-413D-B26E-03C778A65C68}"/>
    <cellStyle name="_INAR_FEBRERO_26022008 (modif)_FCST Subsidy Handset 2010 (Mayo-Dic) 20100518 CT1000 $0 y CT500 $0-$699 v4 ER ejerc promo navidad (2) ej4 12" xfId="2012" xr:uid="{B1F024A3-F4BA-49F1-BC56-99E22490930E}"/>
    <cellStyle name="_INAR_FEBRERO_26022008 (modif)_FCST Subsidy Handset 2010 (Mayo-Dic) 20100518 CT1000 $0 y CT500 $0-$699 v4 ER ejerc promo navidad (2) ej4 13" xfId="2013" xr:uid="{E80E280A-752D-4F10-BEB0-D4C4ABD8E18A}"/>
    <cellStyle name="_INAR_FEBRERO_26022008 (modif)_FCST Subsidy Handset 2010 (Mayo-Dic) 20100518 CT1000 $0 y CT500 $0-$699 v4 ER ejerc promo navidad (2) ej4 14" xfId="2014" xr:uid="{DBC33A69-993A-49F1-9D3C-92BCD4FA0DED}"/>
    <cellStyle name="_INAR_FEBRERO_26022008 (modif)_FCST Subsidy Handset 2010 (Mayo-Dic) 20100518 CT1000 $0 y CT500 $0-$699 v4 ER ejerc promo navidad (2) ej4 2" xfId="2015" xr:uid="{3EFC38E4-B104-4C5C-8800-3F6D44868B3F}"/>
    <cellStyle name="_INAR_FEBRERO_26022008 (modif)_FCST Subsidy Handset 2010 (Mayo-Dic) 20100518 CT1000 $0 y CT500 $0-$699 v4 ER ejerc promo navidad (2) ej4 3" xfId="2016" xr:uid="{9ADD8C77-BA3D-4308-A995-DC7654624A1D}"/>
    <cellStyle name="_INAR_FEBRERO_26022008 (modif)_FCST Subsidy Handset 2010 (Mayo-Dic) 20100518 CT1000 $0 y CT500 $0-$699 v4 ER ejerc promo navidad (2) ej4 4" xfId="2017" xr:uid="{F229B8E2-7F56-4D50-8C36-24FAE8C271F2}"/>
    <cellStyle name="_INAR_FEBRERO_26022008 (modif)_FCST Subsidy Handset 2010 (Mayo-Dic) 20100518 CT1000 $0 y CT500 $0-$699 v4 ER ejerc promo navidad (2) ej4 5" xfId="2018" xr:uid="{EF8D6D1E-160C-43E7-B346-7ABF6683BEDF}"/>
    <cellStyle name="_INAR_FEBRERO_26022008 (modif)_FCST Subsidy Handset 2010 (Mayo-Dic) 20100518 CT1000 $0 y CT500 $0-$699 v4 ER ejerc promo navidad (2) ej4 6" xfId="2019" xr:uid="{5CCCC980-3D47-48A8-B6C7-A1CEE1119AE5}"/>
    <cellStyle name="_INAR_FEBRERO_26022008 (modif)_FCST Subsidy Handset 2010 (Mayo-Dic) 20100518 CT1000 $0 y CT500 $0-$699 v4 ER ejerc promo navidad (2) ej4 7" xfId="2020" xr:uid="{825E5B19-A873-4276-A245-7137057B478A}"/>
    <cellStyle name="_INAR_FEBRERO_26022008 (modif)_FCST Subsidy Handset 2010 (Mayo-Dic) 20100518 CT1000 $0 y CT500 $0-$699 v4 ER ejerc promo navidad (2) ej4 8" xfId="2021" xr:uid="{3F9161B3-DB0B-4A06-86FF-45A53B7E3206}"/>
    <cellStyle name="_INAR_FEBRERO_26022008 (modif)_FCST Subsidy Handset 2010 (Mayo-Dic) 20100518 CT1000 $0 y CT500 $0-$699 v4 ER ejerc promo navidad (2) ej4 9" xfId="2022" xr:uid="{88420FF7-35E3-40A8-840B-5536C8A4758E}"/>
    <cellStyle name="_INAR_FEBRERO_26022008 (modif)_Mix y ARP 2010 v2" xfId="2023" xr:uid="{DD8CFA90-FC0C-4FFC-B687-56DD24C832F7}"/>
    <cellStyle name="_INAR_FEBRERO_26022008 (modif)_Mix y ARP 2010 v2 10" xfId="2024" xr:uid="{665A3CA1-D4FB-4534-B175-41F32C3BE841}"/>
    <cellStyle name="_INAR_FEBRERO_26022008 (modif)_Mix y ARP 2010 v2 11" xfId="2025" xr:uid="{0B2CEC51-3A58-4423-83B1-AB3CE74C8A99}"/>
    <cellStyle name="_INAR_FEBRERO_26022008 (modif)_Mix y ARP 2010 v2 12" xfId="2026" xr:uid="{1B9ADDB9-FB4F-4D8E-9568-1115C07B3060}"/>
    <cellStyle name="_INAR_FEBRERO_26022008 (modif)_Mix y ARP 2010 v2 13" xfId="2027" xr:uid="{99ABBA31-B353-4544-91FA-51881F9CB300}"/>
    <cellStyle name="_INAR_FEBRERO_26022008 (modif)_Mix y ARP 2010 v2 14" xfId="2028" xr:uid="{713223F5-91F4-40EC-A055-E422962AA665}"/>
    <cellStyle name="_INAR_FEBRERO_26022008 (modif)_Mix y ARP 2010 v2 2" xfId="2029" xr:uid="{AA4B6EE6-219F-45A7-88BE-43A836B96DA3}"/>
    <cellStyle name="_INAR_FEBRERO_26022008 (modif)_Mix y ARP 2010 v2 3" xfId="2030" xr:uid="{5FD1BBFB-8872-4058-8E74-B75215624460}"/>
    <cellStyle name="_INAR_FEBRERO_26022008 (modif)_Mix y ARP 2010 v2 4" xfId="2031" xr:uid="{C7CF6B37-4402-4A16-9514-BE0F4B581BB4}"/>
    <cellStyle name="_INAR_FEBRERO_26022008 (modif)_Mix y ARP 2010 v2 5" xfId="2032" xr:uid="{051A5FD9-628A-48C6-AAB0-C166545E7C91}"/>
    <cellStyle name="_INAR_FEBRERO_26022008 (modif)_Mix y ARP 2010 v2 6" xfId="2033" xr:uid="{8198B9DA-F6F6-4091-AE57-C9EF1BC530AF}"/>
    <cellStyle name="_INAR_FEBRERO_26022008 (modif)_Mix y ARP 2010 v2 7" xfId="2034" xr:uid="{70E43EEF-150D-46E8-BCB2-935218381C67}"/>
    <cellStyle name="_INAR_FEBRERO_26022008 (modif)_Mix y ARP 2010 v2 8" xfId="2035" xr:uid="{2703EF8D-D047-4C5D-A2D1-834797AFC67A}"/>
    <cellStyle name="_INAR_FEBRERO_26022008 (modif)_Mix y ARP 2010 v2 9" xfId="2036" xr:uid="{14C25109-B13F-4B58-B2FF-0803DA1E664D}"/>
    <cellStyle name="_INAR_FEBRERO_28022008 (modif)" xfId="2037" xr:uid="{90393E3C-F927-4B57-AA96-0C39CCA885F1}"/>
    <cellStyle name="_INAR_FEBRERO_28022008 (modif)_FCST Subsidy Handset 2010 (Abril-Dic) 20100401v5 ejercicio A final envío con cierre (3) v 4" xfId="2038" xr:uid="{174355D5-CBC1-4BD5-B0B0-6C0FDF177CB2}"/>
    <cellStyle name="_INAR_FEBRERO_28022008 (modif)_FCST Subsidy Handset 2010 (Abril-Dic) 20100401v5 ejercicio A final envío con cierre (3) v 4 10" xfId="2039" xr:uid="{033E460D-891F-4F3D-B22A-C19FF930A644}"/>
    <cellStyle name="_INAR_FEBRERO_28022008 (modif)_FCST Subsidy Handset 2010 (Abril-Dic) 20100401v5 ejercicio A final envío con cierre (3) v 4 11" xfId="2040" xr:uid="{AFDB50CC-B687-461C-87FB-D554AE788019}"/>
    <cellStyle name="_INAR_FEBRERO_28022008 (modif)_FCST Subsidy Handset 2010 (Abril-Dic) 20100401v5 ejercicio A final envío con cierre (3) v 4 12" xfId="2041" xr:uid="{8E57B607-C48C-4581-9391-D464BFC57157}"/>
    <cellStyle name="_INAR_FEBRERO_28022008 (modif)_FCST Subsidy Handset 2010 (Abril-Dic) 20100401v5 ejercicio A final envío con cierre (3) v 4 13" xfId="2042" xr:uid="{8D68954C-3F38-4F15-B696-5ED92D078BB9}"/>
    <cellStyle name="_INAR_FEBRERO_28022008 (modif)_FCST Subsidy Handset 2010 (Abril-Dic) 20100401v5 ejercicio A final envío con cierre (3) v 4 14" xfId="2043" xr:uid="{21B859EE-5913-4ABC-A6AD-A5A13E2A6E80}"/>
    <cellStyle name="_INAR_FEBRERO_28022008 (modif)_FCST Subsidy Handset 2010 (Abril-Dic) 20100401v5 ejercicio A final envío con cierre (3) v 4 2" xfId="2044" xr:uid="{1F1BF7F0-AD1E-49BF-AEC7-6E455AC61E03}"/>
    <cellStyle name="_INAR_FEBRERO_28022008 (modif)_FCST Subsidy Handset 2010 (Abril-Dic) 20100401v5 ejercicio A final envío con cierre (3) v 4 3" xfId="2045" xr:uid="{8E186181-A9B3-427F-88BA-E458EFE262E5}"/>
    <cellStyle name="_INAR_FEBRERO_28022008 (modif)_FCST Subsidy Handset 2010 (Abril-Dic) 20100401v5 ejercicio A final envío con cierre (3) v 4 4" xfId="2046" xr:uid="{CC80B747-7F8C-4880-82A8-17DCCFB18EBC}"/>
    <cellStyle name="_INAR_FEBRERO_28022008 (modif)_FCST Subsidy Handset 2010 (Abril-Dic) 20100401v5 ejercicio A final envío con cierre (3) v 4 5" xfId="2047" xr:uid="{8FCCC46C-06FF-438E-8E0A-40F3C9E09336}"/>
    <cellStyle name="_INAR_FEBRERO_28022008 (modif)_FCST Subsidy Handset 2010 (Abril-Dic) 20100401v5 ejercicio A final envío con cierre (3) v 4 6" xfId="2048" xr:uid="{28818DB8-BAB4-4C85-8157-802705DD7E6A}"/>
    <cellStyle name="_INAR_FEBRERO_28022008 (modif)_FCST Subsidy Handset 2010 (Abril-Dic) 20100401v5 ejercicio A final envío con cierre (3) v 4 7" xfId="2049" xr:uid="{E429898B-C187-4C82-9D84-ED35D0CA81FA}"/>
    <cellStyle name="_INAR_FEBRERO_28022008 (modif)_FCST Subsidy Handset 2010 (Abril-Dic) 20100401v5 ejercicio A final envío con cierre (3) v 4 8" xfId="2050" xr:uid="{3DE6EAD7-9617-43E2-99ED-71DA26DDFE0A}"/>
    <cellStyle name="_INAR_FEBRERO_28022008 (modif)_FCST Subsidy Handset 2010 (Abril-Dic) 20100401v5 ejercicio A final envío con cierre (3) v 4 9" xfId="2051" xr:uid="{61DD2805-6BBE-449F-A7EC-89FDAE120605}"/>
    <cellStyle name="_INAR_FEBRERO_28022008 (modif)_FCST Subsidy Handset 2010 (Mayo-Dic) 20100518 CT1000 $0 y CT500 $0-$699 v4 ER ejerc promo navidad (2) ej4" xfId="2052" xr:uid="{83E37DB1-FDD2-4D22-95C7-764840BAAEB3}"/>
    <cellStyle name="_INAR_FEBRERO_28022008 (modif)_FCST Subsidy Handset 2010 (Mayo-Dic) 20100518 CT1000 $0 y CT500 $0-$699 v4 ER ejerc promo navidad (2) ej4 10" xfId="2053" xr:uid="{84FA71AB-ECB2-495D-9BCA-36D7BC01D7B8}"/>
    <cellStyle name="_INAR_FEBRERO_28022008 (modif)_FCST Subsidy Handset 2010 (Mayo-Dic) 20100518 CT1000 $0 y CT500 $0-$699 v4 ER ejerc promo navidad (2) ej4 11" xfId="2054" xr:uid="{EA0A5BDC-7929-405C-ACEB-41A7AB2E557F}"/>
    <cellStyle name="_INAR_FEBRERO_28022008 (modif)_FCST Subsidy Handset 2010 (Mayo-Dic) 20100518 CT1000 $0 y CT500 $0-$699 v4 ER ejerc promo navidad (2) ej4 12" xfId="2055" xr:uid="{35F2DE5B-3033-4892-AC26-967230519687}"/>
    <cellStyle name="_INAR_FEBRERO_28022008 (modif)_FCST Subsidy Handset 2010 (Mayo-Dic) 20100518 CT1000 $0 y CT500 $0-$699 v4 ER ejerc promo navidad (2) ej4 13" xfId="2056" xr:uid="{5457B9C1-DA5E-41C6-990D-4841270A8ECB}"/>
    <cellStyle name="_INAR_FEBRERO_28022008 (modif)_FCST Subsidy Handset 2010 (Mayo-Dic) 20100518 CT1000 $0 y CT500 $0-$699 v4 ER ejerc promo navidad (2) ej4 14" xfId="2057" xr:uid="{EC503EDC-2181-4E17-B26A-4730FF668A2F}"/>
    <cellStyle name="_INAR_FEBRERO_28022008 (modif)_FCST Subsidy Handset 2010 (Mayo-Dic) 20100518 CT1000 $0 y CT500 $0-$699 v4 ER ejerc promo navidad (2) ej4 2" xfId="2058" xr:uid="{9ECD361C-C615-4D93-B713-58FCC7AEF5C1}"/>
    <cellStyle name="_INAR_FEBRERO_28022008 (modif)_FCST Subsidy Handset 2010 (Mayo-Dic) 20100518 CT1000 $0 y CT500 $0-$699 v4 ER ejerc promo navidad (2) ej4 3" xfId="2059" xr:uid="{4DDE39E9-AE27-42C3-AEE9-5C2AA1142D45}"/>
    <cellStyle name="_INAR_FEBRERO_28022008 (modif)_FCST Subsidy Handset 2010 (Mayo-Dic) 20100518 CT1000 $0 y CT500 $0-$699 v4 ER ejerc promo navidad (2) ej4 4" xfId="2060" xr:uid="{E885380B-6D49-4165-814C-CE2B6B832275}"/>
    <cellStyle name="_INAR_FEBRERO_28022008 (modif)_FCST Subsidy Handset 2010 (Mayo-Dic) 20100518 CT1000 $0 y CT500 $0-$699 v4 ER ejerc promo navidad (2) ej4 5" xfId="2061" xr:uid="{04E52AC9-48F2-4687-8420-071ED5C9E2D5}"/>
    <cellStyle name="_INAR_FEBRERO_28022008 (modif)_FCST Subsidy Handset 2010 (Mayo-Dic) 20100518 CT1000 $0 y CT500 $0-$699 v4 ER ejerc promo navidad (2) ej4 6" xfId="2062" xr:uid="{3F3DEA69-F4C7-4737-8D39-34D711936C27}"/>
    <cellStyle name="_INAR_FEBRERO_28022008 (modif)_FCST Subsidy Handset 2010 (Mayo-Dic) 20100518 CT1000 $0 y CT500 $0-$699 v4 ER ejerc promo navidad (2) ej4 7" xfId="2063" xr:uid="{1ACD8785-1F9B-493F-9276-6BF6DAB3EC51}"/>
    <cellStyle name="_INAR_FEBRERO_28022008 (modif)_FCST Subsidy Handset 2010 (Mayo-Dic) 20100518 CT1000 $0 y CT500 $0-$699 v4 ER ejerc promo navidad (2) ej4 8" xfId="2064" xr:uid="{A96A21A7-D423-47C3-BBDD-9B4A9F2414E8}"/>
    <cellStyle name="_INAR_FEBRERO_28022008 (modif)_FCST Subsidy Handset 2010 (Mayo-Dic) 20100518 CT1000 $0 y CT500 $0-$699 v4 ER ejerc promo navidad (2) ej4 9" xfId="2065" xr:uid="{D3FC9677-CB99-4C8C-ADA2-B9213CB0A9DF}"/>
    <cellStyle name="_INAR_FEBRERO_28022008 (modif)_Mix y ARP 2010 v2" xfId="2066" xr:uid="{5D47CB36-1335-47F6-B6F1-56E89A7BC117}"/>
    <cellStyle name="_INAR_FEBRERO_28022008 (modif)_Mix y ARP 2010 v2 10" xfId="2067" xr:uid="{C3B7A18E-8CCA-4DFE-94BB-D045AB576568}"/>
    <cellStyle name="_INAR_FEBRERO_28022008 (modif)_Mix y ARP 2010 v2 11" xfId="2068" xr:uid="{D4B35AD2-D633-454D-9E9C-90A0D50D3523}"/>
    <cellStyle name="_INAR_FEBRERO_28022008 (modif)_Mix y ARP 2010 v2 12" xfId="2069" xr:uid="{726A0F87-F91F-401F-B61D-F2C73256022F}"/>
    <cellStyle name="_INAR_FEBRERO_28022008 (modif)_Mix y ARP 2010 v2 13" xfId="2070" xr:uid="{15B84FC3-2AA0-43F3-9BF1-F69906029D4D}"/>
    <cellStyle name="_INAR_FEBRERO_28022008 (modif)_Mix y ARP 2010 v2 14" xfId="2071" xr:uid="{664BCA37-B257-4755-97FE-7D5F36361B05}"/>
    <cellStyle name="_INAR_FEBRERO_28022008 (modif)_Mix y ARP 2010 v2 2" xfId="2072" xr:uid="{3B15E85B-A888-4760-982A-1E144114BB33}"/>
    <cellStyle name="_INAR_FEBRERO_28022008 (modif)_Mix y ARP 2010 v2 3" xfId="2073" xr:uid="{C598BFD6-277A-4A8E-A9D4-D793AC758470}"/>
    <cellStyle name="_INAR_FEBRERO_28022008 (modif)_Mix y ARP 2010 v2 4" xfId="2074" xr:uid="{AFAE29BE-B159-4219-BD6A-827A4D1263DC}"/>
    <cellStyle name="_INAR_FEBRERO_28022008 (modif)_Mix y ARP 2010 v2 5" xfId="2075" xr:uid="{F850DD87-6590-418B-A9E1-51BC73E40541}"/>
    <cellStyle name="_INAR_FEBRERO_28022008 (modif)_Mix y ARP 2010 v2 6" xfId="2076" xr:uid="{305B45C1-16DD-4637-BC75-7CF9825D94F2}"/>
    <cellStyle name="_INAR_FEBRERO_28022008 (modif)_Mix y ARP 2010 v2 7" xfId="2077" xr:uid="{66A1F932-8806-40EC-BFCA-61A70B85B522}"/>
    <cellStyle name="_INAR_FEBRERO_28022008 (modif)_Mix y ARP 2010 v2 8" xfId="2078" xr:uid="{52622604-7446-4CA6-A4A6-312A8693080E}"/>
    <cellStyle name="_INAR_FEBRERO_28022008 (modif)_Mix y ARP 2010 v2 9" xfId="2079" xr:uid="{5C275086-FF64-4E68-9AEE-0C30A9BB147F}"/>
    <cellStyle name="_INAR_FEBRERO_29022008 (modif)" xfId="2080" xr:uid="{9E89E6E8-FA57-4BFD-8F72-C91DF97A749C}"/>
    <cellStyle name="_INAR_FEBRERO_29022008 (modif)_FCST Subsidy Handset 2010 (Abril-Dic) 20100401v5 ejercicio A final envío con cierre (3) v 4" xfId="2081" xr:uid="{2D3C3E5C-90D2-47E3-A867-59FEBF043E3A}"/>
    <cellStyle name="_INAR_FEBRERO_29022008 (modif)_FCST Subsidy Handset 2010 (Abril-Dic) 20100401v5 ejercicio A final envío con cierre (3) v 4 10" xfId="2082" xr:uid="{F3C11ACD-1DCA-4957-8D67-FAB408789CA3}"/>
    <cellStyle name="_INAR_FEBRERO_29022008 (modif)_FCST Subsidy Handset 2010 (Abril-Dic) 20100401v5 ejercicio A final envío con cierre (3) v 4 11" xfId="2083" xr:uid="{E970E4A9-E584-44F6-9987-CC6AA71CA9F0}"/>
    <cellStyle name="_INAR_FEBRERO_29022008 (modif)_FCST Subsidy Handset 2010 (Abril-Dic) 20100401v5 ejercicio A final envío con cierre (3) v 4 12" xfId="2084" xr:uid="{DFF5F411-E4D9-4334-B3BA-72927D9CBEBC}"/>
    <cellStyle name="_INAR_FEBRERO_29022008 (modif)_FCST Subsidy Handset 2010 (Abril-Dic) 20100401v5 ejercicio A final envío con cierre (3) v 4 13" xfId="2085" xr:uid="{2FAFB5CF-1FEE-442A-B7EE-4F159CEFA3B8}"/>
    <cellStyle name="_INAR_FEBRERO_29022008 (modif)_FCST Subsidy Handset 2010 (Abril-Dic) 20100401v5 ejercicio A final envío con cierre (3) v 4 14" xfId="2086" xr:uid="{B1D2048F-0378-42ED-8003-4E14A49B6F25}"/>
    <cellStyle name="_INAR_FEBRERO_29022008 (modif)_FCST Subsidy Handset 2010 (Abril-Dic) 20100401v5 ejercicio A final envío con cierre (3) v 4 2" xfId="2087" xr:uid="{C813F4BD-AF33-43F5-AC6E-E63A770AF525}"/>
    <cellStyle name="_INAR_FEBRERO_29022008 (modif)_FCST Subsidy Handset 2010 (Abril-Dic) 20100401v5 ejercicio A final envío con cierre (3) v 4 3" xfId="2088" xr:uid="{B85BA809-33DD-4A62-AB8F-320E07FC0BFF}"/>
    <cellStyle name="_INAR_FEBRERO_29022008 (modif)_FCST Subsidy Handset 2010 (Abril-Dic) 20100401v5 ejercicio A final envío con cierre (3) v 4 4" xfId="2089" xr:uid="{3DCC2DAC-46C2-4846-BEFA-B086858E7035}"/>
    <cellStyle name="_INAR_FEBRERO_29022008 (modif)_FCST Subsidy Handset 2010 (Abril-Dic) 20100401v5 ejercicio A final envío con cierre (3) v 4 5" xfId="2090" xr:uid="{1BBE015C-DE7B-48B8-9DDF-AEA33C92F5C0}"/>
    <cellStyle name="_INAR_FEBRERO_29022008 (modif)_FCST Subsidy Handset 2010 (Abril-Dic) 20100401v5 ejercicio A final envío con cierre (3) v 4 6" xfId="2091" xr:uid="{1E19AEB4-CC80-4368-8AE8-72BB411AFF67}"/>
    <cellStyle name="_INAR_FEBRERO_29022008 (modif)_FCST Subsidy Handset 2010 (Abril-Dic) 20100401v5 ejercicio A final envío con cierre (3) v 4 7" xfId="2092" xr:uid="{5013A4EB-204B-4535-BBB7-E677BFA25C32}"/>
    <cellStyle name="_INAR_FEBRERO_29022008 (modif)_FCST Subsidy Handset 2010 (Abril-Dic) 20100401v5 ejercicio A final envío con cierre (3) v 4 8" xfId="2093" xr:uid="{1FCDA1BC-1F74-44EB-B397-F005793A355A}"/>
    <cellStyle name="_INAR_FEBRERO_29022008 (modif)_FCST Subsidy Handset 2010 (Abril-Dic) 20100401v5 ejercicio A final envío con cierre (3) v 4 9" xfId="2094" xr:uid="{6042672F-6619-41D9-B969-7E1703496198}"/>
    <cellStyle name="_INAR_FEBRERO_29022008 (modif)_FCST Subsidy Handset 2010 (Mayo-Dic) 20100518 CT1000 $0 y CT500 $0-$699 v4 ER ejerc promo navidad (2) ej4" xfId="2095" xr:uid="{1B64B2DF-F9E0-41CB-9863-A54A88569A22}"/>
    <cellStyle name="_INAR_FEBRERO_29022008 (modif)_FCST Subsidy Handset 2010 (Mayo-Dic) 20100518 CT1000 $0 y CT500 $0-$699 v4 ER ejerc promo navidad (2) ej4 10" xfId="2096" xr:uid="{DBD26B81-7581-4135-861E-A295BE42F0FA}"/>
    <cellStyle name="_INAR_FEBRERO_29022008 (modif)_FCST Subsidy Handset 2010 (Mayo-Dic) 20100518 CT1000 $0 y CT500 $0-$699 v4 ER ejerc promo navidad (2) ej4 11" xfId="2097" xr:uid="{D362A1C2-6118-4127-ACFA-17F0343A7CFE}"/>
    <cellStyle name="_INAR_FEBRERO_29022008 (modif)_FCST Subsidy Handset 2010 (Mayo-Dic) 20100518 CT1000 $0 y CT500 $0-$699 v4 ER ejerc promo navidad (2) ej4 12" xfId="2098" xr:uid="{4D5CCD01-24F1-4389-8EDA-D2ED6D257EA2}"/>
    <cellStyle name="_INAR_FEBRERO_29022008 (modif)_FCST Subsidy Handset 2010 (Mayo-Dic) 20100518 CT1000 $0 y CT500 $0-$699 v4 ER ejerc promo navidad (2) ej4 13" xfId="2099" xr:uid="{E33E9B1E-073A-46BA-945A-2640595A9754}"/>
    <cellStyle name="_INAR_FEBRERO_29022008 (modif)_FCST Subsidy Handset 2010 (Mayo-Dic) 20100518 CT1000 $0 y CT500 $0-$699 v4 ER ejerc promo navidad (2) ej4 14" xfId="2100" xr:uid="{C389F84A-EA7D-4B74-8909-36ECBA97D632}"/>
    <cellStyle name="_INAR_FEBRERO_29022008 (modif)_FCST Subsidy Handset 2010 (Mayo-Dic) 20100518 CT1000 $0 y CT500 $0-$699 v4 ER ejerc promo navidad (2) ej4 2" xfId="2101" xr:uid="{932567C6-D6AE-431E-A712-77A9B07031DC}"/>
    <cellStyle name="_INAR_FEBRERO_29022008 (modif)_FCST Subsidy Handset 2010 (Mayo-Dic) 20100518 CT1000 $0 y CT500 $0-$699 v4 ER ejerc promo navidad (2) ej4 3" xfId="2102" xr:uid="{B834B6C9-5346-4175-8553-9630D9BEA107}"/>
    <cellStyle name="_INAR_FEBRERO_29022008 (modif)_FCST Subsidy Handset 2010 (Mayo-Dic) 20100518 CT1000 $0 y CT500 $0-$699 v4 ER ejerc promo navidad (2) ej4 4" xfId="2103" xr:uid="{6B08B404-2A71-4614-9C25-4C40EE5B8D1A}"/>
    <cellStyle name="_INAR_FEBRERO_29022008 (modif)_FCST Subsidy Handset 2010 (Mayo-Dic) 20100518 CT1000 $0 y CT500 $0-$699 v4 ER ejerc promo navidad (2) ej4 5" xfId="2104" xr:uid="{5734BDF2-0F20-427E-87A1-567CF07D1BA6}"/>
    <cellStyle name="_INAR_FEBRERO_29022008 (modif)_FCST Subsidy Handset 2010 (Mayo-Dic) 20100518 CT1000 $0 y CT500 $0-$699 v4 ER ejerc promo navidad (2) ej4 6" xfId="2105" xr:uid="{0B95115D-8846-4DB1-B145-D3D82263FD02}"/>
    <cellStyle name="_INAR_FEBRERO_29022008 (modif)_FCST Subsidy Handset 2010 (Mayo-Dic) 20100518 CT1000 $0 y CT500 $0-$699 v4 ER ejerc promo navidad (2) ej4 7" xfId="2106" xr:uid="{03B4BF24-F964-4DDF-B06E-1299A2AE0736}"/>
    <cellStyle name="_INAR_FEBRERO_29022008 (modif)_FCST Subsidy Handset 2010 (Mayo-Dic) 20100518 CT1000 $0 y CT500 $0-$699 v4 ER ejerc promo navidad (2) ej4 8" xfId="2107" xr:uid="{B881FC27-C7EB-4484-A649-DBB18C6DE782}"/>
    <cellStyle name="_INAR_FEBRERO_29022008 (modif)_FCST Subsidy Handset 2010 (Mayo-Dic) 20100518 CT1000 $0 y CT500 $0-$699 v4 ER ejerc promo navidad (2) ej4 9" xfId="2108" xr:uid="{7E1F38F7-55BD-4306-8339-7C5CB3D2846B}"/>
    <cellStyle name="_INAR_FEBRERO_29022008 (modif)_Mix y ARP 2010 v2" xfId="2109" xr:uid="{38BE2B92-1DE5-4448-AD6D-2C442A9D49E4}"/>
    <cellStyle name="_INAR_FEBRERO_29022008 (modif)_Mix y ARP 2010 v2 10" xfId="2110" xr:uid="{9AEB1520-C554-47B6-917F-601EE7F5B6CB}"/>
    <cellStyle name="_INAR_FEBRERO_29022008 (modif)_Mix y ARP 2010 v2 11" xfId="2111" xr:uid="{BF29B0EE-16A7-4A77-B1B8-24211E4819F2}"/>
    <cellStyle name="_INAR_FEBRERO_29022008 (modif)_Mix y ARP 2010 v2 12" xfId="2112" xr:uid="{E04C0C44-748F-4C2C-AACC-17D32EE7FB70}"/>
    <cellStyle name="_INAR_FEBRERO_29022008 (modif)_Mix y ARP 2010 v2 13" xfId="2113" xr:uid="{2FD5B04E-DA25-419A-81F2-46DF5E1DD18E}"/>
    <cellStyle name="_INAR_FEBRERO_29022008 (modif)_Mix y ARP 2010 v2 14" xfId="2114" xr:uid="{00B3920D-A65E-412A-95E5-AC659CAEF223}"/>
    <cellStyle name="_INAR_FEBRERO_29022008 (modif)_Mix y ARP 2010 v2 2" xfId="2115" xr:uid="{942EDDCC-7165-4147-8AC8-50ED8FB9205F}"/>
    <cellStyle name="_INAR_FEBRERO_29022008 (modif)_Mix y ARP 2010 v2 3" xfId="2116" xr:uid="{3597B776-304C-4566-B011-CC8967B730D7}"/>
    <cellStyle name="_INAR_FEBRERO_29022008 (modif)_Mix y ARP 2010 v2 4" xfId="2117" xr:uid="{B3EA1DFA-FBDD-48CD-A93C-C335137CFCFA}"/>
    <cellStyle name="_INAR_FEBRERO_29022008 (modif)_Mix y ARP 2010 v2 5" xfId="2118" xr:uid="{17F1283D-1CA2-4477-9670-30E55238BC8D}"/>
    <cellStyle name="_INAR_FEBRERO_29022008 (modif)_Mix y ARP 2010 v2 6" xfId="2119" xr:uid="{C7D6B924-2529-412B-929B-B6559D31A123}"/>
    <cellStyle name="_INAR_FEBRERO_29022008 (modif)_Mix y ARP 2010 v2 7" xfId="2120" xr:uid="{C399C686-5D15-4B7E-9AEC-1F3155D9F6A9}"/>
    <cellStyle name="_INAR_FEBRERO_29022008 (modif)_Mix y ARP 2010 v2 8" xfId="2121" xr:uid="{BB1AB423-1040-4B03-9D5A-EEFCEDFAFF0A}"/>
    <cellStyle name="_INAR_FEBRERO_29022008 (modif)_Mix y ARP 2010 v2 9" xfId="2122" xr:uid="{2F0C4A5A-7E39-4D2F-ADF0-9DBF0B909B30}"/>
    <cellStyle name="_INAR_MARZO_07032008 (modif)" xfId="2123" xr:uid="{119D6D12-924E-4546-8655-4DB886B2CDB9}"/>
    <cellStyle name="_INAR_MARZO_07032008 (modif)_FCST Subsidy Handset 2010 (Abril-Dic) 20100401v5 ejercicio A final envío con cierre (3) v 4" xfId="2124" xr:uid="{FEB6C1C4-CDFB-445E-A72F-0053B6E623EC}"/>
    <cellStyle name="_INAR_MARZO_07032008 (modif)_FCST Subsidy Handset 2010 (Abril-Dic) 20100401v5 ejercicio A final envío con cierre (3) v 4 10" xfId="2125" xr:uid="{0F2A616A-E608-4011-8461-DBEFBDFCC937}"/>
    <cellStyle name="_INAR_MARZO_07032008 (modif)_FCST Subsidy Handset 2010 (Abril-Dic) 20100401v5 ejercicio A final envío con cierre (3) v 4 11" xfId="2126" xr:uid="{113DC7FE-6D3D-4030-B6A5-707CBA959B39}"/>
    <cellStyle name="_INAR_MARZO_07032008 (modif)_FCST Subsidy Handset 2010 (Abril-Dic) 20100401v5 ejercicio A final envío con cierre (3) v 4 12" xfId="2127" xr:uid="{300568D1-416F-4B10-96B5-E0423F85957F}"/>
    <cellStyle name="_INAR_MARZO_07032008 (modif)_FCST Subsidy Handset 2010 (Abril-Dic) 20100401v5 ejercicio A final envío con cierre (3) v 4 13" xfId="2128" xr:uid="{5B3C5B9C-48F7-41B6-9645-9161CA272897}"/>
    <cellStyle name="_INAR_MARZO_07032008 (modif)_FCST Subsidy Handset 2010 (Abril-Dic) 20100401v5 ejercicio A final envío con cierre (3) v 4 14" xfId="2129" xr:uid="{4C8194CE-FD9D-4503-ABE0-6E7D25DBCFDE}"/>
    <cellStyle name="_INAR_MARZO_07032008 (modif)_FCST Subsidy Handset 2010 (Abril-Dic) 20100401v5 ejercicio A final envío con cierre (3) v 4 2" xfId="2130" xr:uid="{8DE8259F-6C0D-441A-86DE-934B68566FA0}"/>
    <cellStyle name="_INAR_MARZO_07032008 (modif)_FCST Subsidy Handset 2010 (Abril-Dic) 20100401v5 ejercicio A final envío con cierre (3) v 4 3" xfId="2131" xr:uid="{13764705-C5C3-4F74-9875-FB66E579C8DE}"/>
    <cellStyle name="_INAR_MARZO_07032008 (modif)_FCST Subsidy Handset 2010 (Abril-Dic) 20100401v5 ejercicio A final envío con cierre (3) v 4 4" xfId="2132" xr:uid="{74E47BEE-EEFE-4E75-A510-02A1162DFEAC}"/>
    <cellStyle name="_INAR_MARZO_07032008 (modif)_FCST Subsidy Handset 2010 (Abril-Dic) 20100401v5 ejercicio A final envío con cierre (3) v 4 5" xfId="2133" xr:uid="{864A9E33-F147-4572-93A7-1D8F60B977C1}"/>
    <cellStyle name="_INAR_MARZO_07032008 (modif)_FCST Subsidy Handset 2010 (Abril-Dic) 20100401v5 ejercicio A final envío con cierre (3) v 4 6" xfId="2134" xr:uid="{0E28D37E-0286-41F8-BB42-87BFEF06F9DB}"/>
    <cellStyle name="_INAR_MARZO_07032008 (modif)_FCST Subsidy Handset 2010 (Abril-Dic) 20100401v5 ejercicio A final envío con cierre (3) v 4 7" xfId="2135" xr:uid="{8D15FDAB-6C37-43BE-8E3B-562B61DB0B9A}"/>
    <cellStyle name="_INAR_MARZO_07032008 (modif)_FCST Subsidy Handset 2010 (Abril-Dic) 20100401v5 ejercicio A final envío con cierre (3) v 4 8" xfId="2136" xr:uid="{F77BF490-9F21-4026-818C-96322BA181B6}"/>
    <cellStyle name="_INAR_MARZO_07032008 (modif)_FCST Subsidy Handset 2010 (Abril-Dic) 20100401v5 ejercicio A final envío con cierre (3) v 4 9" xfId="2137" xr:uid="{9ADB535A-9D83-4368-9DC7-1F8EB61B063F}"/>
    <cellStyle name="_INAR_MARZO_07032008 (modif)_FCST Subsidy Handset 2010 (Mayo-Dic) 20100518 CT1000 $0 y CT500 $0-$699 v4 ER ejerc promo navidad (2) ej4" xfId="2138" xr:uid="{007C19C4-CEAF-4622-AA9F-1D4C0EAB847D}"/>
    <cellStyle name="_INAR_MARZO_07032008 (modif)_FCST Subsidy Handset 2010 (Mayo-Dic) 20100518 CT1000 $0 y CT500 $0-$699 v4 ER ejerc promo navidad (2) ej4 10" xfId="2139" xr:uid="{74E9A5BE-8309-4149-873D-6F2362EDD5EC}"/>
    <cellStyle name="_INAR_MARZO_07032008 (modif)_FCST Subsidy Handset 2010 (Mayo-Dic) 20100518 CT1000 $0 y CT500 $0-$699 v4 ER ejerc promo navidad (2) ej4 11" xfId="2140" xr:uid="{A907D063-CC7B-4E8B-98F3-FCB743198F0F}"/>
    <cellStyle name="_INAR_MARZO_07032008 (modif)_FCST Subsidy Handset 2010 (Mayo-Dic) 20100518 CT1000 $0 y CT500 $0-$699 v4 ER ejerc promo navidad (2) ej4 12" xfId="2141" xr:uid="{E9C5FE21-7BC1-4B09-B6CF-E3D720043279}"/>
    <cellStyle name="_INAR_MARZO_07032008 (modif)_FCST Subsidy Handset 2010 (Mayo-Dic) 20100518 CT1000 $0 y CT500 $0-$699 v4 ER ejerc promo navidad (2) ej4 13" xfId="2142" xr:uid="{55743F78-B08F-4526-8834-A5D2348EDFC3}"/>
    <cellStyle name="_INAR_MARZO_07032008 (modif)_FCST Subsidy Handset 2010 (Mayo-Dic) 20100518 CT1000 $0 y CT500 $0-$699 v4 ER ejerc promo navidad (2) ej4 14" xfId="2143" xr:uid="{A71A4B15-F126-4B28-A4D9-368A6859AC7D}"/>
    <cellStyle name="_INAR_MARZO_07032008 (modif)_FCST Subsidy Handset 2010 (Mayo-Dic) 20100518 CT1000 $0 y CT500 $0-$699 v4 ER ejerc promo navidad (2) ej4 2" xfId="2144" xr:uid="{0F86CAAA-6E34-4C40-9ADA-465C6E2125FD}"/>
    <cellStyle name="_INAR_MARZO_07032008 (modif)_FCST Subsidy Handset 2010 (Mayo-Dic) 20100518 CT1000 $0 y CT500 $0-$699 v4 ER ejerc promo navidad (2) ej4 3" xfId="2145" xr:uid="{C6ED6D8A-E6C1-4183-B3DE-F6F6E7A10364}"/>
    <cellStyle name="_INAR_MARZO_07032008 (modif)_FCST Subsidy Handset 2010 (Mayo-Dic) 20100518 CT1000 $0 y CT500 $0-$699 v4 ER ejerc promo navidad (2) ej4 4" xfId="2146" xr:uid="{B6BF5E05-EBAA-4BD1-A151-1004BCFAB59D}"/>
    <cellStyle name="_INAR_MARZO_07032008 (modif)_FCST Subsidy Handset 2010 (Mayo-Dic) 20100518 CT1000 $0 y CT500 $0-$699 v4 ER ejerc promo navidad (2) ej4 5" xfId="2147" xr:uid="{FC2A0EDD-0B81-4F19-A4DD-DCD7B847E224}"/>
    <cellStyle name="_INAR_MARZO_07032008 (modif)_FCST Subsidy Handset 2010 (Mayo-Dic) 20100518 CT1000 $0 y CT500 $0-$699 v4 ER ejerc promo navidad (2) ej4 6" xfId="2148" xr:uid="{B3081366-008B-4414-B902-3C73B3EF25AE}"/>
    <cellStyle name="_INAR_MARZO_07032008 (modif)_FCST Subsidy Handset 2010 (Mayo-Dic) 20100518 CT1000 $0 y CT500 $0-$699 v4 ER ejerc promo navidad (2) ej4 7" xfId="2149" xr:uid="{B801C99F-EB4E-4630-AAC5-350493B4F0A1}"/>
    <cellStyle name="_INAR_MARZO_07032008 (modif)_FCST Subsidy Handset 2010 (Mayo-Dic) 20100518 CT1000 $0 y CT500 $0-$699 v4 ER ejerc promo navidad (2) ej4 8" xfId="2150" xr:uid="{F77080DE-F5D4-4449-A2D5-B8AF0D45167D}"/>
    <cellStyle name="_INAR_MARZO_07032008 (modif)_FCST Subsidy Handset 2010 (Mayo-Dic) 20100518 CT1000 $0 y CT500 $0-$699 v4 ER ejerc promo navidad (2) ej4 9" xfId="2151" xr:uid="{6C6AEFEC-EDE7-451F-8308-ED77FCA80ABC}"/>
    <cellStyle name="_INAR_MARZO_07032008 (modif)_Mix y ARP 2010 v2" xfId="2152" xr:uid="{3531AFE4-019F-489A-99DC-8E79DC62C35C}"/>
    <cellStyle name="_INAR_MARZO_07032008 (modif)_Mix y ARP 2010 v2 10" xfId="2153" xr:uid="{F7DDF5CC-9961-4149-A9E1-E411C6ABF6EE}"/>
    <cellStyle name="_INAR_MARZO_07032008 (modif)_Mix y ARP 2010 v2 11" xfId="2154" xr:uid="{90025AD7-5799-44A2-9617-FAB0EB7E79EF}"/>
    <cellStyle name="_INAR_MARZO_07032008 (modif)_Mix y ARP 2010 v2 12" xfId="2155" xr:uid="{B4D56DAD-2CA1-489C-BA12-681F86FB09D6}"/>
    <cellStyle name="_INAR_MARZO_07032008 (modif)_Mix y ARP 2010 v2 13" xfId="2156" xr:uid="{3C4A1A9C-15AD-495C-B96C-B902A74A6FB1}"/>
    <cellStyle name="_INAR_MARZO_07032008 (modif)_Mix y ARP 2010 v2 14" xfId="2157" xr:uid="{2B002D70-42FB-4C03-BA31-2B287F97A155}"/>
    <cellStyle name="_INAR_MARZO_07032008 (modif)_Mix y ARP 2010 v2 2" xfId="2158" xr:uid="{B2ECD822-E353-45A0-96BD-400F4F318DF0}"/>
    <cellStyle name="_INAR_MARZO_07032008 (modif)_Mix y ARP 2010 v2 3" xfId="2159" xr:uid="{D60F0557-E5B9-4C85-9BC1-712D43269ABB}"/>
    <cellStyle name="_INAR_MARZO_07032008 (modif)_Mix y ARP 2010 v2 4" xfId="2160" xr:uid="{4B0234CA-809E-4C47-ADA9-3262FE75E4DE}"/>
    <cellStyle name="_INAR_MARZO_07032008 (modif)_Mix y ARP 2010 v2 5" xfId="2161" xr:uid="{5CC4E3F2-A432-46D0-82C0-7F6F616C8DF8}"/>
    <cellStyle name="_INAR_MARZO_07032008 (modif)_Mix y ARP 2010 v2 6" xfId="2162" xr:uid="{E8CBCAB9-7DB0-4747-A239-A305B9C24369}"/>
    <cellStyle name="_INAR_MARZO_07032008 (modif)_Mix y ARP 2010 v2 7" xfId="2163" xr:uid="{8EA1EE7A-741E-471B-96BC-47696A4EBE20}"/>
    <cellStyle name="_INAR_MARZO_07032008 (modif)_Mix y ARP 2010 v2 8" xfId="2164" xr:uid="{B8E58781-1D2F-4597-99D6-03CD42380915}"/>
    <cellStyle name="_INAR_MARZO_07032008 (modif)_Mix y ARP 2010 v2 9" xfId="2165" xr:uid="{1F450798-73F2-42E7-B4F5-7B3F3072D542}"/>
    <cellStyle name="_INAR_MARZO_10032008 (modif)" xfId="2166" xr:uid="{75330BC7-9E1A-491D-BAFA-BCA0EFB66A64}"/>
    <cellStyle name="_INAR_MARZO_10032008 (modif)_FCST Subsidy Handset 2010 (Abril-Dic) 20100401v5 ejercicio A final envío con cierre (3) v 4" xfId="2167" xr:uid="{298E526B-A275-42C9-959A-F2B4C2B7F3BE}"/>
    <cellStyle name="_INAR_MARZO_10032008 (modif)_FCST Subsidy Handset 2010 (Abril-Dic) 20100401v5 ejercicio A final envío con cierre (3) v 4 10" xfId="2168" xr:uid="{B9C9B929-6EDA-4D17-BF63-B97767570325}"/>
    <cellStyle name="_INAR_MARZO_10032008 (modif)_FCST Subsidy Handset 2010 (Abril-Dic) 20100401v5 ejercicio A final envío con cierre (3) v 4 11" xfId="2169" xr:uid="{608FD4F9-B659-46B5-A7CB-32DAFC97E4E8}"/>
    <cellStyle name="_INAR_MARZO_10032008 (modif)_FCST Subsidy Handset 2010 (Abril-Dic) 20100401v5 ejercicio A final envío con cierre (3) v 4 12" xfId="2170" xr:uid="{1D05FAFE-89FA-42EA-BE08-8C7BBAB44713}"/>
    <cellStyle name="_INAR_MARZO_10032008 (modif)_FCST Subsidy Handset 2010 (Abril-Dic) 20100401v5 ejercicio A final envío con cierre (3) v 4 13" xfId="2171" xr:uid="{414BEF33-80D6-477F-B835-8114C0B15997}"/>
    <cellStyle name="_INAR_MARZO_10032008 (modif)_FCST Subsidy Handset 2010 (Abril-Dic) 20100401v5 ejercicio A final envío con cierre (3) v 4 14" xfId="2172" xr:uid="{F2023CB6-2AED-46BC-B861-229BCE5360E3}"/>
    <cellStyle name="_INAR_MARZO_10032008 (modif)_FCST Subsidy Handset 2010 (Abril-Dic) 20100401v5 ejercicio A final envío con cierre (3) v 4 2" xfId="2173" xr:uid="{40BA8A16-7C41-4848-86BA-BA1D223CC0B9}"/>
    <cellStyle name="_INAR_MARZO_10032008 (modif)_FCST Subsidy Handset 2010 (Abril-Dic) 20100401v5 ejercicio A final envío con cierre (3) v 4 3" xfId="2174" xr:uid="{9D9444A4-D750-48AC-A1D8-232D5C9B8EEF}"/>
    <cellStyle name="_INAR_MARZO_10032008 (modif)_FCST Subsidy Handset 2010 (Abril-Dic) 20100401v5 ejercicio A final envío con cierre (3) v 4 4" xfId="2175" xr:uid="{53DE7242-092C-45A9-B29C-225130EA42A8}"/>
    <cellStyle name="_INAR_MARZO_10032008 (modif)_FCST Subsidy Handset 2010 (Abril-Dic) 20100401v5 ejercicio A final envío con cierre (3) v 4 5" xfId="2176" xr:uid="{31DE8E92-13CB-4F10-953A-8F31DF91739E}"/>
    <cellStyle name="_INAR_MARZO_10032008 (modif)_FCST Subsidy Handset 2010 (Abril-Dic) 20100401v5 ejercicio A final envío con cierre (3) v 4 6" xfId="2177" xr:uid="{22CF7223-2E2F-446D-BB75-EC5B2EB97F86}"/>
    <cellStyle name="_INAR_MARZO_10032008 (modif)_FCST Subsidy Handset 2010 (Abril-Dic) 20100401v5 ejercicio A final envío con cierre (3) v 4 7" xfId="2178" xr:uid="{820501F7-DC06-4383-A210-6F4732CDE04B}"/>
    <cellStyle name="_INAR_MARZO_10032008 (modif)_FCST Subsidy Handset 2010 (Abril-Dic) 20100401v5 ejercicio A final envío con cierre (3) v 4 8" xfId="2179" xr:uid="{923FB89E-16C6-47A1-ACF0-A45A70A29747}"/>
    <cellStyle name="_INAR_MARZO_10032008 (modif)_FCST Subsidy Handset 2010 (Abril-Dic) 20100401v5 ejercicio A final envío con cierre (3) v 4 9" xfId="2180" xr:uid="{0EE4BE73-9E85-4E8D-9056-1D3F6B078C3E}"/>
    <cellStyle name="_INAR_MARZO_10032008 (modif)_FCST Subsidy Handset 2010 (Mayo-Dic) 20100518 CT1000 $0 y CT500 $0-$699 v4 ER ejerc promo navidad (2) ej4" xfId="2181" xr:uid="{4844B63B-02C7-4235-AE65-7FA39555AE24}"/>
    <cellStyle name="_INAR_MARZO_10032008 (modif)_FCST Subsidy Handset 2010 (Mayo-Dic) 20100518 CT1000 $0 y CT500 $0-$699 v4 ER ejerc promo navidad (2) ej4 10" xfId="2182" xr:uid="{D48CD567-0142-47E1-B8F6-572A273EB0BD}"/>
    <cellStyle name="_INAR_MARZO_10032008 (modif)_FCST Subsidy Handset 2010 (Mayo-Dic) 20100518 CT1000 $0 y CT500 $0-$699 v4 ER ejerc promo navidad (2) ej4 11" xfId="2183" xr:uid="{626807CE-EF51-4414-B178-0C1047F37A7F}"/>
    <cellStyle name="_INAR_MARZO_10032008 (modif)_FCST Subsidy Handset 2010 (Mayo-Dic) 20100518 CT1000 $0 y CT500 $0-$699 v4 ER ejerc promo navidad (2) ej4 12" xfId="2184" xr:uid="{F25EAFA7-D119-4888-AD4A-5F8F2673F52B}"/>
    <cellStyle name="_INAR_MARZO_10032008 (modif)_FCST Subsidy Handset 2010 (Mayo-Dic) 20100518 CT1000 $0 y CT500 $0-$699 v4 ER ejerc promo navidad (2) ej4 13" xfId="2185" xr:uid="{EFC44558-E90A-4E03-84EB-D7CA2B5EB018}"/>
    <cellStyle name="_INAR_MARZO_10032008 (modif)_FCST Subsidy Handset 2010 (Mayo-Dic) 20100518 CT1000 $0 y CT500 $0-$699 v4 ER ejerc promo navidad (2) ej4 14" xfId="2186" xr:uid="{66560312-8C7F-4951-A135-E552F168ECCD}"/>
    <cellStyle name="_INAR_MARZO_10032008 (modif)_FCST Subsidy Handset 2010 (Mayo-Dic) 20100518 CT1000 $0 y CT500 $0-$699 v4 ER ejerc promo navidad (2) ej4 2" xfId="2187" xr:uid="{9D481E2D-F9F3-47B1-B327-0C632E5CDAAB}"/>
    <cellStyle name="_INAR_MARZO_10032008 (modif)_FCST Subsidy Handset 2010 (Mayo-Dic) 20100518 CT1000 $0 y CT500 $0-$699 v4 ER ejerc promo navidad (2) ej4 3" xfId="2188" xr:uid="{4193610E-A169-4AD0-AD86-59B7138C913D}"/>
    <cellStyle name="_INAR_MARZO_10032008 (modif)_FCST Subsidy Handset 2010 (Mayo-Dic) 20100518 CT1000 $0 y CT500 $0-$699 v4 ER ejerc promo navidad (2) ej4 4" xfId="2189" xr:uid="{EA8E571A-25D5-4CF0-BC48-EB3E1A3579F3}"/>
    <cellStyle name="_INAR_MARZO_10032008 (modif)_FCST Subsidy Handset 2010 (Mayo-Dic) 20100518 CT1000 $0 y CT500 $0-$699 v4 ER ejerc promo navidad (2) ej4 5" xfId="2190" xr:uid="{F6E5C36E-D330-4615-A5B8-2CF1AA15FFD7}"/>
    <cellStyle name="_INAR_MARZO_10032008 (modif)_FCST Subsidy Handset 2010 (Mayo-Dic) 20100518 CT1000 $0 y CT500 $0-$699 v4 ER ejerc promo navidad (2) ej4 6" xfId="2191" xr:uid="{872386ED-B4CF-495A-9B81-91FBB9A94ACF}"/>
    <cellStyle name="_INAR_MARZO_10032008 (modif)_FCST Subsidy Handset 2010 (Mayo-Dic) 20100518 CT1000 $0 y CT500 $0-$699 v4 ER ejerc promo navidad (2) ej4 7" xfId="2192" xr:uid="{7AF8BFEB-C419-4891-B997-A22697C47810}"/>
    <cellStyle name="_INAR_MARZO_10032008 (modif)_FCST Subsidy Handset 2010 (Mayo-Dic) 20100518 CT1000 $0 y CT500 $0-$699 v4 ER ejerc promo navidad (2) ej4 8" xfId="2193" xr:uid="{52DF61D5-EC1A-4A11-B238-F1963E1A6AEA}"/>
    <cellStyle name="_INAR_MARZO_10032008 (modif)_FCST Subsidy Handset 2010 (Mayo-Dic) 20100518 CT1000 $0 y CT500 $0-$699 v4 ER ejerc promo navidad (2) ej4 9" xfId="2194" xr:uid="{E2B78E76-AD23-47F1-A641-6625BFE9520F}"/>
    <cellStyle name="_INAR_MARZO_10032008 (modif)_Mix y ARP 2010 v2" xfId="2195" xr:uid="{C119C1CD-1F7F-448B-AEF9-1BBECA740277}"/>
    <cellStyle name="_INAR_MARZO_10032008 (modif)_Mix y ARP 2010 v2 10" xfId="2196" xr:uid="{609281A2-B814-4FFB-881F-1D5695274DD8}"/>
    <cellStyle name="_INAR_MARZO_10032008 (modif)_Mix y ARP 2010 v2 11" xfId="2197" xr:uid="{4FF69047-EADD-49B5-ACFC-48E2FEB0F498}"/>
    <cellStyle name="_INAR_MARZO_10032008 (modif)_Mix y ARP 2010 v2 12" xfId="2198" xr:uid="{97926543-A0ED-4B95-A663-7FA953566AE4}"/>
    <cellStyle name="_INAR_MARZO_10032008 (modif)_Mix y ARP 2010 v2 13" xfId="2199" xr:uid="{FDFBE65C-B8CA-493F-955B-16058184A705}"/>
    <cellStyle name="_INAR_MARZO_10032008 (modif)_Mix y ARP 2010 v2 14" xfId="2200" xr:uid="{74A7F627-2D87-4065-9BEB-F3AA4B6DBCD5}"/>
    <cellStyle name="_INAR_MARZO_10032008 (modif)_Mix y ARP 2010 v2 2" xfId="2201" xr:uid="{2EC1600B-9304-4DD8-8402-FF487FCA2A33}"/>
    <cellStyle name="_INAR_MARZO_10032008 (modif)_Mix y ARP 2010 v2 3" xfId="2202" xr:uid="{74B00820-83B3-4AEC-85F2-1E4D01B1F426}"/>
    <cellStyle name="_INAR_MARZO_10032008 (modif)_Mix y ARP 2010 v2 4" xfId="2203" xr:uid="{6B671A23-95D5-4AE7-9163-B4528B96F6EE}"/>
    <cellStyle name="_INAR_MARZO_10032008 (modif)_Mix y ARP 2010 v2 5" xfId="2204" xr:uid="{F0735BE0-FAEE-41A4-BD91-C9788600C805}"/>
    <cellStyle name="_INAR_MARZO_10032008 (modif)_Mix y ARP 2010 v2 6" xfId="2205" xr:uid="{BF5F4A48-14F9-4C76-AB52-7878C3ED280F}"/>
    <cellStyle name="_INAR_MARZO_10032008 (modif)_Mix y ARP 2010 v2 7" xfId="2206" xr:uid="{EB283216-5B45-484A-896A-62DDA97B28C2}"/>
    <cellStyle name="_INAR_MARZO_10032008 (modif)_Mix y ARP 2010 v2 8" xfId="2207" xr:uid="{7C29C2DA-874D-4AB6-9FF5-CEF1F9BCD30C}"/>
    <cellStyle name="_INAR_MARZO_10032008 (modif)_Mix y ARP 2010 v2 9" xfId="2208" xr:uid="{B1B12F1E-DDC8-403D-A4F2-E4DEA4894254}"/>
    <cellStyle name="_INAR_MARZO_11032008" xfId="2209" xr:uid="{6AF55F0C-E40E-4E54-8EA7-D81DABFC41A4}"/>
    <cellStyle name="_INAR_MARZO_11032008_FCST Subsidy Handset 2010 (Abril-Dic) 20100401v5 ejercicio A final envío con cierre (3) v 4" xfId="2210" xr:uid="{8B36C652-234C-47C4-A8CE-999B8EDF036B}"/>
    <cellStyle name="_INAR_MARZO_11032008_FCST Subsidy Handset 2010 (Abril-Dic) 20100401v5 ejercicio A final envío con cierre (3) v 4 10" xfId="2211" xr:uid="{817697DE-291F-42A7-A4BE-E7F1360829A7}"/>
    <cellStyle name="_INAR_MARZO_11032008_FCST Subsidy Handset 2010 (Abril-Dic) 20100401v5 ejercicio A final envío con cierre (3) v 4 11" xfId="2212" xr:uid="{033098E7-22A7-4828-A364-72E417122C9F}"/>
    <cellStyle name="_INAR_MARZO_11032008_FCST Subsidy Handset 2010 (Abril-Dic) 20100401v5 ejercicio A final envío con cierre (3) v 4 12" xfId="2213" xr:uid="{4E181578-6F48-45B0-99D1-329A1FFD3107}"/>
    <cellStyle name="_INAR_MARZO_11032008_FCST Subsidy Handset 2010 (Abril-Dic) 20100401v5 ejercicio A final envío con cierre (3) v 4 13" xfId="2214" xr:uid="{208BC283-68DC-4BE1-8C5F-AA4838CA80EC}"/>
    <cellStyle name="_INAR_MARZO_11032008_FCST Subsidy Handset 2010 (Abril-Dic) 20100401v5 ejercicio A final envío con cierre (3) v 4 14" xfId="2215" xr:uid="{CD9AE0EB-84C3-48FD-9597-63538825EFCB}"/>
    <cellStyle name="_INAR_MARZO_11032008_FCST Subsidy Handset 2010 (Abril-Dic) 20100401v5 ejercicio A final envío con cierre (3) v 4 2" xfId="2216" xr:uid="{21697B38-833A-4098-864E-49AD0F485083}"/>
    <cellStyle name="_INAR_MARZO_11032008_FCST Subsidy Handset 2010 (Abril-Dic) 20100401v5 ejercicio A final envío con cierre (3) v 4 3" xfId="2217" xr:uid="{3AE37EF0-E0F3-4D2C-B04C-0789689CB200}"/>
    <cellStyle name="_INAR_MARZO_11032008_FCST Subsidy Handset 2010 (Abril-Dic) 20100401v5 ejercicio A final envío con cierre (3) v 4 4" xfId="2218" xr:uid="{B022109C-B74B-458A-89E7-90369D841D5D}"/>
    <cellStyle name="_INAR_MARZO_11032008_FCST Subsidy Handset 2010 (Abril-Dic) 20100401v5 ejercicio A final envío con cierre (3) v 4 5" xfId="2219" xr:uid="{ADD9D827-6186-4FCD-A5C6-FEB9465A4EC7}"/>
    <cellStyle name="_INAR_MARZO_11032008_FCST Subsidy Handset 2010 (Abril-Dic) 20100401v5 ejercicio A final envío con cierre (3) v 4 6" xfId="2220" xr:uid="{5B571729-C5FB-4DE9-A91D-95F8E4525D0E}"/>
    <cellStyle name="_INAR_MARZO_11032008_FCST Subsidy Handset 2010 (Abril-Dic) 20100401v5 ejercicio A final envío con cierre (3) v 4 7" xfId="2221" xr:uid="{08B376FE-1E6F-4B10-BDFC-91288131678E}"/>
    <cellStyle name="_INAR_MARZO_11032008_FCST Subsidy Handset 2010 (Abril-Dic) 20100401v5 ejercicio A final envío con cierre (3) v 4 8" xfId="2222" xr:uid="{0AA25264-B842-467E-A7AA-A827F7077CBA}"/>
    <cellStyle name="_INAR_MARZO_11032008_FCST Subsidy Handset 2010 (Abril-Dic) 20100401v5 ejercicio A final envío con cierre (3) v 4 9" xfId="2223" xr:uid="{5A16E67A-33D9-45BF-B9C2-A573AB7806DF}"/>
    <cellStyle name="_INAR_MARZO_11032008_FCST Subsidy Handset 2010 (Mayo-Dic) 20100518 CT1000 $0 y CT500 $0-$699 v4 ER ejerc promo navidad (2) ej4" xfId="2224" xr:uid="{A343B39F-E7A6-4894-BEBA-9BCA4BD638ED}"/>
    <cellStyle name="_INAR_MARZO_11032008_FCST Subsidy Handset 2010 (Mayo-Dic) 20100518 CT1000 $0 y CT500 $0-$699 v4 ER ejerc promo navidad (2) ej4 10" xfId="2225" xr:uid="{98D41C8A-A988-4431-BA3E-99DF43F25769}"/>
    <cellStyle name="_INAR_MARZO_11032008_FCST Subsidy Handset 2010 (Mayo-Dic) 20100518 CT1000 $0 y CT500 $0-$699 v4 ER ejerc promo navidad (2) ej4 11" xfId="2226" xr:uid="{C232D973-22FF-4454-9C54-4381029B5E48}"/>
    <cellStyle name="_INAR_MARZO_11032008_FCST Subsidy Handset 2010 (Mayo-Dic) 20100518 CT1000 $0 y CT500 $0-$699 v4 ER ejerc promo navidad (2) ej4 12" xfId="2227" xr:uid="{60AC2AE2-A5E6-40C9-BDE3-E665C76CFFAF}"/>
    <cellStyle name="_INAR_MARZO_11032008_FCST Subsidy Handset 2010 (Mayo-Dic) 20100518 CT1000 $0 y CT500 $0-$699 v4 ER ejerc promo navidad (2) ej4 13" xfId="2228" xr:uid="{DE5A8A78-913E-4127-BCFA-4FFE7C4D979D}"/>
    <cellStyle name="_INAR_MARZO_11032008_FCST Subsidy Handset 2010 (Mayo-Dic) 20100518 CT1000 $0 y CT500 $0-$699 v4 ER ejerc promo navidad (2) ej4 14" xfId="2229" xr:uid="{00C8A1B2-3756-4E97-9FA1-0ADA3A4E22E4}"/>
    <cellStyle name="_INAR_MARZO_11032008_FCST Subsidy Handset 2010 (Mayo-Dic) 20100518 CT1000 $0 y CT500 $0-$699 v4 ER ejerc promo navidad (2) ej4 2" xfId="2230" xr:uid="{541562EF-C0AF-4102-B308-82DD65BC98A2}"/>
    <cellStyle name="_INAR_MARZO_11032008_FCST Subsidy Handset 2010 (Mayo-Dic) 20100518 CT1000 $0 y CT500 $0-$699 v4 ER ejerc promo navidad (2) ej4 3" xfId="2231" xr:uid="{7144825A-E161-44E8-A454-5B42476E22EE}"/>
    <cellStyle name="_INAR_MARZO_11032008_FCST Subsidy Handset 2010 (Mayo-Dic) 20100518 CT1000 $0 y CT500 $0-$699 v4 ER ejerc promo navidad (2) ej4 4" xfId="2232" xr:uid="{9ACE7E30-931D-45A1-9344-1C7167EBD58E}"/>
    <cellStyle name="_INAR_MARZO_11032008_FCST Subsidy Handset 2010 (Mayo-Dic) 20100518 CT1000 $0 y CT500 $0-$699 v4 ER ejerc promo navidad (2) ej4 5" xfId="2233" xr:uid="{569230AE-CCC4-43DA-8BE5-213F32E2886A}"/>
    <cellStyle name="_INAR_MARZO_11032008_FCST Subsidy Handset 2010 (Mayo-Dic) 20100518 CT1000 $0 y CT500 $0-$699 v4 ER ejerc promo navidad (2) ej4 6" xfId="2234" xr:uid="{43E478F2-EA64-4149-9046-6C7F727FF4A5}"/>
    <cellStyle name="_INAR_MARZO_11032008_FCST Subsidy Handset 2010 (Mayo-Dic) 20100518 CT1000 $0 y CT500 $0-$699 v4 ER ejerc promo navidad (2) ej4 7" xfId="2235" xr:uid="{956D64C8-9C7C-4B35-B488-367D7593954C}"/>
    <cellStyle name="_INAR_MARZO_11032008_FCST Subsidy Handset 2010 (Mayo-Dic) 20100518 CT1000 $0 y CT500 $0-$699 v4 ER ejerc promo navidad (2) ej4 8" xfId="2236" xr:uid="{A422725E-7BCE-4DBE-99B5-0757AE8CDE7D}"/>
    <cellStyle name="_INAR_MARZO_11032008_FCST Subsidy Handset 2010 (Mayo-Dic) 20100518 CT1000 $0 y CT500 $0-$699 v4 ER ejerc promo navidad (2) ej4 9" xfId="2237" xr:uid="{F3FC6DF0-FBAB-422F-B676-D3760FA2170C}"/>
    <cellStyle name="_INAR_MARZO_11032008_Mix y ARP 2010 v2" xfId="2238" xr:uid="{CF14EB68-F458-4143-B856-42D8866F0F17}"/>
    <cellStyle name="_INAR_MARZO_11032008_Mix y ARP 2010 v2 10" xfId="2239" xr:uid="{6578FFAF-AF9B-4395-8872-B39AEF420964}"/>
    <cellStyle name="_INAR_MARZO_11032008_Mix y ARP 2010 v2 11" xfId="2240" xr:uid="{ED6ED2BA-3111-4FE3-BF18-B5903F4513D8}"/>
    <cellStyle name="_INAR_MARZO_11032008_Mix y ARP 2010 v2 12" xfId="2241" xr:uid="{39A11F7F-C569-4D59-9AE4-4C255EBCFCB0}"/>
    <cellStyle name="_INAR_MARZO_11032008_Mix y ARP 2010 v2 13" xfId="2242" xr:uid="{C50E8C55-CEF1-431D-88B2-879B018802BD}"/>
    <cellStyle name="_INAR_MARZO_11032008_Mix y ARP 2010 v2 14" xfId="2243" xr:uid="{E228C7F3-8F6D-4A10-8E1F-C41914ED9F27}"/>
    <cellStyle name="_INAR_MARZO_11032008_Mix y ARP 2010 v2 2" xfId="2244" xr:uid="{CA45679C-6A4A-4134-9DBD-CD498331AEBF}"/>
    <cellStyle name="_INAR_MARZO_11032008_Mix y ARP 2010 v2 3" xfId="2245" xr:uid="{EBC5C086-677C-4549-B7C6-0C8D72A3BD75}"/>
    <cellStyle name="_INAR_MARZO_11032008_Mix y ARP 2010 v2 4" xfId="2246" xr:uid="{09A2902D-B3B1-493B-B6A8-950963FCEA49}"/>
    <cellStyle name="_INAR_MARZO_11032008_Mix y ARP 2010 v2 5" xfId="2247" xr:uid="{57A75AF6-E4AE-4AA1-91B5-A8442BD27D84}"/>
    <cellStyle name="_INAR_MARZO_11032008_Mix y ARP 2010 v2 6" xfId="2248" xr:uid="{5EC8D4BA-DD38-43CA-B47D-A107F95EC927}"/>
    <cellStyle name="_INAR_MARZO_11032008_Mix y ARP 2010 v2 7" xfId="2249" xr:uid="{57E44DD0-DDC8-479E-90D2-F6A413210680}"/>
    <cellStyle name="_INAR_MARZO_11032008_Mix y ARP 2010 v2 8" xfId="2250" xr:uid="{BF4FEA19-CDF7-4644-B5F1-97B04ED13A14}"/>
    <cellStyle name="_INAR_MARZO_11032008_Mix y ARP 2010 v2 9" xfId="2251" xr:uid="{F72B145B-A596-4971-9773-F65E458E8E22}"/>
    <cellStyle name="_INAR_MARZO_12032008 (modif)" xfId="2252" xr:uid="{065E0EBB-9F21-4E21-8F75-CD97FDF217B0}"/>
    <cellStyle name="_INAR_MARZO_12032008 (modif)_FCST Subsidy Handset 2010 (Abril-Dic) 20100401v5 ejercicio A final envío con cierre (3) v 4" xfId="2253" xr:uid="{51FEF168-4617-48A4-8E84-34600501C2FA}"/>
    <cellStyle name="_INAR_MARZO_12032008 (modif)_FCST Subsidy Handset 2010 (Abril-Dic) 20100401v5 ejercicio A final envío con cierre (3) v 4 10" xfId="2254" xr:uid="{5478DF54-0CE0-4417-9C5C-88B9238B8C07}"/>
    <cellStyle name="_INAR_MARZO_12032008 (modif)_FCST Subsidy Handset 2010 (Abril-Dic) 20100401v5 ejercicio A final envío con cierre (3) v 4 11" xfId="2255" xr:uid="{1803846D-E7C4-4772-AFD7-FEB774116776}"/>
    <cellStyle name="_INAR_MARZO_12032008 (modif)_FCST Subsidy Handset 2010 (Abril-Dic) 20100401v5 ejercicio A final envío con cierre (3) v 4 12" xfId="2256" xr:uid="{686BB6B0-919B-4CF0-8720-36360C1FC850}"/>
    <cellStyle name="_INAR_MARZO_12032008 (modif)_FCST Subsidy Handset 2010 (Abril-Dic) 20100401v5 ejercicio A final envío con cierre (3) v 4 13" xfId="2257" xr:uid="{24706668-EA7C-4967-BCD1-402A084C0075}"/>
    <cellStyle name="_INAR_MARZO_12032008 (modif)_FCST Subsidy Handset 2010 (Abril-Dic) 20100401v5 ejercicio A final envío con cierre (3) v 4 14" xfId="2258" xr:uid="{5049A7AD-0C6D-4D20-8568-69614CFC1DA0}"/>
    <cellStyle name="_INAR_MARZO_12032008 (modif)_FCST Subsidy Handset 2010 (Abril-Dic) 20100401v5 ejercicio A final envío con cierre (3) v 4 2" xfId="2259" xr:uid="{10E6837A-AF12-4346-98A3-BDDD1432857E}"/>
    <cellStyle name="_INAR_MARZO_12032008 (modif)_FCST Subsidy Handset 2010 (Abril-Dic) 20100401v5 ejercicio A final envío con cierre (3) v 4 3" xfId="2260" xr:uid="{9D3921C4-500A-422A-9AA8-BB5D537CAF10}"/>
    <cellStyle name="_INAR_MARZO_12032008 (modif)_FCST Subsidy Handset 2010 (Abril-Dic) 20100401v5 ejercicio A final envío con cierre (3) v 4 4" xfId="2261" xr:uid="{FE03F972-F360-4A91-8B6D-352698EAB392}"/>
    <cellStyle name="_INAR_MARZO_12032008 (modif)_FCST Subsidy Handset 2010 (Abril-Dic) 20100401v5 ejercicio A final envío con cierre (3) v 4 5" xfId="2262" xr:uid="{4BEACE9F-772A-455C-B713-B3F3C1619952}"/>
    <cellStyle name="_INAR_MARZO_12032008 (modif)_FCST Subsidy Handset 2010 (Abril-Dic) 20100401v5 ejercicio A final envío con cierre (3) v 4 6" xfId="2263" xr:uid="{C573E886-EDD0-4056-AA08-6C52728BA90D}"/>
    <cellStyle name="_INAR_MARZO_12032008 (modif)_FCST Subsidy Handset 2010 (Abril-Dic) 20100401v5 ejercicio A final envío con cierre (3) v 4 7" xfId="2264" xr:uid="{FA74C935-AEA6-4ED9-AFD5-66D3AF04DF7A}"/>
    <cellStyle name="_INAR_MARZO_12032008 (modif)_FCST Subsidy Handset 2010 (Abril-Dic) 20100401v5 ejercicio A final envío con cierre (3) v 4 8" xfId="2265" xr:uid="{C06E0A16-2F18-46B8-B04C-94E452ADFB5F}"/>
    <cellStyle name="_INAR_MARZO_12032008 (modif)_FCST Subsidy Handset 2010 (Abril-Dic) 20100401v5 ejercicio A final envío con cierre (3) v 4 9" xfId="2266" xr:uid="{88A2E1C4-F947-4C2B-AE70-AD4010635CEF}"/>
    <cellStyle name="_INAR_MARZO_12032008 (modif)_FCST Subsidy Handset 2010 (Mayo-Dic) 20100518 CT1000 $0 y CT500 $0-$699 v4 ER ejerc promo navidad (2) ej4" xfId="2267" xr:uid="{54664775-5994-4640-99B5-DD346C377CBF}"/>
    <cellStyle name="_INAR_MARZO_12032008 (modif)_FCST Subsidy Handset 2010 (Mayo-Dic) 20100518 CT1000 $0 y CT500 $0-$699 v4 ER ejerc promo navidad (2) ej4 10" xfId="2268" xr:uid="{BBDECB98-12CF-4394-AFB3-08A8AE69BAD2}"/>
    <cellStyle name="_INAR_MARZO_12032008 (modif)_FCST Subsidy Handset 2010 (Mayo-Dic) 20100518 CT1000 $0 y CT500 $0-$699 v4 ER ejerc promo navidad (2) ej4 11" xfId="2269" xr:uid="{C4BF2C52-9AD6-4B4B-8FA7-EBC35B9F07C1}"/>
    <cellStyle name="_INAR_MARZO_12032008 (modif)_FCST Subsidy Handset 2010 (Mayo-Dic) 20100518 CT1000 $0 y CT500 $0-$699 v4 ER ejerc promo navidad (2) ej4 12" xfId="2270" xr:uid="{1F952858-2AE3-442A-8668-EA291B4B45B2}"/>
    <cellStyle name="_INAR_MARZO_12032008 (modif)_FCST Subsidy Handset 2010 (Mayo-Dic) 20100518 CT1000 $0 y CT500 $0-$699 v4 ER ejerc promo navidad (2) ej4 13" xfId="2271" xr:uid="{152B38DF-303A-4FFB-BE37-0857F36DC092}"/>
    <cellStyle name="_INAR_MARZO_12032008 (modif)_FCST Subsidy Handset 2010 (Mayo-Dic) 20100518 CT1000 $0 y CT500 $0-$699 v4 ER ejerc promo navidad (2) ej4 14" xfId="2272" xr:uid="{F917B82B-D162-4DB7-A0F5-69F2F2402A79}"/>
    <cellStyle name="_INAR_MARZO_12032008 (modif)_FCST Subsidy Handset 2010 (Mayo-Dic) 20100518 CT1000 $0 y CT500 $0-$699 v4 ER ejerc promo navidad (2) ej4 2" xfId="2273" xr:uid="{7B8ECD26-DCAD-4249-854D-76A2F3F2BA96}"/>
    <cellStyle name="_INAR_MARZO_12032008 (modif)_FCST Subsidy Handset 2010 (Mayo-Dic) 20100518 CT1000 $0 y CT500 $0-$699 v4 ER ejerc promo navidad (2) ej4 3" xfId="2274" xr:uid="{5578A488-54C6-41B5-99B2-4B19A1B2CCB4}"/>
    <cellStyle name="_INAR_MARZO_12032008 (modif)_FCST Subsidy Handset 2010 (Mayo-Dic) 20100518 CT1000 $0 y CT500 $0-$699 v4 ER ejerc promo navidad (2) ej4 4" xfId="2275" xr:uid="{E39E23EC-9BC3-41E7-BB43-75AC43CC521A}"/>
    <cellStyle name="_INAR_MARZO_12032008 (modif)_FCST Subsidy Handset 2010 (Mayo-Dic) 20100518 CT1000 $0 y CT500 $0-$699 v4 ER ejerc promo navidad (2) ej4 5" xfId="2276" xr:uid="{FEB7F4AD-A580-4D4F-8B4B-E2B3577CE26B}"/>
    <cellStyle name="_INAR_MARZO_12032008 (modif)_FCST Subsidy Handset 2010 (Mayo-Dic) 20100518 CT1000 $0 y CT500 $0-$699 v4 ER ejerc promo navidad (2) ej4 6" xfId="2277" xr:uid="{E03164DA-AA9F-4238-B155-CAECFA2935D0}"/>
    <cellStyle name="_INAR_MARZO_12032008 (modif)_FCST Subsidy Handset 2010 (Mayo-Dic) 20100518 CT1000 $0 y CT500 $0-$699 v4 ER ejerc promo navidad (2) ej4 7" xfId="2278" xr:uid="{B4FB5071-1F9D-4CAF-8DE3-3853CD6F9471}"/>
    <cellStyle name="_INAR_MARZO_12032008 (modif)_FCST Subsidy Handset 2010 (Mayo-Dic) 20100518 CT1000 $0 y CT500 $0-$699 v4 ER ejerc promo navidad (2) ej4 8" xfId="2279" xr:uid="{38DE11C4-AD42-4B77-AA46-770C7DE604A6}"/>
    <cellStyle name="_INAR_MARZO_12032008 (modif)_FCST Subsidy Handset 2010 (Mayo-Dic) 20100518 CT1000 $0 y CT500 $0-$699 v4 ER ejerc promo navidad (2) ej4 9" xfId="2280" xr:uid="{9CBF26BF-0CC3-401C-A627-DACE497A51C4}"/>
    <cellStyle name="_INAR_MARZO_12032008 (modif)_Mix y ARP 2010 v2" xfId="2281" xr:uid="{86FB2A11-2B4B-4A43-9E51-9AEFB9AD38D3}"/>
    <cellStyle name="_INAR_MARZO_12032008 (modif)_Mix y ARP 2010 v2 10" xfId="2282" xr:uid="{6C78AFA8-63DC-4E79-8871-FFE439F9C71F}"/>
    <cellStyle name="_INAR_MARZO_12032008 (modif)_Mix y ARP 2010 v2 11" xfId="2283" xr:uid="{BCFD7CA3-F3F8-4F00-85D7-A9B5BCCE93B8}"/>
    <cellStyle name="_INAR_MARZO_12032008 (modif)_Mix y ARP 2010 v2 12" xfId="2284" xr:uid="{6244F8B0-279F-4C1B-B895-8D35DC140633}"/>
    <cellStyle name="_INAR_MARZO_12032008 (modif)_Mix y ARP 2010 v2 13" xfId="2285" xr:uid="{9F1D513D-7A21-440B-9F0E-5F22920EB255}"/>
    <cellStyle name="_INAR_MARZO_12032008 (modif)_Mix y ARP 2010 v2 14" xfId="2286" xr:uid="{A7CCD86A-D90B-4CB8-9EB2-1D7D7CAB9703}"/>
    <cellStyle name="_INAR_MARZO_12032008 (modif)_Mix y ARP 2010 v2 2" xfId="2287" xr:uid="{E39FDD65-C000-468E-838D-D71334B5AF8D}"/>
    <cellStyle name="_INAR_MARZO_12032008 (modif)_Mix y ARP 2010 v2 3" xfId="2288" xr:uid="{3DCF102A-CAA8-434E-8702-E7DF629FEED7}"/>
    <cellStyle name="_INAR_MARZO_12032008 (modif)_Mix y ARP 2010 v2 4" xfId="2289" xr:uid="{09B5B9D1-C4B5-4A8D-AB99-67D962D3C581}"/>
    <cellStyle name="_INAR_MARZO_12032008 (modif)_Mix y ARP 2010 v2 5" xfId="2290" xr:uid="{4F3243F2-C400-456B-9D55-AD0B8810A7F1}"/>
    <cellStyle name="_INAR_MARZO_12032008 (modif)_Mix y ARP 2010 v2 6" xfId="2291" xr:uid="{DE5BCDA0-9B79-4987-B92F-0A381D92BC3A}"/>
    <cellStyle name="_INAR_MARZO_12032008 (modif)_Mix y ARP 2010 v2 7" xfId="2292" xr:uid="{03F1B984-B48D-47FA-ADA9-1983524E8C5D}"/>
    <cellStyle name="_INAR_MARZO_12032008 (modif)_Mix y ARP 2010 v2 8" xfId="2293" xr:uid="{01895E71-B00E-400B-8FED-E788C5AF93DC}"/>
    <cellStyle name="_INAR_MARZO_12032008 (modif)_Mix y ARP 2010 v2 9" xfId="2294" xr:uid="{9CC1A19B-66CD-4780-88BA-C4CA4B3D4723}"/>
    <cellStyle name="_INAR_MARZO_13032008 (modif)" xfId="2295" xr:uid="{90C70228-C7FB-4E0A-9999-A048918FD65F}"/>
    <cellStyle name="_INAR_MARZO_13032008 (modif)_FCST Subsidy Handset 2010 (Abril-Dic) 20100401v5 ejercicio A final envío con cierre (3) v 4" xfId="2296" xr:uid="{DFE4338D-A220-4035-AEB2-5A2C4FC89A83}"/>
    <cellStyle name="_INAR_MARZO_13032008 (modif)_FCST Subsidy Handset 2010 (Abril-Dic) 20100401v5 ejercicio A final envío con cierre (3) v 4 10" xfId="2297" xr:uid="{599B4B7E-932F-48D9-8550-4E906F589563}"/>
    <cellStyle name="_INAR_MARZO_13032008 (modif)_FCST Subsidy Handset 2010 (Abril-Dic) 20100401v5 ejercicio A final envío con cierre (3) v 4 11" xfId="2298" xr:uid="{BDCDBE94-24DC-4541-AB89-D3C43C63C8BC}"/>
    <cellStyle name="_INAR_MARZO_13032008 (modif)_FCST Subsidy Handset 2010 (Abril-Dic) 20100401v5 ejercicio A final envío con cierre (3) v 4 12" xfId="2299" xr:uid="{BEABF2ED-0C57-499D-8E73-D1A92EA1CEC8}"/>
    <cellStyle name="_INAR_MARZO_13032008 (modif)_FCST Subsidy Handset 2010 (Abril-Dic) 20100401v5 ejercicio A final envío con cierre (3) v 4 13" xfId="2300" xr:uid="{FB6DE8E8-B5BB-4B03-912F-EFF1349C9D6D}"/>
    <cellStyle name="_INAR_MARZO_13032008 (modif)_FCST Subsidy Handset 2010 (Abril-Dic) 20100401v5 ejercicio A final envío con cierre (3) v 4 14" xfId="2301" xr:uid="{997909EF-16C6-4D47-B210-F3796A805A46}"/>
    <cellStyle name="_INAR_MARZO_13032008 (modif)_FCST Subsidy Handset 2010 (Abril-Dic) 20100401v5 ejercicio A final envío con cierre (3) v 4 2" xfId="2302" xr:uid="{BABEB85B-B21E-4F17-9590-A1465C7CBEB9}"/>
    <cellStyle name="_INAR_MARZO_13032008 (modif)_FCST Subsidy Handset 2010 (Abril-Dic) 20100401v5 ejercicio A final envío con cierre (3) v 4 3" xfId="2303" xr:uid="{FFCC8436-53D9-4246-82C4-06B5540269D7}"/>
    <cellStyle name="_INAR_MARZO_13032008 (modif)_FCST Subsidy Handset 2010 (Abril-Dic) 20100401v5 ejercicio A final envío con cierre (3) v 4 4" xfId="2304" xr:uid="{2E672D42-EA75-4F7B-B0F2-D438F4611F2D}"/>
    <cellStyle name="_INAR_MARZO_13032008 (modif)_FCST Subsidy Handset 2010 (Abril-Dic) 20100401v5 ejercicio A final envío con cierre (3) v 4 5" xfId="2305" xr:uid="{7BFCCEB1-0EE3-4602-9FDD-C50504EC9CDF}"/>
    <cellStyle name="_INAR_MARZO_13032008 (modif)_FCST Subsidy Handset 2010 (Abril-Dic) 20100401v5 ejercicio A final envío con cierre (3) v 4 6" xfId="2306" xr:uid="{121FB1B6-F434-4B92-80B5-41344715625A}"/>
    <cellStyle name="_INAR_MARZO_13032008 (modif)_FCST Subsidy Handset 2010 (Abril-Dic) 20100401v5 ejercicio A final envío con cierre (3) v 4 7" xfId="2307" xr:uid="{84FE410A-BFA2-4C0B-AC82-140BB9386DA2}"/>
    <cellStyle name="_INAR_MARZO_13032008 (modif)_FCST Subsidy Handset 2010 (Abril-Dic) 20100401v5 ejercicio A final envío con cierre (3) v 4 8" xfId="2308" xr:uid="{EF9FBA5D-7050-481C-9B3F-86DB8E3CBF2B}"/>
    <cellStyle name="_INAR_MARZO_13032008 (modif)_FCST Subsidy Handset 2010 (Abril-Dic) 20100401v5 ejercicio A final envío con cierre (3) v 4 9" xfId="2309" xr:uid="{8B010675-E457-457C-94BE-EC80B1A869EE}"/>
    <cellStyle name="_INAR_MARZO_13032008 (modif)_FCST Subsidy Handset 2010 (Mayo-Dic) 20100518 CT1000 $0 y CT500 $0-$699 v4 ER ejerc promo navidad (2) ej4" xfId="2310" xr:uid="{DA1532F5-48F1-431C-BB3E-9E275DDB5230}"/>
    <cellStyle name="_INAR_MARZO_13032008 (modif)_FCST Subsidy Handset 2010 (Mayo-Dic) 20100518 CT1000 $0 y CT500 $0-$699 v4 ER ejerc promo navidad (2) ej4 10" xfId="2311" xr:uid="{4CB0D658-5615-4785-8A3C-2C0A05A153EE}"/>
    <cellStyle name="_INAR_MARZO_13032008 (modif)_FCST Subsidy Handset 2010 (Mayo-Dic) 20100518 CT1000 $0 y CT500 $0-$699 v4 ER ejerc promo navidad (2) ej4 11" xfId="2312" xr:uid="{25B5048C-FC18-473F-A4B0-98AB1739465F}"/>
    <cellStyle name="_INAR_MARZO_13032008 (modif)_FCST Subsidy Handset 2010 (Mayo-Dic) 20100518 CT1000 $0 y CT500 $0-$699 v4 ER ejerc promo navidad (2) ej4 12" xfId="2313" xr:uid="{E189F6B7-DFEF-4805-9AA8-E587CDBF017B}"/>
    <cellStyle name="_INAR_MARZO_13032008 (modif)_FCST Subsidy Handset 2010 (Mayo-Dic) 20100518 CT1000 $0 y CT500 $0-$699 v4 ER ejerc promo navidad (2) ej4 13" xfId="2314" xr:uid="{9D1B3755-97DE-4CF6-9123-21A1F05FA41A}"/>
    <cellStyle name="_INAR_MARZO_13032008 (modif)_FCST Subsidy Handset 2010 (Mayo-Dic) 20100518 CT1000 $0 y CT500 $0-$699 v4 ER ejerc promo navidad (2) ej4 14" xfId="2315" xr:uid="{2267133C-67CF-44B9-B662-06E8F7445D9E}"/>
    <cellStyle name="_INAR_MARZO_13032008 (modif)_FCST Subsidy Handset 2010 (Mayo-Dic) 20100518 CT1000 $0 y CT500 $0-$699 v4 ER ejerc promo navidad (2) ej4 2" xfId="2316" xr:uid="{633B5B29-379E-4566-8B8B-D06ABF81EFF7}"/>
    <cellStyle name="_INAR_MARZO_13032008 (modif)_FCST Subsidy Handset 2010 (Mayo-Dic) 20100518 CT1000 $0 y CT500 $0-$699 v4 ER ejerc promo navidad (2) ej4 3" xfId="2317" xr:uid="{E6AD57B8-3C6B-46CD-9465-0803A7C5F037}"/>
    <cellStyle name="_INAR_MARZO_13032008 (modif)_FCST Subsidy Handset 2010 (Mayo-Dic) 20100518 CT1000 $0 y CT500 $0-$699 v4 ER ejerc promo navidad (2) ej4 4" xfId="2318" xr:uid="{4319B50E-ECD8-4782-9ED6-B9A09BB2B161}"/>
    <cellStyle name="_INAR_MARZO_13032008 (modif)_FCST Subsidy Handset 2010 (Mayo-Dic) 20100518 CT1000 $0 y CT500 $0-$699 v4 ER ejerc promo navidad (2) ej4 5" xfId="2319" xr:uid="{CCE559A1-4B52-4186-AAA4-3AB51A3918E0}"/>
    <cellStyle name="_INAR_MARZO_13032008 (modif)_FCST Subsidy Handset 2010 (Mayo-Dic) 20100518 CT1000 $0 y CT500 $0-$699 v4 ER ejerc promo navidad (2) ej4 6" xfId="2320" xr:uid="{DC2C6E7A-E82E-4DC8-B7A4-EA456FEE4184}"/>
    <cellStyle name="_INAR_MARZO_13032008 (modif)_FCST Subsidy Handset 2010 (Mayo-Dic) 20100518 CT1000 $0 y CT500 $0-$699 v4 ER ejerc promo navidad (2) ej4 7" xfId="2321" xr:uid="{F77CEB6A-5575-4F4A-97C9-9327BCCED3EE}"/>
    <cellStyle name="_INAR_MARZO_13032008 (modif)_FCST Subsidy Handset 2010 (Mayo-Dic) 20100518 CT1000 $0 y CT500 $0-$699 v4 ER ejerc promo navidad (2) ej4 8" xfId="2322" xr:uid="{D48B0470-B3EB-416D-8CAB-A71DB27C0AD4}"/>
    <cellStyle name="_INAR_MARZO_13032008 (modif)_FCST Subsidy Handset 2010 (Mayo-Dic) 20100518 CT1000 $0 y CT500 $0-$699 v4 ER ejerc promo navidad (2) ej4 9" xfId="2323" xr:uid="{C2028DDA-7709-476A-94E7-821DF6E1FCA3}"/>
    <cellStyle name="_INAR_MARZO_13032008 (modif)_Mix y ARP 2010 v2" xfId="2324" xr:uid="{0D3E3886-F1E8-4516-A6AF-78817BC2717B}"/>
    <cellStyle name="_INAR_MARZO_13032008 (modif)_Mix y ARP 2010 v2 10" xfId="2325" xr:uid="{951B7871-D9B3-48D3-92B2-8FC524841B0D}"/>
    <cellStyle name="_INAR_MARZO_13032008 (modif)_Mix y ARP 2010 v2 11" xfId="2326" xr:uid="{7C316963-4A72-4A8A-A0CC-3392931237DA}"/>
    <cellStyle name="_INAR_MARZO_13032008 (modif)_Mix y ARP 2010 v2 12" xfId="2327" xr:uid="{EC81EF28-3F92-49E1-95B4-DB6554A4F6E0}"/>
    <cellStyle name="_INAR_MARZO_13032008 (modif)_Mix y ARP 2010 v2 13" xfId="2328" xr:uid="{AEBA8B60-0680-43B4-BDD7-B665690BB271}"/>
    <cellStyle name="_INAR_MARZO_13032008 (modif)_Mix y ARP 2010 v2 14" xfId="2329" xr:uid="{CF2D77CC-1F1C-4E0E-9099-B1F5594D3A19}"/>
    <cellStyle name="_INAR_MARZO_13032008 (modif)_Mix y ARP 2010 v2 2" xfId="2330" xr:uid="{C39C5534-026B-4996-A206-C95B525A5EF1}"/>
    <cellStyle name="_INAR_MARZO_13032008 (modif)_Mix y ARP 2010 v2 3" xfId="2331" xr:uid="{24F580BC-5686-461E-8BAF-49F09EDEC2E7}"/>
    <cellStyle name="_INAR_MARZO_13032008 (modif)_Mix y ARP 2010 v2 4" xfId="2332" xr:uid="{2AFD7EE0-184E-4B72-8DE2-449E69A799E0}"/>
    <cellStyle name="_INAR_MARZO_13032008 (modif)_Mix y ARP 2010 v2 5" xfId="2333" xr:uid="{843F4C96-F684-4B01-BF5E-8A11B956C254}"/>
    <cellStyle name="_INAR_MARZO_13032008 (modif)_Mix y ARP 2010 v2 6" xfId="2334" xr:uid="{68778970-748F-41B8-B2E3-28BDD198C1BB}"/>
    <cellStyle name="_INAR_MARZO_13032008 (modif)_Mix y ARP 2010 v2 7" xfId="2335" xr:uid="{F3FABD03-CD0A-4C09-89B3-BB9FE55B3EC2}"/>
    <cellStyle name="_INAR_MARZO_13032008 (modif)_Mix y ARP 2010 v2 8" xfId="2336" xr:uid="{BD6D8279-CC7F-4BF1-BF46-ADFD179194C7}"/>
    <cellStyle name="_INAR_MARZO_13032008 (modif)_Mix y ARP 2010 v2 9" xfId="2337" xr:uid="{A82B1F12-B307-4F87-B239-21BA873A5F3E}"/>
    <cellStyle name="_INAR_MARZO_14032008" xfId="2338" xr:uid="{616F65E5-C32F-4ECC-963B-D7897C361297}"/>
    <cellStyle name="_INAR_MARZO_14032008_FCST Subsidy Handset 2010 (Abril-Dic) 20100401v5 ejercicio A final envío con cierre (3) v 4" xfId="2339" xr:uid="{1DA9923C-C1AE-4FA8-A731-D96E8A78D9F4}"/>
    <cellStyle name="_INAR_MARZO_14032008_FCST Subsidy Handset 2010 (Abril-Dic) 20100401v5 ejercicio A final envío con cierre (3) v 4 10" xfId="2340" xr:uid="{E96BBAA7-E8A2-43DE-8BE6-3DA247E3007A}"/>
    <cellStyle name="_INAR_MARZO_14032008_FCST Subsidy Handset 2010 (Abril-Dic) 20100401v5 ejercicio A final envío con cierre (3) v 4 11" xfId="2341" xr:uid="{AD36FA2B-E00B-4458-9C33-FE941EF6A1CB}"/>
    <cellStyle name="_INAR_MARZO_14032008_FCST Subsidy Handset 2010 (Abril-Dic) 20100401v5 ejercicio A final envío con cierre (3) v 4 12" xfId="2342" xr:uid="{B02AF5F5-912E-4F70-9E4F-7D5DC8EC0C8A}"/>
    <cellStyle name="_INAR_MARZO_14032008_FCST Subsidy Handset 2010 (Abril-Dic) 20100401v5 ejercicio A final envío con cierre (3) v 4 13" xfId="2343" xr:uid="{4021F683-130B-4698-B112-40E2DEDDC6DD}"/>
    <cellStyle name="_INAR_MARZO_14032008_FCST Subsidy Handset 2010 (Abril-Dic) 20100401v5 ejercicio A final envío con cierre (3) v 4 14" xfId="2344" xr:uid="{B142AFDC-964C-49C7-BD59-3B7CA4775344}"/>
    <cellStyle name="_INAR_MARZO_14032008_FCST Subsidy Handset 2010 (Abril-Dic) 20100401v5 ejercicio A final envío con cierre (3) v 4 2" xfId="2345" xr:uid="{D5C09CE9-906B-4B38-AF70-1E30EC870A8E}"/>
    <cellStyle name="_INAR_MARZO_14032008_FCST Subsidy Handset 2010 (Abril-Dic) 20100401v5 ejercicio A final envío con cierre (3) v 4 3" xfId="2346" xr:uid="{FE744B1E-FFA2-429D-88EA-92961F290233}"/>
    <cellStyle name="_INAR_MARZO_14032008_FCST Subsidy Handset 2010 (Abril-Dic) 20100401v5 ejercicio A final envío con cierre (3) v 4 4" xfId="2347" xr:uid="{6887AB7F-179D-49D7-A302-6BDF516AAB71}"/>
    <cellStyle name="_INAR_MARZO_14032008_FCST Subsidy Handset 2010 (Abril-Dic) 20100401v5 ejercicio A final envío con cierre (3) v 4 5" xfId="2348" xr:uid="{44603743-F819-4A38-B07A-A2D0BE58999B}"/>
    <cellStyle name="_INAR_MARZO_14032008_FCST Subsidy Handset 2010 (Abril-Dic) 20100401v5 ejercicio A final envío con cierre (3) v 4 6" xfId="2349" xr:uid="{BE5E71B0-DBF2-47DA-B762-BDD412C8FBF6}"/>
    <cellStyle name="_INAR_MARZO_14032008_FCST Subsidy Handset 2010 (Abril-Dic) 20100401v5 ejercicio A final envío con cierre (3) v 4 7" xfId="2350" xr:uid="{B29674EF-11CC-438C-B223-A570953F4DED}"/>
    <cellStyle name="_INAR_MARZO_14032008_FCST Subsidy Handset 2010 (Abril-Dic) 20100401v5 ejercicio A final envío con cierre (3) v 4 8" xfId="2351" xr:uid="{DCC66A03-8543-4871-B5CB-31D2620CEDE8}"/>
    <cellStyle name="_INAR_MARZO_14032008_FCST Subsidy Handset 2010 (Abril-Dic) 20100401v5 ejercicio A final envío con cierre (3) v 4 9" xfId="2352" xr:uid="{2BB3735A-FE11-4325-B69D-C1EC6434FD3E}"/>
    <cellStyle name="_INAR_MARZO_14032008_FCST Subsidy Handset 2010 (Mayo-Dic) 20100518 CT1000 $0 y CT500 $0-$699 v4 ER ejerc promo navidad (2) ej4" xfId="2353" xr:uid="{DAF6005F-C48C-492A-8776-A345B9DADC80}"/>
    <cellStyle name="_INAR_MARZO_14032008_FCST Subsidy Handset 2010 (Mayo-Dic) 20100518 CT1000 $0 y CT500 $0-$699 v4 ER ejerc promo navidad (2) ej4 10" xfId="2354" xr:uid="{CB41F282-E4C5-401B-AF54-9F5135B8FEC3}"/>
    <cellStyle name="_INAR_MARZO_14032008_FCST Subsidy Handset 2010 (Mayo-Dic) 20100518 CT1000 $0 y CT500 $0-$699 v4 ER ejerc promo navidad (2) ej4 11" xfId="2355" xr:uid="{D1A07ED5-DC52-4838-A64A-D31AB57408DE}"/>
    <cellStyle name="_INAR_MARZO_14032008_FCST Subsidy Handset 2010 (Mayo-Dic) 20100518 CT1000 $0 y CT500 $0-$699 v4 ER ejerc promo navidad (2) ej4 12" xfId="2356" xr:uid="{0FE2E445-16DF-4893-BA36-3BDC0E724453}"/>
    <cellStyle name="_INAR_MARZO_14032008_FCST Subsidy Handset 2010 (Mayo-Dic) 20100518 CT1000 $0 y CT500 $0-$699 v4 ER ejerc promo navidad (2) ej4 13" xfId="2357" xr:uid="{B8054E1F-E4C0-4CA4-988A-4D3F1B01B6A2}"/>
    <cellStyle name="_INAR_MARZO_14032008_FCST Subsidy Handset 2010 (Mayo-Dic) 20100518 CT1000 $0 y CT500 $0-$699 v4 ER ejerc promo navidad (2) ej4 14" xfId="2358" xr:uid="{1D8D2B85-AAC4-4480-93E3-CABA89DBFE34}"/>
    <cellStyle name="_INAR_MARZO_14032008_FCST Subsidy Handset 2010 (Mayo-Dic) 20100518 CT1000 $0 y CT500 $0-$699 v4 ER ejerc promo navidad (2) ej4 2" xfId="2359" xr:uid="{B530F4CC-7EDF-4606-950F-5557EFF649AE}"/>
    <cellStyle name="_INAR_MARZO_14032008_FCST Subsidy Handset 2010 (Mayo-Dic) 20100518 CT1000 $0 y CT500 $0-$699 v4 ER ejerc promo navidad (2) ej4 3" xfId="2360" xr:uid="{BD460B73-5823-49AA-A199-C99E27F4FC6B}"/>
    <cellStyle name="_INAR_MARZO_14032008_FCST Subsidy Handset 2010 (Mayo-Dic) 20100518 CT1000 $0 y CT500 $0-$699 v4 ER ejerc promo navidad (2) ej4 4" xfId="2361" xr:uid="{99C13493-F398-4223-95CF-5394379C3240}"/>
    <cellStyle name="_INAR_MARZO_14032008_FCST Subsidy Handset 2010 (Mayo-Dic) 20100518 CT1000 $0 y CT500 $0-$699 v4 ER ejerc promo navidad (2) ej4 5" xfId="2362" xr:uid="{2C64CC94-32E6-4A43-8E5A-242CF5C935FB}"/>
    <cellStyle name="_INAR_MARZO_14032008_FCST Subsidy Handset 2010 (Mayo-Dic) 20100518 CT1000 $0 y CT500 $0-$699 v4 ER ejerc promo navidad (2) ej4 6" xfId="2363" xr:uid="{21020F38-B5B2-44FF-98E3-168619D2A75D}"/>
    <cellStyle name="_INAR_MARZO_14032008_FCST Subsidy Handset 2010 (Mayo-Dic) 20100518 CT1000 $0 y CT500 $0-$699 v4 ER ejerc promo navidad (2) ej4 7" xfId="2364" xr:uid="{1D778480-560C-4357-B822-05A113E1D824}"/>
    <cellStyle name="_INAR_MARZO_14032008_FCST Subsidy Handset 2010 (Mayo-Dic) 20100518 CT1000 $0 y CT500 $0-$699 v4 ER ejerc promo navidad (2) ej4 8" xfId="2365" xr:uid="{75462D9C-AF39-4C59-A30D-8D12AAD92AF6}"/>
    <cellStyle name="_INAR_MARZO_14032008_FCST Subsidy Handset 2010 (Mayo-Dic) 20100518 CT1000 $0 y CT500 $0-$699 v4 ER ejerc promo navidad (2) ej4 9" xfId="2366" xr:uid="{DFE218FF-9DB1-4379-BC90-0A5012885FC1}"/>
    <cellStyle name="_INAR_MARZO_14032008_Mix y ARP 2010 v2" xfId="2367" xr:uid="{8059FFF7-8C42-4B38-B57F-5FDD1B14F702}"/>
    <cellStyle name="_INAR_MARZO_14032008_Mix y ARP 2010 v2 10" xfId="2368" xr:uid="{356F21F8-27EA-4E26-B7E6-BBE40363F591}"/>
    <cellStyle name="_INAR_MARZO_14032008_Mix y ARP 2010 v2 11" xfId="2369" xr:uid="{8A3CE9A6-1C24-424E-9599-27C33C7195A2}"/>
    <cellStyle name="_INAR_MARZO_14032008_Mix y ARP 2010 v2 12" xfId="2370" xr:uid="{F85522EF-621C-4C9A-9FD6-DE00C9930DC9}"/>
    <cellStyle name="_INAR_MARZO_14032008_Mix y ARP 2010 v2 13" xfId="2371" xr:uid="{5C2A8B07-0742-41DE-AD76-2F4ABD9AC622}"/>
    <cellStyle name="_INAR_MARZO_14032008_Mix y ARP 2010 v2 14" xfId="2372" xr:uid="{18180C35-8EF0-4BE3-B9BD-3EA1A2FAEE2F}"/>
    <cellStyle name="_INAR_MARZO_14032008_Mix y ARP 2010 v2 2" xfId="2373" xr:uid="{63F1D16F-BD2F-48C0-9D13-17C56C0D26BC}"/>
    <cellStyle name="_INAR_MARZO_14032008_Mix y ARP 2010 v2 3" xfId="2374" xr:uid="{33D0C2D4-9561-4AE7-A37E-921C31A96497}"/>
    <cellStyle name="_INAR_MARZO_14032008_Mix y ARP 2010 v2 4" xfId="2375" xr:uid="{7F4BC1E3-1906-40FE-B136-640461026D97}"/>
    <cellStyle name="_INAR_MARZO_14032008_Mix y ARP 2010 v2 5" xfId="2376" xr:uid="{59A246D0-B431-4747-B0F0-583AE18DA411}"/>
    <cellStyle name="_INAR_MARZO_14032008_Mix y ARP 2010 v2 6" xfId="2377" xr:uid="{6E78520B-924D-48D7-BC02-5913B8C2F8EB}"/>
    <cellStyle name="_INAR_MARZO_14032008_Mix y ARP 2010 v2 7" xfId="2378" xr:uid="{BB8E3C83-661D-44B2-B7F3-285369CD797B}"/>
    <cellStyle name="_INAR_MARZO_14032008_Mix y ARP 2010 v2 8" xfId="2379" xr:uid="{000E5646-2973-4C10-8B6C-090FFA2FC798}"/>
    <cellStyle name="_INAR_MARZO_14032008_Mix y ARP 2010 v2 9" xfId="2380" xr:uid="{8BBA3F83-616D-43BA-81C9-A0428A16A4BB}"/>
    <cellStyle name="_INAR_MARZO_19032008 (modif)" xfId="2381" xr:uid="{652D7ACC-E1A8-48A9-A31E-529D3E8829D0}"/>
    <cellStyle name="_INAR_MARZO_19032008 (modif)_FCST Subsidy Handset 2010 (Abril-Dic) 20100401v5 ejercicio A final envío con cierre (3) v 4" xfId="2382" xr:uid="{8C3A5B83-0DED-4732-8966-FB2E66DE2F99}"/>
    <cellStyle name="_INAR_MARZO_19032008 (modif)_FCST Subsidy Handset 2010 (Abril-Dic) 20100401v5 ejercicio A final envío con cierre (3) v 4 10" xfId="2383" xr:uid="{AD9B0973-B0ED-4242-8DA0-D5CDA34B6167}"/>
    <cellStyle name="_INAR_MARZO_19032008 (modif)_FCST Subsidy Handset 2010 (Abril-Dic) 20100401v5 ejercicio A final envío con cierre (3) v 4 11" xfId="2384" xr:uid="{C59DD677-7EA9-4073-B3F5-F821582274BB}"/>
    <cellStyle name="_INAR_MARZO_19032008 (modif)_FCST Subsidy Handset 2010 (Abril-Dic) 20100401v5 ejercicio A final envío con cierre (3) v 4 12" xfId="2385" xr:uid="{B7991A94-CDA0-4FFD-8B42-4B0A84C3E481}"/>
    <cellStyle name="_INAR_MARZO_19032008 (modif)_FCST Subsidy Handset 2010 (Abril-Dic) 20100401v5 ejercicio A final envío con cierre (3) v 4 13" xfId="2386" xr:uid="{9AB6DF10-3CA9-4E90-AE07-285215998AFE}"/>
    <cellStyle name="_INAR_MARZO_19032008 (modif)_FCST Subsidy Handset 2010 (Abril-Dic) 20100401v5 ejercicio A final envío con cierre (3) v 4 14" xfId="2387" xr:uid="{1E51612A-A4B1-4AF8-9503-72A6F8DD2116}"/>
    <cellStyle name="_INAR_MARZO_19032008 (modif)_FCST Subsidy Handset 2010 (Abril-Dic) 20100401v5 ejercicio A final envío con cierre (3) v 4 2" xfId="2388" xr:uid="{795840C0-C027-4FAD-A1E2-C9B6C8508C75}"/>
    <cellStyle name="_INAR_MARZO_19032008 (modif)_FCST Subsidy Handset 2010 (Abril-Dic) 20100401v5 ejercicio A final envío con cierre (3) v 4 3" xfId="2389" xr:uid="{A73E3064-FAF2-413E-AEBD-39C3BCD107D6}"/>
    <cellStyle name="_INAR_MARZO_19032008 (modif)_FCST Subsidy Handset 2010 (Abril-Dic) 20100401v5 ejercicio A final envío con cierre (3) v 4 4" xfId="2390" xr:uid="{0394B9D0-D212-4A82-B407-786B76D4F948}"/>
    <cellStyle name="_INAR_MARZO_19032008 (modif)_FCST Subsidy Handset 2010 (Abril-Dic) 20100401v5 ejercicio A final envío con cierre (3) v 4 5" xfId="2391" xr:uid="{C94C0176-1AAB-4666-88A3-4E4EC11D6C52}"/>
    <cellStyle name="_INAR_MARZO_19032008 (modif)_FCST Subsidy Handset 2010 (Abril-Dic) 20100401v5 ejercicio A final envío con cierre (3) v 4 6" xfId="2392" xr:uid="{6D12640D-5F6F-4015-9B16-F7E1572B84E1}"/>
    <cellStyle name="_INAR_MARZO_19032008 (modif)_FCST Subsidy Handset 2010 (Abril-Dic) 20100401v5 ejercicio A final envío con cierre (3) v 4 7" xfId="2393" xr:uid="{6753AE02-F763-4D0E-977F-EE2F3B7D7DA5}"/>
    <cellStyle name="_INAR_MARZO_19032008 (modif)_FCST Subsidy Handset 2010 (Abril-Dic) 20100401v5 ejercicio A final envío con cierre (3) v 4 8" xfId="2394" xr:uid="{29095E2C-30F9-4F27-A4A9-4D1B352DE379}"/>
    <cellStyle name="_INAR_MARZO_19032008 (modif)_FCST Subsidy Handset 2010 (Abril-Dic) 20100401v5 ejercicio A final envío con cierre (3) v 4 9" xfId="2395" xr:uid="{9BBCF46B-9680-4BEF-BD89-67788FE41033}"/>
    <cellStyle name="_INAR_MARZO_19032008 (modif)_FCST Subsidy Handset 2010 (Mayo-Dic) 20100518 CT1000 $0 y CT500 $0-$699 v4 ER ejerc promo navidad (2) ej4" xfId="2396" xr:uid="{58CD0A06-088C-477F-A75B-A77D1EF94841}"/>
    <cellStyle name="_INAR_MARZO_19032008 (modif)_FCST Subsidy Handset 2010 (Mayo-Dic) 20100518 CT1000 $0 y CT500 $0-$699 v4 ER ejerc promo navidad (2) ej4 10" xfId="2397" xr:uid="{3CED0570-3C48-4BF9-9668-17B47B786C3E}"/>
    <cellStyle name="_INAR_MARZO_19032008 (modif)_FCST Subsidy Handset 2010 (Mayo-Dic) 20100518 CT1000 $0 y CT500 $0-$699 v4 ER ejerc promo navidad (2) ej4 11" xfId="2398" xr:uid="{7749CF76-6C3B-4345-908B-D93D776A55EC}"/>
    <cellStyle name="_INAR_MARZO_19032008 (modif)_FCST Subsidy Handset 2010 (Mayo-Dic) 20100518 CT1000 $0 y CT500 $0-$699 v4 ER ejerc promo navidad (2) ej4 12" xfId="2399" xr:uid="{34A9385A-E703-446F-932C-0880E1108AFB}"/>
    <cellStyle name="_INAR_MARZO_19032008 (modif)_FCST Subsidy Handset 2010 (Mayo-Dic) 20100518 CT1000 $0 y CT500 $0-$699 v4 ER ejerc promo navidad (2) ej4 13" xfId="2400" xr:uid="{A5F094CB-3981-4AA9-A1D4-48E1BE51A35E}"/>
    <cellStyle name="_INAR_MARZO_19032008 (modif)_FCST Subsidy Handset 2010 (Mayo-Dic) 20100518 CT1000 $0 y CT500 $0-$699 v4 ER ejerc promo navidad (2) ej4 14" xfId="2401" xr:uid="{33E56317-8043-4E7B-AFBD-7E6110739B50}"/>
    <cellStyle name="_INAR_MARZO_19032008 (modif)_FCST Subsidy Handset 2010 (Mayo-Dic) 20100518 CT1000 $0 y CT500 $0-$699 v4 ER ejerc promo navidad (2) ej4 2" xfId="2402" xr:uid="{A68132DD-8C19-4370-86CF-2BACBD20C6AA}"/>
    <cellStyle name="_INAR_MARZO_19032008 (modif)_FCST Subsidy Handset 2010 (Mayo-Dic) 20100518 CT1000 $0 y CT500 $0-$699 v4 ER ejerc promo navidad (2) ej4 3" xfId="2403" xr:uid="{1B45B884-7699-4BF5-949B-33EBC9B69BE6}"/>
    <cellStyle name="_INAR_MARZO_19032008 (modif)_FCST Subsidy Handset 2010 (Mayo-Dic) 20100518 CT1000 $0 y CT500 $0-$699 v4 ER ejerc promo navidad (2) ej4 4" xfId="2404" xr:uid="{1D9FB768-82E7-4D47-88E6-8EEF1B1F0920}"/>
    <cellStyle name="_INAR_MARZO_19032008 (modif)_FCST Subsidy Handset 2010 (Mayo-Dic) 20100518 CT1000 $0 y CT500 $0-$699 v4 ER ejerc promo navidad (2) ej4 5" xfId="2405" xr:uid="{753ACFC3-AD0D-42B0-A7E2-9213EA5B3298}"/>
    <cellStyle name="_INAR_MARZO_19032008 (modif)_FCST Subsidy Handset 2010 (Mayo-Dic) 20100518 CT1000 $0 y CT500 $0-$699 v4 ER ejerc promo navidad (2) ej4 6" xfId="2406" xr:uid="{90371785-8BD3-409F-A6BE-B005BD4A8CA1}"/>
    <cellStyle name="_INAR_MARZO_19032008 (modif)_FCST Subsidy Handset 2010 (Mayo-Dic) 20100518 CT1000 $0 y CT500 $0-$699 v4 ER ejerc promo navidad (2) ej4 7" xfId="2407" xr:uid="{5041F515-B3EE-4889-A75C-1F78BACC2AF8}"/>
    <cellStyle name="_INAR_MARZO_19032008 (modif)_FCST Subsidy Handset 2010 (Mayo-Dic) 20100518 CT1000 $0 y CT500 $0-$699 v4 ER ejerc promo navidad (2) ej4 8" xfId="2408" xr:uid="{5A2AF30F-7B46-4002-ACA4-4FFF3E02D558}"/>
    <cellStyle name="_INAR_MARZO_19032008 (modif)_FCST Subsidy Handset 2010 (Mayo-Dic) 20100518 CT1000 $0 y CT500 $0-$699 v4 ER ejerc promo navidad (2) ej4 9" xfId="2409" xr:uid="{42DC4C91-C67B-4E26-94D7-F592A4308BB3}"/>
    <cellStyle name="_INAR_MARZO_19032008 (modif)_Mix y ARP 2010 v2" xfId="2410" xr:uid="{B802FEA8-65BE-48D7-8680-D39958ADF221}"/>
    <cellStyle name="_INAR_MARZO_19032008 (modif)_Mix y ARP 2010 v2 10" xfId="2411" xr:uid="{4ED95CC9-C9B3-4396-9EB7-1E189B06E7A1}"/>
    <cellStyle name="_INAR_MARZO_19032008 (modif)_Mix y ARP 2010 v2 11" xfId="2412" xr:uid="{971B5BE6-96F4-41D7-82FE-8F21CBEE377D}"/>
    <cellStyle name="_INAR_MARZO_19032008 (modif)_Mix y ARP 2010 v2 12" xfId="2413" xr:uid="{341D6927-7DF6-432D-AB4B-82DCE442733B}"/>
    <cellStyle name="_INAR_MARZO_19032008 (modif)_Mix y ARP 2010 v2 13" xfId="2414" xr:uid="{40EB643C-8326-40E4-8A45-659CC5AD14CC}"/>
    <cellStyle name="_INAR_MARZO_19032008 (modif)_Mix y ARP 2010 v2 14" xfId="2415" xr:uid="{9A27814F-F9C4-4B47-A43F-8F57A83AC56C}"/>
    <cellStyle name="_INAR_MARZO_19032008 (modif)_Mix y ARP 2010 v2 2" xfId="2416" xr:uid="{EFA83C5D-262B-47F7-A838-87DD7E005910}"/>
    <cellStyle name="_INAR_MARZO_19032008 (modif)_Mix y ARP 2010 v2 3" xfId="2417" xr:uid="{63043035-1D85-4C96-9C04-CD5E058424E6}"/>
    <cellStyle name="_INAR_MARZO_19032008 (modif)_Mix y ARP 2010 v2 4" xfId="2418" xr:uid="{C06CD115-941A-444D-AC46-86C871E2F39C}"/>
    <cellStyle name="_INAR_MARZO_19032008 (modif)_Mix y ARP 2010 v2 5" xfId="2419" xr:uid="{6D9ABE04-D7FB-4F45-A4FA-BFAFB6BA7651}"/>
    <cellStyle name="_INAR_MARZO_19032008 (modif)_Mix y ARP 2010 v2 6" xfId="2420" xr:uid="{4F02B65A-4B82-412B-982D-D7E075B6E771}"/>
    <cellStyle name="_INAR_MARZO_19032008 (modif)_Mix y ARP 2010 v2 7" xfId="2421" xr:uid="{F1A8F36F-35CF-444A-B93C-30D188EBA482}"/>
    <cellStyle name="_INAR_MARZO_19032008 (modif)_Mix y ARP 2010 v2 8" xfId="2422" xr:uid="{C98BFE41-DE59-420A-B920-4FAE57BD3964}"/>
    <cellStyle name="_INAR_MARZO_19032008 (modif)_Mix y ARP 2010 v2 9" xfId="2423" xr:uid="{15B944CC-237A-4813-8007-8B0EA07D5A9B}"/>
    <cellStyle name="_INAR_MARZO_2008 (cierre) (modif)" xfId="2424" xr:uid="{4C3D472D-DB69-4216-AB41-45C259C2F155}"/>
    <cellStyle name="_INAR_MARZO_2008 (cierre) (modif)_FCST Subsidy Handset 2010 (Abril-Dic) 20100401v5 ejercicio A final envío con cierre (3) v 4" xfId="2425" xr:uid="{70E1D1BC-B7CC-4142-A04E-120A8CA897D1}"/>
    <cellStyle name="_INAR_MARZO_2008 (cierre) (modif)_FCST Subsidy Handset 2010 (Abril-Dic) 20100401v5 ejercicio A final envío con cierre (3) v 4 10" xfId="2426" xr:uid="{4D8AFD63-C28E-4000-9541-B442FC3334E3}"/>
    <cellStyle name="_INAR_MARZO_2008 (cierre) (modif)_FCST Subsidy Handset 2010 (Abril-Dic) 20100401v5 ejercicio A final envío con cierre (3) v 4 11" xfId="2427" xr:uid="{A1389851-36CF-44C2-A7D0-3C0140B1EA57}"/>
    <cellStyle name="_INAR_MARZO_2008 (cierre) (modif)_FCST Subsidy Handset 2010 (Abril-Dic) 20100401v5 ejercicio A final envío con cierre (3) v 4 12" xfId="2428" xr:uid="{99E2E416-C980-42D3-A5D8-0E04F4B2624E}"/>
    <cellStyle name="_INAR_MARZO_2008 (cierre) (modif)_FCST Subsidy Handset 2010 (Abril-Dic) 20100401v5 ejercicio A final envío con cierre (3) v 4 13" xfId="2429" xr:uid="{38BFE32D-F0CB-48F0-9680-EB2C5B0F54BB}"/>
    <cellStyle name="_INAR_MARZO_2008 (cierre) (modif)_FCST Subsidy Handset 2010 (Abril-Dic) 20100401v5 ejercicio A final envío con cierre (3) v 4 14" xfId="2430" xr:uid="{24BC058F-ACE5-442B-B1E6-132AFA4BA42D}"/>
    <cellStyle name="_INAR_MARZO_2008 (cierre) (modif)_FCST Subsidy Handset 2010 (Abril-Dic) 20100401v5 ejercicio A final envío con cierre (3) v 4 2" xfId="2431" xr:uid="{16B7212F-79D4-4440-B64B-8162E45EA063}"/>
    <cellStyle name="_INAR_MARZO_2008 (cierre) (modif)_FCST Subsidy Handset 2010 (Abril-Dic) 20100401v5 ejercicio A final envío con cierre (3) v 4 3" xfId="2432" xr:uid="{BEE11208-2ED0-47DB-B3A7-0DF4E9B538D4}"/>
    <cellStyle name="_INAR_MARZO_2008 (cierre) (modif)_FCST Subsidy Handset 2010 (Abril-Dic) 20100401v5 ejercicio A final envío con cierre (3) v 4 4" xfId="2433" xr:uid="{F6FE4956-F14B-44B8-A10D-E9C6586C16DF}"/>
    <cellStyle name="_INAR_MARZO_2008 (cierre) (modif)_FCST Subsidy Handset 2010 (Abril-Dic) 20100401v5 ejercicio A final envío con cierre (3) v 4 5" xfId="2434" xr:uid="{FF0B1B70-C3D8-4FD6-B6A9-273A9293AFA6}"/>
    <cellStyle name="_INAR_MARZO_2008 (cierre) (modif)_FCST Subsidy Handset 2010 (Abril-Dic) 20100401v5 ejercicio A final envío con cierre (3) v 4 6" xfId="2435" xr:uid="{A2E9CF60-4A03-4B6B-8BBC-36BB17486C25}"/>
    <cellStyle name="_INAR_MARZO_2008 (cierre) (modif)_FCST Subsidy Handset 2010 (Abril-Dic) 20100401v5 ejercicio A final envío con cierre (3) v 4 7" xfId="2436" xr:uid="{786449DA-82DB-4BA1-9007-FC931651A8A3}"/>
    <cellStyle name="_INAR_MARZO_2008 (cierre) (modif)_FCST Subsidy Handset 2010 (Abril-Dic) 20100401v5 ejercicio A final envío con cierre (3) v 4 8" xfId="2437" xr:uid="{65C7CB6F-9A97-403A-A3CD-88C165344E2B}"/>
    <cellStyle name="_INAR_MARZO_2008 (cierre) (modif)_FCST Subsidy Handset 2010 (Abril-Dic) 20100401v5 ejercicio A final envío con cierre (3) v 4 9" xfId="2438" xr:uid="{3789FEFA-3476-4B68-9C08-B674C50B41CE}"/>
    <cellStyle name="_INAR_MARZO_2008 (cierre) (modif)_FCST Subsidy Handset 2010 (Mayo-Dic) 20100518 CT1000 $0 y CT500 $0-$699 v4 ER ejerc promo navidad (2) ej4" xfId="2439" xr:uid="{B4D79EE6-F2C7-4094-AC4E-3FCA90BD15D9}"/>
    <cellStyle name="_INAR_MARZO_2008 (cierre) (modif)_FCST Subsidy Handset 2010 (Mayo-Dic) 20100518 CT1000 $0 y CT500 $0-$699 v4 ER ejerc promo navidad (2) ej4 10" xfId="2440" xr:uid="{D1244E16-0EF8-49CB-8CD8-8BFC3833393E}"/>
    <cellStyle name="_INAR_MARZO_2008 (cierre) (modif)_FCST Subsidy Handset 2010 (Mayo-Dic) 20100518 CT1000 $0 y CT500 $0-$699 v4 ER ejerc promo navidad (2) ej4 11" xfId="2441" xr:uid="{6D03072B-7E5A-4CAC-9734-7DBF44509E3A}"/>
    <cellStyle name="_INAR_MARZO_2008 (cierre) (modif)_FCST Subsidy Handset 2010 (Mayo-Dic) 20100518 CT1000 $0 y CT500 $0-$699 v4 ER ejerc promo navidad (2) ej4 12" xfId="2442" xr:uid="{C57E1A8C-6599-4224-9EA6-A6C3B82D5CD5}"/>
    <cellStyle name="_INAR_MARZO_2008 (cierre) (modif)_FCST Subsidy Handset 2010 (Mayo-Dic) 20100518 CT1000 $0 y CT500 $0-$699 v4 ER ejerc promo navidad (2) ej4 13" xfId="2443" xr:uid="{1C060378-E1BB-4C38-AA5E-511F99A4C127}"/>
    <cellStyle name="_INAR_MARZO_2008 (cierre) (modif)_FCST Subsidy Handset 2010 (Mayo-Dic) 20100518 CT1000 $0 y CT500 $0-$699 v4 ER ejerc promo navidad (2) ej4 14" xfId="2444" xr:uid="{F417D861-5124-49C9-A001-C6E3B7E2B075}"/>
    <cellStyle name="_INAR_MARZO_2008 (cierre) (modif)_FCST Subsidy Handset 2010 (Mayo-Dic) 20100518 CT1000 $0 y CT500 $0-$699 v4 ER ejerc promo navidad (2) ej4 2" xfId="2445" xr:uid="{C538A78B-6BB8-4635-BE34-27F1C38D8348}"/>
    <cellStyle name="_INAR_MARZO_2008 (cierre) (modif)_FCST Subsidy Handset 2010 (Mayo-Dic) 20100518 CT1000 $0 y CT500 $0-$699 v4 ER ejerc promo navidad (2) ej4 3" xfId="2446" xr:uid="{3BE94E5C-1459-416F-B19F-E8FDE6EFF4E3}"/>
    <cellStyle name="_INAR_MARZO_2008 (cierre) (modif)_FCST Subsidy Handset 2010 (Mayo-Dic) 20100518 CT1000 $0 y CT500 $0-$699 v4 ER ejerc promo navidad (2) ej4 4" xfId="2447" xr:uid="{F7FC3B9E-D847-40A5-8996-31AD164F741C}"/>
    <cellStyle name="_INAR_MARZO_2008 (cierre) (modif)_FCST Subsidy Handset 2010 (Mayo-Dic) 20100518 CT1000 $0 y CT500 $0-$699 v4 ER ejerc promo navidad (2) ej4 5" xfId="2448" xr:uid="{96305B6B-7403-4E4C-B00C-31E577B68416}"/>
    <cellStyle name="_INAR_MARZO_2008 (cierre) (modif)_FCST Subsidy Handset 2010 (Mayo-Dic) 20100518 CT1000 $0 y CT500 $0-$699 v4 ER ejerc promo navidad (2) ej4 6" xfId="2449" xr:uid="{4F3222A2-F2C7-44A5-9C12-891B70D36A41}"/>
    <cellStyle name="_INAR_MARZO_2008 (cierre) (modif)_FCST Subsidy Handset 2010 (Mayo-Dic) 20100518 CT1000 $0 y CT500 $0-$699 v4 ER ejerc promo navidad (2) ej4 7" xfId="2450" xr:uid="{19F94DE3-CE90-4BFA-B559-62CD404C3CD9}"/>
    <cellStyle name="_INAR_MARZO_2008 (cierre) (modif)_FCST Subsidy Handset 2010 (Mayo-Dic) 20100518 CT1000 $0 y CT500 $0-$699 v4 ER ejerc promo navidad (2) ej4 8" xfId="2451" xr:uid="{D65CBB6F-A386-40BB-9D49-04171160AA49}"/>
    <cellStyle name="_INAR_MARZO_2008 (cierre) (modif)_FCST Subsidy Handset 2010 (Mayo-Dic) 20100518 CT1000 $0 y CT500 $0-$699 v4 ER ejerc promo navidad (2) ej4 9" xfId="2452" xr:uid="{A94D9708-D4C4-4D3E-ABFF-59AA578F2661}"/>
    <cellStyle name="_INAR_MARZO_2008 (cierre) (modif)_Mix y ARP 2010 v2" xfId="2453" xr:uid="{1165A2C7-6D78-4A4E-8091-9C9442A16B10}"/>
    <cellStyle name="_INAR_MARZO_2008 (cierre) (modif)_Mix y ARP 2010 v2 10" xfId="2454" xr:uid="{6CF2E83A-6ADD-4AD8-AD18-B4D103395D6B}"/>
    <cellStyle name="_INAR_MARZO_2008 (cierre) (modif)_Mix y ARP 2010 v2 11" xfId="2455" xr:uid="{7E39577B-E920-448F-89CF-C3C414AAAF10}"/>
    <cellStyle name="_INAR_MARZO_2008 (cierre) (modif)_Mix y ARP 2010 v2 12" xfId="2456" xr:uid="{831A6995-63E2-4599-87BA-3AA351DD22C1}"/>
    <cellStyle name="_INAR_MARZO_2008 (cierre) (modif)_Mix y ARP 2010 v2 13" xfId="2457" xr:uid="{E26E9993-63EF-48D9-AC2D-C050D2720543}"/>
    <cellStyle name="_INAR_MARZO_2008 (cierre) (modif)_Mix y ARP 2010 v2 14" xfId="2458" xr:uid="{6B71EA1F-8CEE-428A-B0AE-28E399642622}"/>
    <cellStyle name="_INAR_MARZO_2008 (cierre) (modif)_Mix y ARP 2010 v2 2" xfId="2459" xr:uid="{1AF349E9-477A-47C7-B0B5-D82A8D586D3B}"/>
    <cellStyle name="_INAR_MARZO_2008 (cierre) (modif)_Mix y ARP 2010 v2 3" xfId="2460" xr:uid="{45AB3B7F-4A79-4B73-9007-E3E47AA2F7DC}"/>
    <cellStyle name="_INAR_MARZO_2008 (cierre) (modif)_Mix y ARP 2010 v2 4" xfId="2461" xr:uid="{D7497E24-F1B9-433B-9169-E370CB654B03}"/>
    <cellStyle name="_INAR_MARZO_2008 (cierre) (modif)_Mix y ARP 2010 v2 5" xfId="2462" xr:uid="{BB62F803-4510-4AD8-BE4E-642F9FC1DF71}"/>
    <cellStyle name="_INAR_MARZO_2008 (cierre) (modif)_Mix y ARP 2010 v2 6" xfId="2463" xr:uid="{0B01ACB1-D0F2-49D7-8A18-87D93443FCF4}"/>
    <cellStyle name="_INAR_MARZO_2008 (cierre) (modif)_Mix y ARP 2010 v2 7" xfId="2464" xr:uid="{C9D3A8CC-DC47-4D39-982E-9F6BB322BFD1}"/>
    <cellStyle name="_INAR_MARZO_2008 (cierre) (modif)_Mix y ARP 2010 v2 8" xfId="2465" xr:uid="{941B8324-105B-4A34-8C44-BC884D277314}"/>
    <cellStyle name="_INAR_MARZO_2008 (cierre) (modif)_Mix y ARP 2010 v2 9" xfId="2466" xr:uid="{9854BBCB-05AA-4196-9D83-382F7376CAAD}"/>
    <cellStyle name="_INAR_MARZO_24032008 (modif)" xfId="2467" xr:uid="{14909DD3-9B0A-470C-BB5D-5BBB40B88427}"/>
    <cellStyle name="_INAR_MARZO_24032008 (modif)_FCST Subsidy Handset 2010 (Abril-Dic) 20100401v5 ejercicio A final envío con cierre (3) v 4" xfId="2468" xr:uid="{90B18844-88A2-49EF-BF27-FE251678E235}"/>
    <cellStyle name="_INAR_MARZO_24032008 (modif)_FCST Subsidy Handset 2010 (Abril-Dic) 20100401v5 ejercicio A final envío con cierre (3) v 4 10" xfId="2469" xr:uid="{8E9493B0-33FF-4816-A76C-3D22F13F29D7}"/>
    <cellStyle name="_INAR_MARZO_24032008 (modif)_FCST Subsidy Handset 2010 (Abril-Dic) 20100401v5 ejercicio A final envío con cierre (3) v 4 11" xfId="2470" xr:uid="{556AABBD-F720-4B44-90AB-29C7D03EF46D}"/>
    <cellStyle name="_INAR_MARZO_24032008 (modif)_FCST Subsidy Handset 2010 (Abril-Dic) 20100401v5 ejercicio A final envío con cierre (3) v 4 12" xfId="2471" xr:uid="{64167E28-9D33-4854-8645-09DD0E9077B1}"/>
    <cellStyle name="_INAR_MARZO_24032008 (modif)_FCST Subsidy Handset 2010 (Abril-Dic) 20100401v5 ejercicio A final envío con cierre (3) v 4 13" xfId="2472" xr:uid="{0CBD841A-EB81-4508-B218-565342C31C0C}"/>
    <cellStyle name="_INAR_MARZO_24032008 (modif)_FCST Subsidy Handset 2010 (Abril-Dic) 20100401v5 ejercicio A final envío con cierre (3) v 4 14" xfId="2473" xr:uid="{95EDAD0F-C186-4827-AC93-8FAAAD61A595}"/>
    <cellStyle name="_INAR_MARZO_24032008 (modif)_FCST Subsidy Handset 2010 (Abril-Dic) 20100401v5 ejercicio A final envío con cierre (3) v 4 2" xfId="2474" xr:uid="{D38C2888-AED7-4DD3-AECE-2703DEDD5A81}"/>
    <cellStyle name="_INAR_MARZO_24032008 (modif)_FCST Subsidy Handset 2010 (Abril-Dic) 20100401v5 ejercicio A final envío con cierre (3) v 4 3" xfId="2475" xr:uid="{379C705F-AC3E-44D6-B0A7-51829E6C3C97}"/>
    <cellStyle name="_INAR_MARZO_24032008 (modif)_FCST Subsidy Handset 2010 (Abril-Dic) 20100401v5 ejercicio A final envío con cierre (3) v 4 4" xfId="2476" xr:uid="{37D0AB23-3434-4903-BF27-D28F553A4173}"/>
    <cellStyle name="_INAR_MARZO_24032008 (modif)_FCST Subsidy Handset 2010 (Abril-Dic) 20100401v5 ejercicio A final envío con cierre (3) v 4 5" xfId="2477" xr:uid="{123094A8-CBEE-4921-94BA-108D4CE4F5AB}"/>
    <cellStyle name="_INAR_MARZO_24032008 (modif)_FCST Subsidy Handset 2010 (Abril-Dic) 20100401v5 ejercicio A final envío con cierre (3) v 4 6" xfId="2478" xr:uid="{DBABB98C-2AA5-4D76-80A8-37A9E2A9FF13}"/>
    <cellStyle name="_INAR_MARZO_24032008 (modif)_FCST Subsidy Handset 2010 (Abril-Dic) 20100401v5 ejercicio A final envío con cierre (3) v 4 7" xfId="2479" xr:uid="{1FA85729-7311-4999-A0F3-ED4A7264E693}"/>
    <cellStyle name="_INAR_MARZO_24032008 (modif)_FCST Subsidy Handset 2010 (Abril-Dic) 20100401v5 ejercicio A final envío con cierre (3) v 4 8" xfId="2480" xr:uid="{C8196335-741F-4B77-BED8-E1EC1D68E406}"/>
    <cellStyle name="_INAR_MARZO_24032008 (modif)_FCST Subsidy Handset 2010 (Abril-Dic) 20100401v5 ejercicio A final envío con cierre (3) v 4 9" xfId="2481" xr:uid="{57C91DF4-DBED-4396-BFC9-83AFB6F0BCC2}"/>
    <cellStyle name="_INAR_MARZO_24032008 (modif)_FCST Subsidy Handset 2010 (Mayo-Dic) 20100518 CT1000 $0 y CT500 $0-$699 v4 ER ejerc promo navidad (2) ej4" xfId="2482" xr:uid="{BDD47C6A-D96B-4EAC-AEAB-C6679B0C0659}"/>
    <cellStyle name="_INAR_MARZO_24032008 (modif)_FCST Subsidy Handset 2010 (Mayo-Dic) 20100518 CT1000 $0 y CT500 $0-$699 v4 ER ejerc promo navidad (2) ej4 10" xfId="2483" xr:uid="{A042F012-056A-4A12-B550-B2E744404BDD}"/>
    <cellStyle name="_INAR_MARZO_24032008 (modif)_FCST Subsidy Handset 2010 (Mayo-Dic) 20100518 CT1000 $0 y CT500 $0-$699 v4 ER ejerc promo navidad (2) ej4 11" xfId="2484" xr:uid="{83AA2305-DD1E-4746-B6A0-CCB0FF37690C}"/>
    <cellStyle name="_INAR_MARZO_24032008 (modif)_FCST Subsidy Handset 2010 (Mayo-Dic) 20100518 CT1000 $0 y CT500 $0-$699 v4 ER ejerc promo navidad (2) ej4 12" xfId="2485" xr:uid="{9319652A-9C9C-46D0-8082-B1C424D83A4D}"/>
    <cellStyle name="_INAR_MARZO_24032008 (modif)_FCST Subsidy Handset 2010 (Mayo-Dic) 20100518 CT1000 $0 y CT500 $0-$699 v4 ER ejerc promo navidad (2) ej4 13" xfId="2486" xr:uid="{787FEFAA-8E1D-400C-8DFB-93DDAAC7B7A1}"/>
    <cellStyle name="_INAR_MARZO_24032008 (modif)_FCST Subsidy Handset 2010 (Mayo-Dic) 20100518 CT1000 $0 y CT500 $0-$699 v4 ER ejerc promo navidad (2) ej4 14" xfId="2487" xr:uid="{4898C6F0-CDE2-4E9A-8496-AA67E8F1D51E}"/>
    <cellStyle name="_INAR_MARZO_24032008 (modif)_FCST Subsidy Handset 2010 (Mayo-Dic) 20100518 CT1000 $0 y CT500 $0-$699 v4 ER ejerc promo navidad (2) ej4 2" xfId="2488" xr:uid="{FFF4D957-BACF-4EC3-B353-75AD49C8BC16}"/>
    <cellStyle name="_INAR_MARZO_24032008 (modif)_FCST Subsidy Handset 2010 (Mayo-Dic) 20100518 CT1000 $0 y CT500 $0-$699 v4 ER ejerc promo navidad (2) ej4 3" xfId="2489" xr:uid="{10D077FD-863C-493B-95A5-033301959623}"/>
    <cellStyle name="_INAR_MARZO_24032008 (modif)_FCST Subsidy Handset 2010 (Mayo-Dic) 20100518 CT1000 $0 y CT500 $0-$699 v4 ER ejerc promo navidad (2) ej4 4" xfId="2490" xr:uid="{221DB27F-03CD-4185-94E3-1E8A4C1CA0B3}"/>
    <cellStyle name="_INAR_MARZO_24032008 (modif)_FCST Subsidy Handset 2010 (Mayo-Dic) 20100518 CT1000 $0 y CT500 $0-$699 v4 ER ejerc promo navidad (2) ej4 5" xfId="2491" xr:uid="{AD36AD22-C42B-4852-B301-C29F921CED84}"/>
    <cellStyle name="_INAR_MARZO_24032008 (modif)_FCST Subsidy Handset 2010 (Mayo-Dic) 20100518 CT1000 $0 y CT500 $0-$699 v4 ER ejerc promo navidad (2) ej4 6" xfId="2492" xr:uid="{FF072C25-D51B-461A-BCBE-0DABA96E135B}"/>
    <cellStyle name="_INAR_MARZO_24032008 (modif)_FCST Subsidy Handset 2010 (Mayo-Dic) 20100518 CT1000 $0 y CT500 $0-$699 v4 ER ejerc promo navidad (2) ej4 7" xfId="2493" xr:uid="{9AFECA4F-1588-426C-8726-2C497ADC4723}"/>
    <cellStyle name="_INAR_MARZO_24032008 (modif)_FCST Subsidy Handset 2010 (Mayo-Dic) 20100518 CT1000 $0 y CT500 $0-$699 v4 ER ejerc promo navidad (2) ej4 8" xfId="2494" xr:uid="{E059BAAF-272B-45C4-81B3-CFB3568A3F54}"/>
    <cellStyle name="_INAR_MARZO_24032008 (modif)_FCST Subsidy Handset 2010 (Mayo-Dic) 20100518 CT1000 $0 y CT500 $0-$699 v4 ER ejerc promo navidad (2) ej4 9" xfId="2495" xr:uid="{3C9D1D91-4F5E-4B39-BAAB-FD4CEC2B701F}"/>
    <cellStyle name="_INAR_MARZO_24032008 (modif)_Mix y ARP 2010 v2" xfId="2496" xr:uid="{D4A09F43-15F5-429A-99F0-1326EF8437E0}"/>
    <cellStyle name="_INAR_MARZO_24032008 (modif)_Mix y ARP 2010 v2 10" xfId="2497" xr:uid="{2B0A36FA-AA64-409C-B268-99C2B5426D24}"/>
    <cellStyle name="_INAR_MARZO_24032008 (modif)_Mix y ARP 2010 v2 11" xfId="2498" xr:uid="{39F02293-9B37-4E91-ACAB-9B4AC37A94B0}"/>
    <cellStyle name="_INAR_MARZO_24032008 (modif)_Mix y ARP 2010 v2 12" xfId="2499" xr:uid="{43609FBD-3D95-451A-A62F-EA98637006EC}"/>
    <cellStyle name="_INAR_MARZO_24032008 (modif)_Mix y ARP 2010 v2 13" xfId="2500" xr:uid="{D283EA2E-0709-4606-9EDD-F9B5742981A6}"/>
    <cellStyle name="_INAR_MARZO_24032008 (modif)_Mix y ARP 2010 v2 14" xfId="2501" xr:uid="{9B33ACD7-7329-4F95-AC14-D8F3E9E7EBDE}"/>
    <cellStyle name="_INAR_MARZO_24032008 (modif)_Mix y ARP 2010 v2 2" xfId="2502" xr:uid="{17352764-8D0A-4038-875B-6B621BB3A400}"/>
    <cellStyle name="_INAR_MARZO_24032008 (modif)_Mix y ARP 2010 v2 3" xfId="2503" xr:uid="{B87F0CC7-1369-4ACF-93D1-065D66A86ED3}"/>
    <cellStyle name="_INAR_MARZO_24032008 (modif)_Mix y ARP 2010 v2 4" xfId="2504" xr:uid="{7F901999-9A0A-43A9-825C-09AC63F4537C}"/>
    <cellStyle name="_INAR_MARZO_24032008 (modif)_Mix y ARP 2010 v2 5" xfId="2505" xr:uid="{E9DFF320-374E-40F9-B527-DE96B07872A8}"/>
    <cellStyle name="_INAR_MARZO_24032008 (modif)_Mix y ARP 2010 v2 6" xfId="2506" xr:uid="{3E4F5151-B401-4673-9F55-CDFE554F7F1B}"/>
    <cellStyle name="_INAR_MARZO_24032008 (modif)_Mix y ARP 2010 v2 7" xfId="2507" xr:uid="{CF3AEE17-3272-4592-8B72-C4CC922CCA80}"/>
    <cellStyle name="_INAR_MARZO_24032008 (modif)_Mix y ARP 2010 v2 8" xfId="2508" xr:uid="{2D1C47CD-3C48-408B-ACFC-69C0FBD22B8F}"/>
    <cellStyle name="_INAR_MARZO_24032008 (modif)_Mix y ARP 2010 v2 9" xfId="2509" xr:uid="{ED728234-066E-4557-882D-0FB1674D90C9}"/>
    <cellStyle name="_INAR_NOVIEMBRE_29112007 (modif)" xfId="2510" xr:uid="{8E0A6694-B4A6-41BE-BA55-8F9A832F012C}"/>
    <cellStyle name="_INAR_NOVIEMBRE_29112007 (modif)_Reporte Planes (Cierre Marzo y Abril) 20100420 ejercicio" xfId="2511" xr:uid="{AAFCD2A0-F256-4151-B299-5DDF3ED638F4}"/>
    <cellStyle name="_INAR_NOVIEMBRE_30112007(cierre) (modif)" xfId="2512" xr:uid="{D5DA997B-5844-45F0-88C5-2C107B6F3CF9}"/>
    <cellStyle name="_INAR_NOVIEMBRE_30112007(cierre) (modif)_FCST Subsidy Handset 2010 (Abril-Dic) 20100401v5 ejercicio A final envío con cierre (3) v 4" xfId="2513" xr:uid="{2BEE5733-8B04-4F1D-935B-70C43E934FC1}"/>
    <cellStyle name="_INAR_NOVIEMBRE_30112007(cierre) (modif)_FCST Subsidy Handset 2010 (Abril-Dic) 20100401v5 ejercicio A final envío con cierre (3) v 4 10" xfId="2514" xr:uid="{2013BD83-5746-4101-8A69-BF42B099EA45}"/>
    <cellStyle name="_INAR_NOVIEMBRE_30112007(cierre) (modif)_FCST Subsidy Handset 2010 (Abril-Dic) 20100401v5 ejercicio A final envío con cierre (3) v 4 11" xfId="2515" xr:uid="{2B788699-CB93-4D55-9B11-7BFEA1875264}"/>
    <cellStyle name="_INAR_NOVIEMBRE_30112007(cierre) (modif)_FCST Subsidy Handset 2010 (Abril-Dic) 20100401v5 ejercicio A final envío con cierre (3) v 4 12" xfId="2516" xr:uid="{40A17F14-A6F8-4B34-A1F4-5A2106C1E524}"/>
    <cellStyle name="_INAR_NOVIEMBRE_30112007(cierre) (modif)_FCST Subsidy Handset 2010 (Abril-Dic) 20100401v5 ejercicio A final envío con cierre (3) v 4 13" xfId="2517" xr:uid="{2326E4F3-AE56-4FD0-BD48-CC6301481904}"/>
    <cellStyle name="_INAR_NOVIEMBRE_30112007(cierre) (modif)_FCST Subsidy Handset 2010 (Abril-Dic) 20100401v5 ejercicio A final envío con cierre (3) v 4 14" xfId="2518" xr:uid="{FE210DDD-2EA2-41CB-BDD0-8ABF0276F352}"/>
    <cellStyle name="_INAR_NOVIEMBRE_30112007(cierre) (modif)_FCST Subsidy Handset 2010 (Abril-Dic) 20100401v5 ejercicio A final envío con cierre (3) v 4 2" xfId="2519" xr:uid="{999E4B23-A50D-4042-88F6-0D057E851E87}"/>
    <cellStyle name="_INAR_NOVIEMBRE_30112007(cierre) (modif)_FCST Subsidy Handset 2010 (Abril-Dic) 20100401v5 ejercicio A final envío con cierre (3) v 4 3" xfId="2520" xr:uid="{82586C0F-FDA8-4604-ABFB-C2D1081CF08E}"/>
    <cellStyle name="_INAR_NOVIEMBRE_30112007(cierre) (modif)_FCST Subsidy Handset 2010 (Abril-Dic) 20100401v5 ejercicio A final envío con cierre (3) v 4 4" xfId="2521" xr:uid="{79F9967C-28F4-4569-8965-C391A430C918}"/>
    <cellStyle name="_INAR_NOVIEMBRE_30112007(cierre) (modif)_FCST Subsidy Handset 2010 (Abril-Dic) 20100401v5 ejercicio A final envío con cierre (3) v 4 5" xfId="2522" xr:uid="{7F17EAA4-8126-4AB1-8D0D-5B439FB91467}"/>
    <cellStyle name="_INAR_NOVIEMBRE_30112007(cierre) (modif)_FCST Subsidy Handset 2010 (Abril-Dic) 20100401v5 ejercicio A final envío con cierre (3) v 4 6" xfId="2523" xr:uid="{C4EE21B6-AD9B-4ABF-B3DD-792EC481DFAE}"/>
    <cellStyle name="_INAR_NOVIEMBRE_30112007(cierre) (modif)_FCST Subsidy Handset 2010 (Abril-Dic) 20100401v5 ejercicio A final envío con cierre (3) v 4 7" xfId="2524" xr:uid="{E283585C-487B-41F9-96CF-CDF1ECEDE8DE}"/>
    <cellStyle name="_INAR_NOVIEMBRE_30112007(cierre) (modif)_FCST Subsidy Handset 2010 (Abril-Dic) 20100401v5 ejercicio A final envío con cierre (3) v 4 8" xfId="2525" xr:uid="{D8BC4D76-B59F-4586-811D-3130B2714168}"/>
    <cellStyle name="_INAR_NOVIEMBRE_30112007(cierre) (modif)_FCST Subsidy Handset 2010 (Abril-Dic) 20100401v5 ejercicio A final envío con cierre (3) v 4 9" xfId="2526" xr:uid="{F49BFF51-CA55-4A2F-8821-29FCB242EAB1}"/>
    <cellStyle name="_INAR_NOVIEMBRE_30112007(cierre) (modif)_FCST Subsidy Handset 2010 (Mayo-Dic) 20100518 CT1000 $0 y CT500 $0-$699 v4 ER ejerc promo navidad (2) ej4" xfId="2527" xr:uid="{1CD4F117-1B92-468E-A977-66AC633EBA02}"/>
    <cellStyle name="_INAR_NOVIEMBRE_30112007(cierre) (modif)_FCST Subsidy Handset 2010 (Mayo-Dic) 20100518 CT1000 $0 y CT500 $0-$699 v4 ER ejerc promo navidad (2) ej4 10" xfId="2528" xr:uid="{60E55F07-9DBB-41F9-9D6F-F8956C0FBE9F}"/>
    <cellStyle name="_INAR_NOVIEMBRE_30112007(cierre) (modif)_FCST Subsidy Handset 2010 (Mayo-Dic) 20100518 CT1000 $0 y CT500 $0-$699 v4 ER ejerc promo navidad (2) ej4 11" xfId="2529" xr:uid="{B5E2073A-012F-41D4-A829-61C18451C430}"/>
    <cellStyle name="_INAR_NOVIEMBRE_30112007(cierre) (modif)_FCST Subsidy Handset 2010 (Mayo-Dic) 20100518 CT1000 $0 y CT500 $0-$699 v4 ER ejerc promo navidad (2) ej4 12" xfId="2530" xr:uid="{A6378ED8-CA98-4FC3-9AB5-556473E99B58}"/>
    <cellStyle name="_INAR_NOVIEMBRE_30112007(cierre) (modif)_FCST Subsidy Handset 2010 (Mayo-Dic) 20100518 CT1000 $0 y CT500 $0-$699 v4 ER ejerc promo navidad (2) ej4 13" xfId="2531" xr:uid="{EF285665-DBBA-4F3B-82A5-D75F3558B2D6}"/>
    <cellStyle name="_INAR_NOVIEMBRE_30112007(cierre) (modif)_FCST Subsidy Handset 2010 (Mayo-Dic) 20100518 CT1000 $0 y CT500 $0-$699 v4 ER ejerc promo navidad (2) ej4 14" xfId="2532" xr:uid="{866B0348-8D00-43C8-B923-00898CD62E57}"/>
    <cellStyle name="_INAR_NOVIEMBRE_30112007(cierre) (modif)_FCST Subsidy Handset 2010 (Mayo-Dic) 20100518 CT1000 $0 y CT500 $0-$699 v4 ER ejerc promo navidad (2) ej4 2" xfId="2533" xr:uid="{BD0E8835-7E2F-4531-86B9-7869A3521F53}"/>
    <cellStyle name="_INAR_NOVIEMBRE_30112007(cierre) (modif)_FCST Subsidy Handset 2010 (Mayo-Dic) 20100518 CT1000 $0 y CT500 $0-$699 v4 ER ejerc promo navidad (2) ej4 3" xfId="2534" xr:uid="{70DF8B42-C3E6-4B56-8805-B0E18BAA74E9}"/>
    <cellStyle name="_INAR_NOVIEMBRE_30112007(cierre) (modif)_FCST Subsidy Handset 2010 (Mayo-Dic) 20100518 CT1000 $0 y CT500 $0-$699 v4 ER ejerc promo navidad (2) ej4 4" xfId="2535" xr:uid="{75C1B972-D7F0-42A3-8D79-94BC9DB03B41}"/>
    <cellStyle name="_INAR_NOVIEMBRE_30112007(cierre) (modif)_FCST Subsidy Handset 2010 (Mayo-Dic) 20100518 CT1000 $0 y CT500 $0-$699 v4 ER ejerc promo navidad (2) ej4 5" xfId="2536" xr:uid="{EC5815DB-3B9C-4B3A-B32D-C963541FFB88}"/>
    <cellStyle name="_INAR_NOVIEMBRE_30112007(cierre) (modif)_FCST Subsidy Handset 2010 (Mayo-Dic) 20100518 CT1000 $0 y CT500 $0-$699 v4 ER ejerc promo navidad (2) ej4 6" xfId="2537" xr:uid="{06C6EA59-6DF2-4C9F-AFF1-48F12D20E183}"/>
    <cellStyle name="_INAR_NOVIEMBRE_30112007(cierre) (modif)_FCST Subsidy Handset 2010 (Mayo-Dic) 20100518 CT1000 $0 y CT500 $0-$699 v4 ER ejerc promo navidad (2) ej4 7" xfId="2538" xr:uid="{D6018B96-B00F-4D59-B518-B0F6AFEDD15A}"/>
    <cellStyle name="_INAR_NOVIEMBRE_30112007(cierre) (modif)_FCST Subsidy Handset 2010 (Mayo-Dic) 20100518 CT1000 $0 y CT500 $0-$699 v4 ER ejerc promo navidad (2) ej4 8" xfId="2539" xr:uid="{8FC62145-9549-4D90-B688-AF18BEA1F51C}"/>
    <cellStyle name="_INAR_NOVIEMBRE_30112007(cierre) (modif)_FCST Subsidy Handset 2010 (Mayo-Dic) 20100518 CT1000 $0 y CT500 $0-$699 v4 ER ejerc promo navidad (2) ej4 9" xfId="2540" xr:uid="{F3D145DC-D2C6-4A3F-8AB0-972AE5BDE698}"/>
    <cellStyle name="_INAR_NOVIEMBRE_30112007(cierre) (modif)_Mix y ARP 2010 v2" xfId="2541" xr:uid="{5C0A5105-1BD8-4645-8846-F5E1436767CD}"/>
    <cellStyle name="_INAR_NOVIEMBRE_30112007(cierre) (modif)_Mix y ARP 2010 v2 10" xfId="2542" xr:uid="{26BE30EE-F2C1-43B7-88BD-6D4FF51B31C6}"/>
    <cellStyle name="_INAR_NOVIEMBRE_30112007(cierre) (modif)_Mix y ARP 2010 v2 11" xfId="2543" xr:uid="{9ED8D774-5E49-4F7E-9AC5-22648D9E9C0F}"/>
    <cellStyle name="_INAR_NOVIEMBRE_30112007(cierre) (modif)_Mix y ARP 2010 v2 12" xfId="2544" xr:uid="{753D3C67-BF5D-4EA2-939D-856AB6294F8F}"/>
    <cellStyle name="_INAR_NOVIEMBRE_30112007(cierre) (modif)_Mix y ARP 2010 v2 13" xfId="2545" xr:uid="{F7A85D68-3297-43BD-8CD3-C0BA7BA97939}"/>
    <cellStyle name="_INAR_NOVIEMBRE_30112007(cierre) (modif)_Mix y ARP 2010 v2 14" xfId="2546" xr:uid="{CF22AC99-637F-4DFD-876F-6FE721A4740C}"/>
    <cellStyle name="_INAR_NOVIEMBRE_30112007(cierre) (modif)_Mix y ARP 2010 v2 2" xfId="2547" xr:uid="{88EDF620-A836-4293-809D-1E2F5F60E723}"/>
    <cellStyle name="_INAR_NOVIEMBRE_30112007(cierre) (modif)_Mix y ARP 2010 v2 3" xfId="2548" xr:uid="{074902CF-9050-48CC-9A8C-EB84DD6889AE}"/>
    <cellStyle name="_INAR_NOVIEMBRE_30112007(cierre) (modif)_Mix y ARP 2010 v2 4" xfId="2549" xr:uid="{54A7BE31-F5B1-49B7-A362-21664D0D5826}"/>
    <cellStyle name="_INAR_NOVIEMBRE_30112007(cierre) (modif)_Mix y ARP 2010 v2 5" xfId="2550" xr:uid="{F3C04666-C719-46B7-B7E5-F8850DF4D1D0}"/>
    <cellStyle name="_INAR_NOVIEMBRE_30112007(cierre) (modif)_Mix y ARP 2010 v2 6" xfId="2551" xr:uid="{0969525C-E266-40E2-B802-4F62E2A8091E}"/>
    <cellStyle name="_INAR_NOVIEMBRE_30112007(cierre) (modif)_Mix y ARP 2010 v2 7" xfId="2552" xr:uid="{A75877A8-0D17-49F6-8CAD-A1FC20BD3693}"/>
    <cellStyle name="_INAR_NOVIEMBRE_30112007(cierre) (modif)_Mix y ARP 2010 v2 8" xfId="2553" xr:uid="{9ACCFFE0-6F0C-4F6C-AA6B-C0E2FA3CC962}"/>
    <cellStyle name="_INAR_NOVIEMBRE_30112007(cierre) (modif)_Mix y ARP 2010 v2 9" xfId="2554" xr:uid="{AFCB11B1-6132-4A36-AE22-30FB2B4509B2}"/>
    <cellStyle name="_Indicadores" xfId="2555" xr:uid="{70262E0A-B1D3-4372-A0D6-A8C4D53E12F7}"/>
    <cellStyle name="_Indicadores_FCST Subsidy Handset 2010 (Abril-Dic) 20100401v5 ejercicio A final envío con cierre (3) v 4" xfId="2556" xr:uid="{F9C4ED74-2395-47CB-8A45-2BD7D8E2D74D}"/>
    <cellStyle name="_Indicadores_FCST Subsidy Handset 2010 (Abril-Dic) 20100401v5 ejercicio A final envío con cierre (3) v 4 10" xfId="2557" xr:uid="{35A75DB1-AE71-43B1-991D-78EFA6605024}"/>
    <cellStyle name="_Indicadores_FCST Subsidy Handset 2010 (Abril-Dic) 20100401v5 ejercicio A final envío con cierre (3) v 4 11" xfId="2558" xr:uid="{0617FD3D-BE2B-4CF2-88FD-F1E0AF38230F}"/>
    <cellStyle name="_Indicadores_FCST Subsidy Handset 2010 (Abril-Dic) 20100401v5 ejercicio A final envío con cierre (3) v 4 12" xfId="2559" xr:uid="{075B030A-F00C-47FF-B04C-4B8A5303D935}"/>
    <cellStyle name="_Indicadores_FCST Subsidy Handset 2010 (Abril-Dic) 20100401v5 ejercicio A final envío con cierre (3) v 4 13" xfId="2560" xr:uid="{3160239E-2681-413F-B4BE-2852C193C5F3}"/>
    <cellStyle name="_Indicadores_FCST Subsidy Handset 2010 (Abril-Dic) 20100401v5 ejercicio A final envío con cierre (3) v 4 14" xfId="2561" xr:uid="{C3948642-9C23-4A9C-9F95-7397B6B43895}"/>
    <cellStyle name="_Indicadores_FCST Subsidy Handset 2010 (Abril-Dic) 20100401v5 ejercicio A final envío con cierre (3) v 4 2" xfId="2562" xr:uid="{86AC8193-35EC-4FCA-AD4D-A4FBC1FB5555}"/>
    <cellStyle name="_Indicadores_FCST Subsidy Handset 2010 (Abril-Dic) 20100401v5 ejercicio A final envío con cierre (3) v 4 3" xfId="2563" xr:uid="{C0FBA8B9-7320-42ED-B714-8A1C5F654D25}"/>
    <cellStyle name="_Indicadores_FCST Subsidy Handset 2010 (Abril-Dic) 20100401v5 ejercicio A final envío con cierre (3) v 4 4" xfId="2564" xr:uid="{81399A68-3336-49E9-9772-D32F6B7FDBFF}"/>
    <cellStyle name="_Indicadores_FCST Subsidy Handset 2010 (Abril-Dic) 20100401v5 ejercicio A final envío con cierre (3) v 4 5" xfId="2565" xr:uid="{DD6E87B3-B06F-4A01-A57C-D69011F2F7F1}"/>
    <cellStyle name="_Indicadores_FCST Subsidy Handset 2010 (Abril-Dic) 20100401v5 ejercicio A final envío con cierre (3) v 4 6" xfId="2566" xr:uid="{98805789-A63B-4822-9B51-40BDDC44F205}"/>
    <cellStyle name="_Indicadores_FCST Subsidy Handset 2010 (Abril-Dic) 20100401v5 ejercicio A final envío con cierre (3) v 4 7" xfId="2567" xr:uid="{E34E3ECF-ACAB-47C3-8DED-D366D26EB858}"/>
    <cellStyle name="_Indicadores_FCST Subsidy Handset 2010 (Abril-Dic) 20100401v5 ejercicio A final envío con cierre (3) v 4 8" xfId="2568" xr:uid="{0A5A3A5D-1715-40DA-B1EE-B67AD28B949F}"/>
    <cellStyle name="_Indicadores_FCST Subsidy Handset 2010 (Abril-Dic) 20100401v5 ejercicio A final envío con cierre (3) v 4 9" xfId="2569" xr:uid="{95CA1ECD-AFA4-406C-A009-32893BE40E92}"/>
    <cellStyle name="_Indicadores_FCST Subsidy Handset 2010 (Mayo-Dic) 20100518 CT1000 $0 y CT500 $0-$699 v4 ER ejerc promo navidad (2) ej4" xfId="2570" xr:uid="{FCD64F17-7F71-4656-8B32-7190602CB535}"/>
    <cellStyle name="_Indicadores_FCST Subsidy Handset 2010 (Mayo-Dic) 20100518 CT1000 $0 y CT500 $0-$699 v4 ER ejerc promo navidad (2) ej4 10" xfId="2571" xr:uid="{07955E31-E68B-48E0-9823-120F72962F09}"/>
    <cellStyle name="_Indicadores_FCST Subsidy Handset 2010 (Mayo-Dic) 20100518 CT1000 $0 y CT500 $0-$699 v4 ER ejerc promo navidad (2) ej4 11" xfId="2572" xr:uid="{55DEC958-E385-43A3-BC96-1A7663B398B5}"/>
    <cellStyle name="_Indicadores_FCST Subsidy Handset 2010 (Mayo-Dic) 20100518 CT1000 $0 y CT500 $0-$699 v4 ER ejerc promo navidad (2) ej4 12" xfId="2573" xr:uid="{EC318F14-8B32-4921-B604-8D10C54DE684}"/>
    <cellStyle name="_Indicadores_FCST Subsidy Handset 2010 (Mayo-Dic) 20100518 CT1000 $0 y CT500 $0-$699 v4 ER ejerc promo navidad (2) ej4 13" xfId="2574" xr:uid="{A9040F5F-F96B-488C-9D0C-CC058FCE6009}"/>
    <cellStyle name="_Indicadores_FCST Subsidy Handset 2010 (Mayo-Dic) 20100518 CT1000 $0 y CT500 $0-$699 v4 ER ejerc promo navidad (2) ej4 14" xfId="2575" xr:uid="{4E46F633-2E10-4404-94D6-9002BE085B38}"/>
    <cellStyle name="_Indicadores_FCST Subsidy Handset 2010 (Mayo-Dic) 20100518 CT1000 $0 y CT500 $0-$699 v4 ER ejerc promo navidad (2) ej4 2" xfId="2576" xr:uid="{F8B0659B-13B7-4E53-8FDC-EED5C5C9E4AF}"/>
    <cellStyle name="_Indicadores_FCST Subsidy Handset 2010 (Mayo-Dic) 20100518 CT1000 $0 y CT500 $0-$699 v4 ER ejerc promo navidad (2) ej4 3" xfId="2577" xr:uid="{C16180E6-8643-4877-B4E5-67589534A47A}"/>
    <cellStyle name="_Indicadores_FCST Subsidy Handset 2010 (Mayo-Dic) 20100518 CT1000 $0 y CT500 $0-$699 v4 ER ejerc promo navidad (2) ej4 4" xfId="2578" xr:uid="{DF2D9B8D-0ED4-4387-BB68-C639C1EB9D3A}"/>
    <cellStyle name="_Indicadores_FCST Subsidy Handset 2010 (Mayo-Dic) 20100518 CT1000 $0 y CT500 $0-$699 v4 ER ejerc promo navidad (2) ej4 5" xfId="2579" xr:uid="{F49F0556-BE76-4B9C-B5BC-ED5F52E11CC1}"/>
    <cellStyle name="_Indicadores_FCST Subsidy Handset 2010 (Mayo-Dic) 20100518 CT1000 $0 y CT500 $0-$699 v4 ER ejerc promo navidad (2) ej4 6" xfId="2580" xr:uid="{9E42B233-3EDA-4C5B-BAF5-22C5C707FDFF}"/>
    <cellStyle name="_Indicadores_FCST Subsidy Handset 2010 (Mayo-Dic) 20100518 CT1000 $0 y CT500 $0-$699 v4 ER ejerc promo navidad (2) ej4 7" xfId="2581" xr:uid="{C8D537CE-1C45-4ED3-B457-EB0AB49F022B}"/>
    <cellStyle name="_Indicadores_FCST Subsidy Handset 2010 (Mayo-Dic) 20100518 CT1000 $0 y CT500 $0-$699 v4 ER ejerc promo navidad (2) ej4 8" xfId="2582" xr:uid="{E37444E5-9ED1-4BEA-8538-E88EABE10664}"/>
    <cellStyle name="_Indicadores_FCST Subsidy Handset 2010 (Mayo-Dic) 20100518 CT1000 $0 y CT500 $0-$699 v4 ER ejerc promo navidad (2) ej4 9" xfId="2583" xr:uid="{D61C22E6-062D-4B8F-ABF0-971F74526B7A}"/>
    <cellStyle name="_Indicadores_Mix y ARP 2010 v2" xfId="2584" xr:uid="{D9940627-BFEF-4DE9-8EF5-169DAF29B3DB}"/>
    <cellStyle name="_Indicadores_Mix y ARP 2010 v2 10" xfId="2585" xr:uid="{C9BE475D-1A48-437D-8E4A-1AC64B98461C}"/>
    <cellStyle name="_Indicadores_Mix y ARP 2010 v2 11" xfId="2586" xr:uid="{086EC0AB-4142-4BC1-83D3-3F577FA1D5BA}"/>
    <cellStyle name="_Indicadores_Mix y ARP 2010 v2 12" xfId="2587" xr:uid="{0F79C070-16E0-405F-9DC8-9BB990D4BF71}"/>
    <cellStyle name="_Indicadores_Mix y ARP 2010 v2 13" xfId="2588" xr:uid="{15D2DD56-0EF5-49E0-ACA8-28ECF80D4515}"/>
    <cellStyle name="_Indicadores_Mix y ARP 2010 v2 14" xfId="2589" xr:uid="{B9375454-0A46-4E1A-A38B-86255CFCCD4B}"/>
    <cellStyle name="_Indicadores_Mix y ARP 2010 v2 2" xfId="2590" xr:uid="{136A73AB-7107-4DBD-9979-8981B7CEF834}"/>
    <cellStyle name="_Indicadores_Mix y ARP 2010 v2 3" xfId="2591" xr:uid="{04CCA934-E237-445D-AB3C-17B4441CC98A}"/>
    <cellStyle name="_Indicadores_Mix y ARP 2010 v2 4" xfId="2592" xr:uid="{AB3781D7-7912-4C8E-BE34-47C662EEEB0B}"/>
    <cellStyle name="_Indicadores_Mix y ARP 2010 v2 5" xfId="2593" xr:uid="{CC23BFD6-07C7-45BE-AFA9-073B69AC1848}"/>
    <cellStyle name="_Indicadores_Mix y ARP 2010 v2 6" xfId="2594" xr:uid="{20C7BC06-AF4E-452B-8C1D-949A5FA62497}"/>
    <cellStyle name="_Indicadores_Mix y ARP 2010 v2 7" xfId="2595" xr:uid="{3997C380-F74C-4F61-AA79-EE3C081AAF71}"/>
    <cellStyle name="_Indicadores_Mix y ARP 2010 v2 8" xfId="2596" xr:uid="{F2211620-61EE-4276-8F96-0098C1E0468E}"/>
    <cellStyle name="_Indicadores_Mix y ARP 2010 v2 9" xfId="2597" xr:uid="{9C1D05BE-B751-4108-B06F-048C09F07624}"/>
    <cellStyle name="_Lista de Equipos Iusapack_20081028_v4" xfId="4319" xr:uid="{77C9415B-A766-4510-8FD4-A2A310CF5CA6}"/>
    <cellStyle name="_Noroeste" xfId="2598" xr:uid="{43FB4E91-CF76-4A2E-9D32-7959E671B9EF}"/>
    <cellStyle name="_Noroeste_FCST Subsidy Handset 2010 (Abril-Dic) 20100401v5 ejercicio A final envío con cierre (3) v 4" xfId="2599" xr:uid="{6708C372-8BA9-4C69-A113-169428C66506}"/>
    <cellStyle name="_Noroeste_FCST Subsidy Handset 2010 (Abril-Dic) 20100401v5 ejercicio A final envío con cierre (3) v 4 10" xfId="2600" xr:uid="{503B0441-42B1-4CE0-AF55-13D914968AA2}"/>
    <cellStyle name="_Noroeste_FCST Subsidy Handset 2010 (Abril-Dic) 20100401v5 ejercicio A final envío con cierre (3) v 4 11" xfId="2601" xr:uid="{A7AC4DD4-C8C4-4634-8783-D41E16FABAA2}"/>
    <cellStyle name="_Noroeste_FCST Subsidy Handset 2010 (Abril-Dic) 20100401v5 ejercicio A final envío con cierre (3) v 4 12" xfId="2602" xr:uid="{4F8CD521-4F7F-45EE-AF37-280C09FBE724}"/>
    <cellStyle name="_Noroeste_FCST Subsidy Handset 2010 (Abril-Dic) 20100401v5 ejercicio A final envío con cierre (3) v 4 13" xfId="2603" xr:uid="{F74533EB-0859-454E-AC53-092C24881BC3}"/>
    <cellStyle name="_Noroeste_FCST Subsidy Handset 2010 (Abril-Dic) 20100401v5 ejercicio A final envío con cierre (3) v 4 14" xfId="2604" xr:uid="{19B08EDA-4788-4C40-9AD8-B3B1B210E6B5}"/>
    <cellStyle name="_Noroeste_FCST Subsidy Handset 2010 (Abril-Dic) 20100401v5 ejercicio A final envío con cierre (3) v 4 2" xfId="2605" xr:uid="{73D2064E-B4BC-4559-A2C6-7E975850F11E}"/>
    <cellStyle name="_Noroeste_FCST Subsidy Handset 2010 (Abril-Dic) 20100401v5 ejercicio A final envío con cierre (3) v 4 3" xfId="2606" xr:uid="{87781C9E-02DA-40DB-A213-8A98BA732E93}"/>
    <cellStyle name="_Noroeste_FCST Subsidy Handset 2010 (Abril-Dic) 20100401v5 ejercicio A final envío con cierre (3) v 4 4" xfId="2607" xr:uid="{311A2429-3708-4DC8-948D-0F00F0389228}"/>
    <cellStyle name="_Noroeste_FCST Subsidy Handset 2010 (Abril-Dic) 20100401v5 ejercicio A final envío con cierre (3) v 4 5" xfId="2608" xr:uid="{BCBED914-D38E-4AE2-8B73-382CBA1EC1A7}"/>
    <cellStyle name="_Noroeste_FCST Subsidy Handset 2010 (Abril-Dic) 20100401v5 ejercicio A final envío con cierre (3) v 4 6" xfId="2609" xr:uid="{6F135482-D338-4648-85E0-D6823CD654A9}"/>
    <cellStyle name="_Noroeste_FCST Subsidy Handset 2010 (Abril-Dic) 20100401v5 ejercicio A final envío con cierre (3) v 4 7" xfId="2610" xr:uid="{2A22B7F5-41E3-4D4D-8956-75150D639EB4}"/>
    <cellStyle name="_Noroeste_FCST Subsidy Handset 2010 (Abril-Dic) 20100401v5 ejercicio A final envío con cierre (3) v 4 8" xfId="2611" xr:uid="{F118027D-070C-4F25-A04D-CC7F0ED8DFA3}"/>
    <cellStyle name="_Noroeste_FCST Subsidy Handset 2010 (Abril-Dic) 20100401v5 ejercicio A final envío con cierre (3) v 4 9" xfId="2612" xr:uid="{4E5AA611-AD9E-43D7-996C-C530E3F06275}"/>
    <cellStyle name="_Noroeste_FCST Subsidy Handset 2010 (Mayo-Dic) 20100518 CT1000 $0 y CT500 $0-$699 v4 ER ejerc promo navidad (2) ej4" xfId="2613" xr:uid="{E507B327-A7D5-4EA4-A1C7-71BE8EF7122B}"/>
    <cellStyle name="_Noroeste_FCST Subsidy Handset 2010 (Mayo-Dic) 20100518 CT1000 $0 y CT500 $0-$699 v4 ER ejerc promo navidad (2) ej4 10" xfId="2614" xr:uid="{FCC20E64-E5DC-4285-B555-AE39D02C003A}"/>
    <cellStyle name="_Noroeste_FCST Subsidy Handset 2010 (Mayo-Dic) 20100518 CT1000 $0 y CT500 $0-$699 v4 ER ejerc promo navidad (2) ej4 11" xfId="2615" xr:uid="{61912459-78F7-439C-8746-780B98E96FE6}"/>
    <cellStyle name="_Noroeste_FCST Subsidy Handset 2010 (Mayo-Dic) 20100518 CT1000 $0 y CT500 $0-$699 v4 ER ejerc promo navidad (2) ej4 12" xfId="2616" xr:uid="{414FEAB2-EDA5-4A75-B9E7-1A50D3B5CA7E}"/>
    <cellStyle name="_Noroeste_FCST Subsidy Handset 2010 (Mayo-Dic) 20100518 CT1000 $0 y CT500 $0-$699 v4 ER ejerc promo navidad (2) ej4 13" xfId="2617" xr:uid="{E1444FA2-424C-45DB-8395-94DA1A04AD1C}"/>
    <cellStyle name="_Noroeste_FCST Subsidy Handset 2010 (Mayo-Dic) 20100518 CT1000 $0 y CT500 $0-$699 v4 ER ejerc promo navidad (2) ej4 14" xfId="2618" xr:uid="{1CECA16B-FCA1-4484-9213-5FBC7E51C5A5}"/>
    <cellStyle name="_Noroeste_FCST Subsidy Handset 2010 (Mayo-Dic) 20100518 CT1000 $0 y CT500 $0-$699 v4 ER ejerc promo navidad (2) ej4 2" xfId="2619" xr:uid="{C4152B3B-38A9-46C3-882C-AEBF845F710E}"/>
    <cellStyle name="_Noroeste_FCST Subsidy Handset 2010 (Mayo-Dic) 20100518 CT1000 $0 y CT500 $0-$699 v4 ER ejerc promo navidad (2) ej4 3" xfId="2620" xr:uid="{00105962-98E7-482D-A0C8-0C1ED7362746}"/>
    <cellStyle name="_Noroeste_FCST Subsidy Handset 2010 (Mayo-Dic) 20100518 CT1000 $0 y CT500 $0-$699 v4 ER ejerc promo navidad (2) ej4 4" xfId="2621" xr:uid="{C5C074C5-F184-420D-AE2D-13A15DE2527D}"/>
    <cellStyle name="_Noroeste_FCST Subsidy Handset 2010 (Mayo-Dic) 20100518 CT1000 $0 y CT500 $0-$699 v4 ER ejerc promo navidad (2) ej4 5" xfId="2622" xr:uid="{69D2FCE1-E75D-40C1-81E7-DB1CCBC1EB3C}"/>
    <cellStyle name="_Noroeste_FCST Subsidy Handset 2010 (Mayo-Dic) 20100518 CT1000 $0 y CT500 $0-$699 v4 ER ejerc promo navidad (2) ej4 6" xfId="2623" xr:uid="{4A5B54DB-C984-4F4C-BC76-3A71BDF103CD}"/>
    <cellStyle name="_Noroeste_FCST Subsidy Handset 2010 (Mayo-Dic) 20100518 CT1000 $0 y CT500 $0-$699 v4 ER ejerc promo navidad (2) ej4 7" xfId="2624" xr:uid="{7D24C55A-55C2-491C-BAF7-08953FDAD458}"/>
    <cellStyle name="_Noroeste_FCST Subsidy Handset 2010 (Mayo-Dic) 20100518 CT1000 $0 y CT500 $0-$699 v4 ER ejerc promo navidad (2) ej4 8" xfId="2625" xr:uid="{4479EBA0-6D9D-425E-BBE5-AAB6BE8F7E69}"/>
    <cellStyle name="_Noroeste_FCST Subsidy Handset 2010 (Mayo-Dic) 20100518 CT1000 $0 y CT500 $0-$699 v4 ER ejerc promo navidad (2) ej4 9" xfId="2626" xr:uid="{F0B8AEDC-0BDF-40AF-9AD4-C1150A87D642}"/>
    <cellStyle name="_Noroeste_Mix y ARP 2010 v2" xfId="2627" xr:uid="{500BC9B4-BAFE-4E56-B93B-A19817B69AF1}"/>
    <cellStyle name="_Noroeste_Mix y ARP 2010 v2 10" xfId="2628" xr:uid="{66C050EE-5861-4D85-AE96-DC829837B5B5}"/>
    <cellStyle name="_Noroeste_Mix y ARP 2010 v2 11" xfId="2629" xr:uid="{7E126913-9F49-4255-A840-D6679AFCB66A}"/>
    <cellStyle name="_Noroeste_Mix y ARP 2010 v2 12" xfId="2630" xr:uid="{01B0E1D8-F6E4-46E8-A6CA-2720F161F9B0}"/>
    <cellStyle name="_Noroeste_Mix y ARP 2010 v2 13" xfId="2631" xr:uid="{B251F25A-21CF-4D94-B14D-8EE2CA2D3CC1}"/>
    <cellStyle name="_Noroeste_Mix y ARP 2010 v2 14" xfId="2632" xr:uid="{17DA001A-E486-4523-90F2-ABFE09924139}"/>
    <cellStyle name="_Noroeste_Mix y ARP 2010 v2 2" xfId="2633" xr:uid="{17FC556F-A08D-446D-A72B-91262C745533}"/>
    <cellStyle name="_Noroeste_Mix y ARP 2010 v2 3" xfId="2634" xr:uid="{A4A93485-875C-40E2-8BDE-189AE5466C4E}"/>
    <cellStyle name="_Noroeste_Mix y ARP 2010 v2 4" xfId="2635" xr:uid="{A6E635B4-F8CE-421E-BC8C-558A10B1BBFE}"/>
    <cellStyle name="_Noroeste_Mix y ARP 2010 v2 5" xfId="2636" xr:uid="{74E7B8E7-C364-4BD9-A4BC-3D0740C07C38}"/>
    <cellStyle name="_Noroeste_Mix y ARP 2010 v2 6" xfId="2637" xr:uid="{26A19965-FFA2-4892-BA77-0EDC9B7D85B4}"/>
    <cellStyle name="_Noroeste_Mix y ARP 2010 v2 7" xfId="2638" xr:uid="{3A4B1F84-6411-46A9-B42C-3D1A82E81795}"/>
    <cellStyle name="_Noroeste_Mix y ARP 2010 v2 8" xfId="2639" xr:uid="{4DF82169-F8A0-409E-804D-1A06F43C71E8}"/>
    <cellStyle name="_Noroeste_Mix y ARP 2010 v2 9" xfId="2640" xr:uid="{42172BCA-0A9C-4030-A54C-D9593B4C282E}"/>
    <cellStyle name="_Norte" xfId="2641" xr:uid="{59D60D84-1DA2-4A56-B334-D044150AFAA1}"/>
    <cellStyle name="_Norte_FCST Subsidy Handset 2010 (Abril-Dic) 20100401v5 ejercicio A final envío con cierre (3) v 4" xfId="2642" xr:uid="{DE72DB7C-8738-4B4C-971F-674F82FBA896}"/>
    <cellStyle name="_Norte_FCST Subsidy Handset 2010 (Abril-Dic) 20100401v5 ejercicio A final envío con cierre (3) v 4 10" xfId="2643" xr:uid="{5DC341D9-5C2A-4AC7-A917-138B011FD3C4}"/>
    <cellStyle name="_Norte_FCST Subsidy Handset 2010 (Abril-Dic) 20100401v5 ejercicio A final envío con cierre (3) v 4 11" xfId="2644" xr:uid="{30142535-CDF0-432D-A50B-9D555A0F7668}"/>
    <cellStyle name="_Norte_FCST Subsidy Handset 2010 (Abril-Dic) 20100401v5 ejercicio A final envío con cierre (3) v 4 12" xfId="2645" xr:uid="{62147F39-3ADD-4CB2-A67F-B23263F90D44}"/>
    <cellStyle name="_Norte_FCST Subsidy Handset 2010 (Abril-Dic) 20100401v5 ejercicio A final envío con cierre (3) v 4 13" xfId="2646" xr:uid="{FA4C6ACB-6FFC-48AE-A824-970BD470A1BF}"/>
    <cellStyle name="_Norte_FCST Subsidy Handset 2010 (Abril-Dic) 20100401v5 ejercicio A final envío con cierre (3) v 4 14" xfId="2647" xr:uid="{E0DF5602-1A14-421B-9325-59BB75B6E183}"/>
    <cellStyle name="_Norte_FCST Subsidy Handset 2010 (Abril-Dic) 20100401v5 ejercicio A final envío con cierre (3) v 4 2" xfId="2648" xr:uid="{3A5986C0-7CD1-44B6-BAAB-2E5A95786CAE}"/>
    <cellStyle name="_Norte_FCST Subsidy Handset 2010 (Abril-Dic) 20100401v5 ejercicio A final envío con cierre (3) v 4 3" xfId="2649" xr:uid="{57E128A7-C210-4795-96DC-3493C1BFFA8B}"/>
    <cellStyle name="_Norte_FCST Subsidy Handset 2010 (Abril-Dic) 20100401v5 ejercicio A final envío con cierre (3) v 4 4" xfId="2650" xr:uid="{BA8AEF33-FD98-4A86-B06A-1BECCEE0E674}"/>
    <cellStyle name="_Norte_FCST Subsidy Handset 2010 (Abril-Dic) 20100401v5 ejercicio A final envío con cierre (3) v 4 5" xfId="2651" xr:uid="{C5E5B56D-38E4-4EAE-910B-44CB37BA0AA3}"/>
    <cellStyle name="_Norte_FCST Subsidy Handset 2010 (Abril-Dic) 20100401v5 ejercicio A final envío con cierre (3) v 4 6" xfId="2652" xr:uid="{35E06881-E9E6-4842-94F8-A3E6C89B46BE}"/>
    <cellStyle name="_Norte_FCST Subsidy Handset 2010 (Abril-Dic) 20100401v5 ejercicio A final envío con cierre (3) v 4 7" xfId="2653" xr:uid="{413ED259-EB0A-458E-AD8A-66B449D6BE79}"/>
    <cellStyle name="_Norte_FCST Subsidy Handset 2010 (Abril-Dic) 20100401v5 ejercicio A final envío con cierre (3) v 4 8" xfId="2654" xr:uid="{061E55E5-09CE-44D8-B411-31DB9E4CD68E}"/>
    <cellStyle name="_Norte_FCST Subsidy Handset 2010 (Abril-Dic) 20100401v5 ejercicio A final envío con cierre (3) v 4 9" xfId="2655" xr:uid="{CD54242A-99E2-4108-906A-D849B94A7952}"/>
    <cellStyle name="_Norte_FCST Subsidy Handset 2010 (Mayo-Dic) 20100518 CT1000 $0 y CT500 $0-$699 v4 ER ejerc promo navidad (2) ej4" xfId="2656" xr:uid="{483B9A15-8F2C-4FD2-B054-09A5D260EB4E}"/>
    <cellStyle name="_Norte_FCST Subsidy Handset 2010 (Mayo-Dic) 20100518 CT1000 $0 y CT500 $0-$699 v4 ER ejerc promo navidad (2) ej4 10" xfId="2657" xr:uid="{5372834A-4B20-447C-927F-31D40CD37707}"/>
    <cellStyle name="_Norte_FCST Subsidy Handset 2010 (Mayo-Dic) 20100518 CT1000 $0 y CT500 $0-$699 v4 ER ejerc promo navidad (2) ej4 11" xfId="2658" xr:uid="{213ACF5E-32E7-4F97-BBC6-98F02AE74CEE}"/>
    <cellStyle name="_Norte_FCST Subsidy Handset 2010 (Mayo-Dic) 20100518 CT1000 $0 y CT500 $0-$699 v4 ER ejerc promo navidad (2) ej4 12" xfId="2659" xr:uid="{C3109A6B-9EFC-4FAD-A407-9680F33C0459}"/>
    <cellStyle name="_Norte_FCST Subsidy Handset 2010 (Mayo-Dic) 20100518 CT1000 $0 y CT500 $0-$699 v4 ER ejerc promo navidad (2) ej4 13" xfId="2660" xr:uid="{9CBBB310-821C-4B51-8257-02F90FF1A80D}"/>
    <cellStyle name="_Norte_FCST Subsidy Handset 2010 (Mayo-Dic) 20100518 CT1000 $0 y CT500 $0-$699 v4 ER ejerc promo navidad (2) ej4 14" xfId="2661" xr:uid="{8F748EED-C2F9-4994-A2E4-30BC25F03CC1}"/>
    <cellStyle name="_Norte_FCST Subsidy Handset 2010 (Mayo-Dic) 20100518 CT1000 $0 y CT500 $0-$699 v4 ER ejerc promo navidad (2) ej4 2" xfId="2662" xr:uid="{08244BE8-D57C-47F1-BFFF-DCB8C9ECEA5C}"/>
    <cellStyle name="_Norte_FCST Subsidy Handset 2010 (Mayo-Dic) 20100518 CT1000 $0 y CT500 $0-$699 v4 ER ejerc promo navidad (2) ej4 3" xfId="2663" xr:uid="{C0D438AB-E286-44FE-97B8-C510D8D1A51D}"/>
    <cellStyle name="_Norte_FCST Subsidy Handset 2010 (Mayo-Dic) 20100518 CT1000 $0 y CT500 $0-$699 v4 ER ejerc promo navidad (2) ej4 4" xfId="2664" xr:uid="{BFEEF8AE-F887-41C0-A6B2-AAC732CE9F03}"/>
    <cellStyle name="_Norte_FCST Subsidy Handset 2010 (Mayo-Dic) 20100518 CT1000 $0 y CT500 $0-$699 v4 ER ejerc promo navidad (2) ej4 5" xfId="2665" xr:uid="{D7AF7F52-10E5-4506-A4D8-3D9610877F6D}"/>
    <cellStyle name="_Norte_FCST Subsidy Handset 2010 (Mayo-Dic) 20100518 CT1000 $0 y CT500 $0-$699 v4 ER ejerc promo navidad (2) ej4 6" xfId="2666" xr:uid="{88257FC2-C76D-402C-9BF4-4BFED45E5C61}"/>
    <cellStyle name="_Norte_FCST Subsidy Handset 2010 (Mayo-Dic) 20100518 CT1000 $0 y CT500 $0-$699 v4 ER ejerc promo navidad (2) ej4 7" xfId="2667" xr:uid="{86C69A9C-A209-45AB-90EA-1B6865B33057}"/>
    <cellStyle name="_Norte_FCST Subsidy Handset 2010 (Mayo-Dic) 20100518 CT1000 $0 y CT500 $0-$699 v4 ER ejerc promo navidad (2) ej4 8" xfId="2668" xr:uid="{C7D8A8E0-A749-4DC3-8F8B-B0A0161A1150}"/>
    <cellStyle name="_Norte_FCST Subsidy Handset 2010 (Mayo-Dic) 20100518 CT1000 $0 y CT500 $0-$699 v4 ER ejerc promo navidad (2) ej4 9" xfId="2669" xr:uid="{71280609-B1E9-455D-8F82-FA0FD623F335}"/>
    <cellStyle name="_Norte_Mix y ARP 2010 v2" xfId="2670" xr:uid="{43FA0F77-B15F-4B3D-B18E-E262F06B6B8D}"/>
    <cellStyle name="_Norte_Mix y ARP 2010 v2 10" xfId="2671" xr:uid="{9F730D0A-DD8B-455D-B6F4-06BAD03F0765}"/>
    <cellStyle name="_Norte_Mix y ARP 2010 v2 11" xfId="2672" xr:uid="{AC1D1EB9-9D4B-42F8-A9CA-8F68853ED44C}"/>
    <cellStyle name="_Norte_Mix y ARP 2010 v2 12" xfId="2673" xr:uid="{B1947007-0AE5-4EB5-B68E-A551044C21AE}"/>
    <cellStyle name="_Norte_Mix y ARP 2010 v2 13" xfId="2674" xr:uid="{289C80F2-3C7C-4072-93CC-C70A58823B85}"/>
    <cellStyle name="_Norte_Mix y ARP 2010 v2 14" xfId="2675" xr:uid="{49B42070-3D06-44A0-89BB-C35458894352}"/>
    <cellStyle name="_Norte_Mix y ARP 2010 v2 2" xfId="2676" xr:uid="{5FC38100-97AF-4CD3-9041-527DD1DE9498}"/>
    <cellStyle name="_Norte_Mix y ARP 2010 v2 3" xfId="2677" xr:uid="{35A9CD84-39D3-426D-95B9-DE714E82D843}"/>
    <cellStyle name="_Norte_Mix y ARP 2010 v2 4" xfId="2678" xr:uid="{F8C76AA9-021A-4964-9D56-66D3DC67DD40}"/>
    <cellStyle name="_Norte_Mix y ARP 2010 v2 5" xfId="2679" xr:uid="{5EFDCE16-D031-4ED9-A063-14AC37FD9F9A}"/>
    <cellStyle name="_Norte_Mix y ARP 2010 v2 6" xfId="2680" xr:uid="{F69D4312-7763-4875-8D94-DF1B24D8F754}"/>
    <cellStyle name="_Norte_Mix y ARP 2010 v2 7" xfId="2681" xr:uid="{B118265A-95BE-4A02-B71F-BAFB99DBE94C}"/>
    <cellStyle name="_Norte_Mix y ARP 2010 v2 8" xfId="2682" xr:uid="{14B574F5-60EC-431D-A5C5-E9D9D2AA2B96}"/>
    <cellStyle name="_Norte_Mix y ARP 2010 v2 9" xfId="2683" xr:uid="{4B9E7ADA-3A36-48D8-9CC5-87541E00A86D}"/>
    <cellStyle name="_Pacífico-Bajío" xfId="2684" xr:uid="{4924E368-3E95-4DD1-8D9D-372022351220}"/>
    <cellStyle name="_Pacífico-Bajío_FCST Subsidy Handset 2010 (Abril-Dic) 20100401v5 ejercicio A final envío con cierre (3) v 4" xfId="2685" xr:uid="{818AF21E-0463-4EDA-BBF1-43C8DEDA6990}"/>
    <cellStyle name="_Pacífico-Bajío_FCST Subsidy Handset 2010 (Abril-Dic) 20100401v5 ejercicio A final envío con cierre (3) v 4 10" xfId="2686" xr:uid="{C0100090-4B1E-4358-8745-85AC06F6003B}"/>
    <cellStyle name="_Pacífico-Bajío_FCST Subsidy Handset 2010 (Abril-Dic) 20100401v5 ejercicio A final envío con cierre (3) v 4 11" xfId="2687" xr:uid="{172069F7-1907-4BC4-9334-7A94509B5D9F}"/>
    <cellStyle name="_Pacífico-Bajío_FCST Subsidy Handset 2010 (Abril-Dic) 20100401v5 ejercicio A final envío con cierre (3) v 4 12" xfId="2688" xr:uid="{7582EEB4-DA0E-45B6-92C8-5906D628EFCF}"/>
    <cellStyle name="_Pacífico-Bajío_FCST Subsidy Handset 2010 (Abril-Dic) 20100401v5 ejercicio A final envío con cierre (3) v 4 13" xfId="2689" xr:uid="{1F6D99D4-CF3B-4EEB-B1F2-64A7A018DEDF}"/>
    <cellStyle name="_Pacífico-Bajío_FCST Subsidy Handset 2010 (Abril-Dic) 20100401v5 ejercicio A final envío con cierre (3) v 4 14" xfId="2690" xr:uid="{C5E3C29F-1EA1-43AA-AABC-E47379C5E9B6}"/>
    <cellStyle name="_Pacífico-Bajío_FCST Subsidy Handset 2010 (Abril-Dic) 20100401v5 ejercicio A final envío con cierre (3) v 4 2" xfId="2691" xr:uid="{DEC8AAF9-3252-4FF9-A441-E57CDF2E758B}"/>
    <cellStyle name="_Pacífico-Bajío_FCST Subsidy Handset 2010 (Abril-Dic) 20100401v5 ejercicio A final envío con cierre (3) v 4 3" xfId="2692" xr:uid="{D05B413C-7E9B-4D71-A48D-C42D77B451AE}"/>
    <cellStyle name="_Pacífico-Bajío_FCST Subsidy Handset 2010 (Abril-Dic) 20100401v5 ejercicio A final envío con cierre (3) v 4 4" xfId="2693" xr:uid="{4549DD26-18A4-4EBF-ADAF-2C2709E936FD}"/>
    <cellStyle name="_Pacífico-Bajío_FCST Subsidy Handset 2010 (Abril-Dic) 20100401v5 ejercicio A final envío con cierre (3) v 4 5" xfId="2694" xr:uid="{DC2CD30B-1667-447F-B15B-99C9D6D4612D}"/>
    <cellStyle name="_Pacífico-Bajío_FCST Subsidy Handset 2010 (Abril-Dic) 20100401v5 ejercicio A final envío con cierre (3) v 4 6" xfId="2695" xr:uid="{156C47F1-17F0-4519-91E1-1CD32AE7588E}"/>
    <cellStyle name="_Pacífico-Bajío_FCST Subsidy Handset 2010 (Abril-Dic) 20100401v5 ejercicio A final envío con cierre (3) v 4 7" xfId="2696" xr:uid="{DBE25B9A-8606-4F88-8368-0E45FB6D6267}"/>
    <cellStyle name="_Pacífico-Bajío_FCST Subsidy Handset 2010 (Abril-Dic) 20100401v5 ejercicio A final envío con cierre (3) v 4 8" xfId="2697" xr:uid="{7D0D9741-2FB9-42D9-80B1-78121354B083}"/>
    <cellStyle name="_Pacífico-Bajío_FCST Subsidy Handset 2010 (Abril-Dic) 20100401v5 ejercicio A final envío con cierre (3) v 4 9" xfId="2698" xr:uid="{EC663A02-AF38-4937-9E41-726D0EEB891E}"/>
    <cellStyle name="_Pacífico-Bajío_FCST Subsidy Handset 2010 (Mayo-Dic) 20100518 CT1000 $0 y CT500 $0-$699 v4 ER ejerc promo navidad (2) ej4" xfId="2699" xr:uid="{14A6AE53-57C9-42FC-B4E3-65ECB4E36BEB}"/>
    <cellStyle name="_Pacífico-Bajío_FCST Subsidy Handset 2010 (Mayo-Dic) 20100518 CT1000 $0 y CT500 $0-$699 v4 ER ejerc promo navidad (2) ej4 10" xfId="2700" xr:uid="{5458CED6-CDA1-4F5C-9FBF-DC6464830180}"/>
    <cellStyle name="_Pacífico-Bajío_FCST Subsidy Handset 2010 (Mayo-Dic) 20100518 CT1000 $0 y CT500 $0-$699 v4 ER ejerc promo navidad (2) ej4 11" xfId="2701" xr:uid="{6BAFBD47-A722-4EED-8FBD-4AC5B198F146}"/>
    <cellStyle name="_Pacífico-Bajío_FCST Subsidy Handset 2010 (Mayo-Dic) 20100518 CT1000 $0 y CT500 $0-$699 v4 ER ejerc promo navidad (2) ej4 12" xfId="2702" xr:uid="{4D1DE027-F6CD-4299-8579-E3217F725515}"/>
    <cellStyle name="_Pacífico-Bajío_FCST Subsidy Handset 2010 (Mayo-Dic) 20100518 CT1000 $0 y CT500 $0-$699 v4 ER ejerc promo navidad (2) ej4 13" xfId="2703" xr:uid="{01E02CF9-2EBC-429C-8B97-1ED4E15E9BBE}"/>
    <cellStyle name="_Pacífico-Bajío_FCST Subsidy Handset 2010 (Mayo-Dic) 20100518 CT1000 $0 y CT500 $0-$699 v4 ER ejerc promo navidad (2) ej4 14" xfId="2704" xr:uid="{15D290DD-CA3A-4477-8BA0-8AB380D7A38B}"/>
    <cellStyle name="_Pacífico-Bajío_FCST Subsidy Handset 2010 (Mayo-Dic) 20100518 CT1000 $0 y CT500 $0-$699 v4 ER ejerc promo navidad (2) ej4 2" xfId="2705" xr:uid="{9862535F-1AB4-46E6-9816-6361AA27FF83}"/>
    <cellStyle name="_Pacífico-Bajío_FCST Subsidy Handset 2010 (Mayo-Dic) 20100518 CT1000 $0 y CT500 $0-$699 v4 ER ejerc promo navidad (2) ej4 3" xfId="2706" xr:uid="{0EA893C9-4377-456A-A10F-0AF48A1DB990}"/>
    <cellStyle name="_Pacífico-Bajío_FCST Subsidy Handset 2010 (Mayo-Dic) 20100518 CT1000 $0 y CT500 $0-$699 v4 ER ejerc promo navidad (2) ej4 4" xfId="2707" xr:uid="{A91FBF4A-830E-4BBB-B4CD-CC90A1FDBC52}"/>
    <cellStyle name="_Pacífico-Bajío_FCST Subsidy Handset 2010 (Mayo-Dic) 20100518 CT1000 $0 y CT500 $0-$699 v4 ER ejerc promo navidad (2) ej4 5" xfId="2708" xr:uid="{278C77F0-24BC-4569-9FDB-87B67DD7ECFD}"/>
    <cellStyle name="_Pacífico-Bajío_FCST Subsidy Handset 2010 (Mayo-Dic) 20100518 CT1000 $0 y CT500 $0-$699 v4 ER ejerc promo navidad (2) ej4 6" xfId="2709" xr:uid="{05E0B4B2-0472-4DEB-8E75-E4028127087B}"/>
    <cellStyle name="_Pacífico-Bajío_FCST Subsidy Handset 2010 (Mayo-Dic) 20100518 CT1000 $0 y CT500 $0-$699 v4 ER ejerc promo navidad (2) ej4 7" xfId="2710" xr:uid="{02B07553-7F00-45A5-B790-D55B08D1957B}"/>
    <cellStyle name="_Pacífico-Bajío_FCST Subsidy Handset 2010 (Mayo-Dic) 20100518 CT1000 $0 y CT500 $0-$699 v4 ER ejerc promo navidad (2) ej4 8" xfId="2711" xr:uid="{59C2E74A-C92C-4908-8B87-7E8697E9DC00}"/>
    <cellStyle name="_Pacífico-Bajío_FCST Subsidy Handset 2010 (Mayo-Dic) 20100518 CT1000 $0 y CT500 $0-$699 v4 ER ejerc promo navidad (2) ej4 9" xfId="2712" xr:uid="{13B1CE10-F454-4DA6-8CC0-B09095F9C244}"/>
    <cellStyle name="_Pacífico-Bajío_Mix y ARP 2010 v2" xfId="2713" xr:uid="{3982483F-2CA6-4A7E-ABF6-9D4303CBF85C}"/>
    <cellStyle name="_Pacífico-Bajío_Mix y ARP 2010 v2 10" xfId="2714" xr:uid="{E9C9A7C0-BD4F-4798-A957-9ADEE8E17853}"/>
    <cellStyle name="_Pacífico-Bajío_Mix y ARP 2010 v2 11" xfId="2715" xr:uid="{C5A31558-B885-4065-A3A8-59B3F34C312F}"/>
    <cellStyle name="_Pacífico-Bajío_Mix y ARP 2010 v2 12" xfId="2716" xr:uid="{67EC9975-0C34-4167-8C39-D00554475E7E}"/>
    <cellStyle name="_Pacífico-Bajío_Mix y ARP 2010 v2 13" xfId="2717" xr:uid="{91E0635B-B066-43BA-B88C-191815C0AB0B}"/>
    <cellStyle name="_Pacífico-Bajío_Mix y ARP 2010 v2 14" xfId="2718" xr:uid="{77479070-326E-48A1-BF76-A79928679F1C}"/>
    <cellStyle name="_Pacífico-Bajío_Mix y ARP 2010 v2 2" xfId="2719" xr:uid="{0EFED89B-8BE8-4104-9244-2353D1582D37}"/>
    <cellStyle name="_Pacífico-Bajío_Mix y ARP 2010 v2 3" xfId="2720" xr:uid="{72127BB3-C507-43B8-B82E-2AAC39F684BD}"/>
    <cellStyle name="_Pacífico-Bajío_Mix y ARP 2010 v2 4" xfId="2721" xr:uid="{2E8FBB10-F2AB-425C-9FCD-2031ADCD4013}"/>
    <cellStyle name="_Pacífico-Bajío_Mix y ARP 2010 v2 5" xfId="2722" xr:uid="{94C5D7ED-079B-4F06-B696-A4ECC1ED93DB}"/>
    <cellStyle name="_Pacífico-Bajío_Mix y ARP 2010 v2 6" xfId="2723" xr:uid="{1DA08E14-4D50-4181-8F61-B3D7A2591822}"/>
    <cellStyle name="_Pacífico-Bajío_Mix y ARP 2010 v2 7" xfId="2724" xr:uid="{083194EA-06C5-40D8-8006-41ED3DFC1FEC}"/>
    <cellStyle name="_Pacífico-Bajío_Mix y ARP 2010 v2 8" xfId="2725" xr:uid="{A5BFCB41-2151-4340-BE2D-B5D5935199A3}"/>
    <cellStyle name="_Pacífico-Bajío_Mix y ARP 2010 v2 9" xfId="2726" xr:uid="{C812EFAF-F56F-4D5B-B5D8-D488D1E96E9F}"/>
    <cellStyle name="=C:\WINNT\SYSTEM32\COMMAND.COM" xfId="2727" xr:uid="{AB51E343-04AE-4F09-818A-9E6B60768250}"/>
    <cellStyle name="=C:\WINNT\SYSTEM32\COMMAND.COM 10" xfId="2728" xr:uid="{86959B92-7F98-49CC-B603-82005B32F6C5}"/>
    <cellStyle name="=C:\WINNT\SYSTEM32\COMMAND.COM 11" xfId="2729" xr:uid="{D2EBE6AF-BE88-4D9B-A7F5-A4F4886D26B4}"/>
    <cellStyle name="=C:\WINNT\SYSTEM32\COMMAND.COM 12" xfId="2730" xr:uid="{2653A950-5E74-477B-B87A-684CF66E2448}"/>
    <cellStyle name="=C:\WINNT\SYSTEM32\COMMAND.COM 13" xfId="2731" xr:uid="{F3140FC7-AB7E-4386-9ACC-D014935A845F}"/>
    <cellStyle name="=C:\WINNT\SYSTEM32\COMMAND.COM 14" xfId="2732" xr:uid="{4E0C12BF-F66D-469C-A924-1CD5981C280A}"/>
    <cellStyle name="=C:\WINNT\SYSTEM32\COMMAND.COM 2" xfId="2733" xr:uid="{431A1D97-1FCD-4700-8700-99BF36EA094B}"/>
    <cellStyle name="=C:\WINNT\SYSTEM32\COMMAND.COM 3" xfId="2734" xr:uid="{7AFC70B0-5B5B-4B0E-9692-15539BB7266F}"/>
    <cellStyle name="=C:\WINNT\SYSTEM32\COMMAND.COM 4" xfId="2735" xr:uid="{C1AE54E1-AA15-4A2C-9EFA-6E5DE21DA737}"/>
    <cellStyle name="=C:\WINNT\SYSTEM32\COMMAND.COM 5" xfId="2736" xr:uid="{ACADA79A-9035-4F6F-AA38-BA0B475FFA78}"/>
    <cellStyle name="=C:\WINNT\SYSTEM32\COMMAND.COM 6" xfId="2737" xr:uid="{FD392590-6E0C-4449-A73C-E411C21147C7}"/>
    <cellStyle name="=C:\WINNT\SYSTEM32\COMMAND.COM 7" xfId="2738" xr:uid="{A381DD72-E511-42A3-984F-D315C5A9C404}"/>
    <cellStyle name="=C:\WINNT\SYSTEM32\COMMAND.COM 8" xfId="2739" xr:uid="{369DCA58-ABFA-494A-A4CC-120C6EC87992}"/>
    <cellStyle name="=C:\WINNT\SYSTEM32\COMMAND.COM 9" xfId="2740" xr:uid="{89D3362A-5919-4BEC-BCEE-5F78A69F6848}"/>
    <cellStyle name="=C:\WINNT\SYSTEM32\COMMAND.COM_20100528 Inventario GA" xfId="2741" xr:uid="{5CB4D5DE-2991-4D74-BEEF-3A9314F4299D}"/>
    <cellStyle name="000 PN" xfId="2742" xr:uid="{76214334-C0D4-406D-9182-A95960FABA83}"/>
    <cellStyle name="20% - Accent1" xfId="2743" xr:uid="{343308C8-E716-4536-BADD-2DE807FD28D3}"/>
    <cellStyle name="20% - Accent2" xfId="2744" xr:uid="{621C2A51-5451-487E-9BCD-847DBCBF4574}"/>
    <cellStyle name="20% - Accent3" xfId="2745" xr:uid="{33C41A22-FBAF-4367-A628-E98DF93F3A04}"/>
    <cellStyle name="20% - Accent4" xfId="2746" xr:uid="{7972F03E-6ED0-46AF-AAED-88E6E96A7BBA}"/>
    <cellStyle name="20% - Accent5" xfId="2747" xr:uid="{873A0ECF-2B50-40AE-A052-1F39F5A0EE1B}"/>
    <cellStyle name="20% - Accent6" xfId="2748" xr:uid="{EBF22DA9-B115-4F6D-B850-8B5546287540}"/>
    <cellStyle name="20% - Énfasis1 2" xfId="2749" xr:uid="{B7FC7E78-3297-4EDC-8294-6E173A5AABCE}"/>
    <cellStyle name="20% - Énfasis1 3" xfId="2750" xr:uid="{4805D1C1-4436-45D7-90F4-904C141994A1}"/>
    <cellStyle name="20% - Énfasis1 4" xfId="2751" xr:uid="{C28A1530-2BD6-4EFC-9910-5C1E1F524D44}"/>
    <cellStyle name="20% - Énfasis1 5" xfId="2752" xr:uid="{A5343589-D6A3-4E9C-8FC1-1DB8DA635607}"/>
    <cellStyle name="20% - Énfasis1 6" xfId="2753" xr:uid="{D9C2200A-033B-4D55-9411-B3D6A7DC06AD}"/>
    <cellStyle name="20% - Énfasis2 2" xfId="2754" xr:uid="{6E3E4A71-196E-48CE-8725-95A14B9268D2}"/>
    <cellStyle name="20% - Énfasis2 3" xfId="2755" xr:uid="{123DD77F-0688-4AA8-8EAC-2B935B495ED5}"/>
    <cellStyle name="20% - Énfasis2 4" xfId="2756" xr:uid="{CCE112D7-DC7A-4796-B192-2099CC7B616F}"/>
    <cellStyle name="20% - Énfasis2 5" xfId="2757" xr:uid="{19CE595F-8E44-49BA-B33F-C3629DD1DC7C}"/>
    <cellStyle name="20% - Énfasis2 6" xfId="2758" xr:uid="{52813413-975E-48D9-A645-3C4970416C77}"/>
    <cellStyle name="20% - Énfasis3 2" xfId="2759" xr:uid="{938914B2-7D76-4FD5-87D8-2D6B83E6267C}"/>
    <cellStyle name="20% - Énfasis3 3" xfId="2760" xr:uid="{E237B2C6-FBBF-457A-9F73-DC49BA8D08A6}"/>
    <cellStyle name="20% - Énfasis3 4" xfId="2761" xr:uid="{474ECD2A-69E3-4CBF-99D0-3ABB8B300D67}"/>
    <cellStyle name="20% - Énfasis3 5" xfId="2762" xr:uid="{2DF7719C-DF35-426F-8254-5623325679AB}"/>
    <cellStyle name="20% - Énfasis3 6" xfId="2763" xr:uid="{D882A240-FBC4-42B1-AA7E-1276A5622139}"/>
    <cellStyle name="20% - Énfasis4 2" xfId="2764" xr:uid="{A792AD5B-2292-4267-B55F-3CB9A0A7E045}"/>
    <cellStyle name="20% - Énfasis4 3" xfId="2765" xr:uid="{9E1BCFA7-FAF7-4482-9BAF-55BA2A9F4CE5}"/>
    <cellStyle name="20% - Énfasis4 4" xfId="2766" xr:uid="{CBAC264A-4AE2-465A-B67D-9BE96BB7C57E}"/>
    <cellStyle name="20% - Énfasis4 5" xfId="2767" xr:uid="{3E57B900-F613-4774-9A59-AEB09867105A}"/>
    <cellStyle name="20% - Énfasis4 6" xfId="2768" xr:uid="{CDEB93C7-0E20-422A-8218-A887C4E47A42}"/>
    <cellStyle name="20% - Énfasis5 2" xfId="2769" xr:uid="{5DC8F7C0-2384-4ED7-8231-D914E80D1A01}"/>
    <cellStyle name="20% - Énfasis5 3" xfId="2770" xr:uid="{284A3281-851B-48AF-BF9F-52997966C9B4}"/>
    <cellStyle name="20% - Énfasis5 4" xfId="2771" xr:uid="{6BB99C74-F1AC-4CA2-95B7-87EF40AF90B7}"/>
    <cellStyle name="20% - Énfasis5 5" xfId="2772" xr:uid="{7EAD8827-A284-4439-B6A5-DAB0A6A6AFA4}"/>
    <cellStyle name="20% - Énfasis5 6" xfId="2773" xr:uid="{4847CA88-336D-4C7E-99B7-C7F0EE76A3A2}"/>
    <cellStyle name="20% - Énfasis6 2" xfId="2774" xr:uid="{FF0FABB3-2CD4-49C5-995D-78D16B95B256}"/>
    <cellStyle name="20% - Énfasis6 3" xfId="2775" xr:uid="{2FDC1493-3778-4770-8DEB-B93D8B262975}"/>
    <cellStyle name="20% - Énfasis6 4" xfId="2776" xr:uid="{72D65D1C-034B-4AD3-AD6B-7C4C878AF4A9}"/>
    <cellStyle name="20% - Énfasis6 5" xfId="2777" xr:uid="{31F3A77F-0393-4873-ABDC-95114F76BF19}"/>
    <cellStyle name="20% - Énfasis6 6" xfId="2778" xr:uid="{D2431E6E-0BA4-4A3B-B8FE-E80960132311}"/>
    <cellStyle name="2line" xfId="2779" xr:uid="{C628B202-C24F-4ED3-A5F2-337FDDBB4590}"/>
    <cellStyle name="40% - Accent1" xfId="2780" xr:uid="{2118828A-95BF-41E2-8887-AA24EE300E33}"/>
    <cellStyle name="40% - Accent2" xfId="2781" xr:uid="{A749FFB8-A7A9-4B2C-9843-097A3C5D58B3}"/>
    <cellStyle name="40% - Accent3" xfId="2782" xr:uid="{B4E5D490-01A2-4F4A-8ACA-2DBEF5B48063}"/>
    <cellStyle name="40% - Accent4" xfId="2783" xr:uid="{D5219A55-12AB-4F39-8A30-41D9926D51FD}"/>
    <cellStyle name="40% - Accent5" xfId="2784" xr:uid="{F8E6F2F2-8BD8-4983-8090-81E0C4D59EB1}"/>
    <cellStyle name="40% - Accent6" xfId="2785" xr:uid="{154CEA3C-9D75-4552-85CD-69CCB5822720}"/>
    <cellStyle name="40% - Énfasis1 2" xfId="2786" xr:uid="{7F62A8F4-6B2A-45E8-A499-ADDA1375C18A}"/>
    <cellStyle name="40% - Énfasis1 3" xfId="2787" xr:uid="{D48EF886-6845-4E55-BA08-71947A4EDD54}"/>
    <cellStyle name="40% - Énfasis1 4" xfId="2788" xr:uid="{C2CB800E-B21D-4AC0-A11E-130A3762E199}"/>
    <cellStyle name="40% - Énfasis1 5" xfId="2789" xr:uid="{96F4FF5B-B63E-4F22-8697-129BF0E6278F}"/>
    <cellStyle name="40% - Énfasis1 6" xfId="2790" xr:uid="{98C57680-9C1C-4FA4-8D7D-B193C5DE1A60}"/>
    <cellStyle name="40% - Énfasis2 2" xfId="2791" xr:uid="{EC589BC1-934E-4EFE-A282-9EEF5367B306}"/>
    <cellStyle name="40% - Énfasis2 3" xfId="2792" xr:uid="{2E7DC93E-60D7-49F4-AAD5-DDD8830D16CD}"/>
    <cellStyle name="40% - Énfasis2 4" xfId="2793" xr:uid="{81F05DDA-119F-4F95-B619-FE9411826E4C}"/>
    <cellStyle name="40% - Énfasis2 5" xfId="2794" xr:uid="{AA200F72-02F3-4A1D-A5C1-87A19E0C7761}"/>
    <cellStyle name="40% - Énfasis2 6" xfId="2795" xr:uid="{1AB4B41D-FA6A-4C84-B343-BE12DC21BDFC}"/>
    <cellStyle name="40% - Énfasis3 2" xfId="2796" xr:uid="{C651D277-C9DD-49AD-833D-ADA592F772D2}"/>
    <cellStyle name="40% - Énfasis3 3" xfId="2797" xr:uid="{761CF794-11A9-4866-A641-F6876343C133}"/>
    <cellStyle name="40% - Énfasis3 4" xfId="2798" xr:uid="{9132EA07-B6A9-40CC-B821-078DEAA56567}"/>
    <cellStyle name="40% - Énfasis3 5" xfId="2799" xr:uid="{9300632A-ACB8-48CD-AB17-D022B081690D}"/>
    <cellStyle name="40% - Énfasis3 6" xfId="2800" xr:uid="{649C9BCD-FFCD-41C2-AE63-F0F0E085C644}"/>
    <cellStyle name="40% - Énfasis4 2" xfId="2801" xr:uid="{2D0B859F-6C48-430F-B7B7-E43B9967F792}"/>
    <cellStyle name="40% - Énfasis4 3" xfId="2802" xr:uid="{224D09BE-E838-481C-B794-C89C8D327155}"/>
    <cellStyle name="40% - Énfasis4 4" xfId="2803" xr:uid="{31F11C9F-32A3-4EB0-868F-5CAE1BFD5ACC}"/>
    <cellStyle name="40% - Énfasis4 5" xfId="2804" xr:uid="{7283B332-B13A-45FA-A245-50F95B8F83DA}"/>
    <cellStyle name="40% - Énfasis4 6" xfId="2805" xr:uid="{CD78F7AB-D885-452E-9DE8-E7773B6B74B2}"/>
    <cellStyle name="40% - Énfasis5 2" xfId="2806" xr:uid="{2B84F0C7-D196-4AF9-87E5-F6B2EF257D0E}"/>
    <cellStyle name="40% - Énfasis5 3" xfId="2807" xr:uid="{614782A9-B840-469D-BDED-0584419739D7}"/>
    <cellStyle name="40% - Énfasis5 4" xfId="2808" xr:uid="{CF72F078-8C41-4392-AD13-B1ECC8CE288F}"/>
    <cellStyle name="40% - Énfasis5 5" xfId="2809" xr:uid="{199017F6-FD2F-4345-AD6F-6289B059351B}"/>
    <cellStyle name="40% - Énfasis5 6" xfId="2810" xr:uid="{A11B7FC5-CEC2-4203-90CE-BB405DBD9BD6}"/>
    <cellStyle name="40% - Énfasis6 2" xfId="2811" xr:uid="{4F937A8C-DF97-496F-A479-5589D38E792B}"/>
    <cellStyle name="40% - Énfasis6 3" xfId="2812" xr:uid="{45CECC02-D657-4572-B622-CB8747E506DD}"/>
    <cellStyle name="40% - Énfasis6 4" xfId="2813" xr:uid="{E8C1F398-13D4-4EE3-B821-BAA35D6DDADE}"/>
    <cellStyle name="40% - Énfasis6 5" xfId="2814" xr:uid="{5066278B-28A5-41AB-B17F-E50144909E15}"/>
    <cellStyle name="40% - Énfasis6 6" xfId="2815" xr:uid="{480AA05E-949A-422A-ABE7-CEA1829D10E2}"/>
    <cellStyle name="60% - Accent1" xfId="2816" xr:uid="{95B59413-74F6-46F6-BCD8-DA47EBCA2091}"/>
    <cellStyle name="60% - Accent2" xfId="2817" xr:uid="{C90D54EA-DB26-4839-A00F-FE5EEA1DE071}"/>
    <cellStyle name="60% - Accent3" xfId="2818" xr:uid="{0FFF5C41-1294-4BB6-BC3B-B7B29F977B21}"/>
    <cellStyle name="60% - Accent4" xfId="2819" xr:uid="{7A6C71A8-9681-469B-90B9-6422CF83DDA2}"/>
    <cellStyle name="60% - Accent5" xfId="2820" xr:uid="{34607EEB-C50C-4D85-B552-6CD9F5EDE30A}"/>
    <cellStyle name="60% - Accent6" xfId="2821" xr:uid="{12DF1CB1-EFA9-441C-A250-FD6945A9C5A9}"/>
    <cellStyle name="60% - Énfasis1 2" xfId="2822" xr:uid="{E35595C9-34E4-4002-AEC4-80BC9C299B1A}"/>
    <cellStyle name="60% - Énfasis1 3" xfId="2823" xr:uid="{0A4B58D6-57CD-41E3-AAF9-35706B068274}"/>
    <cellStyle name="60% - Énfasis1 4" xfId="2824" xr:uid="{050F67D9-C381-4FC9-A238-BE0D79C2D77D}"/>
    <cellStyle name="60% - Énfasis1 5" xfId="2825" xr:uid="{2954C774-C92C-4309-9E0E-70D1EB6FE3BB}"/>
    <cellStyle name="60% - Énfasis1 6" xfId="2826" xr:uid="{0DAFE799-A5A4-4C4D-9190-549494911407}"/>
    <cellStyle name="60% - Énfasis2 2" xfId="2827" xr:uid="{6BFE421B-69FC-4647-BD6F-78F9C6947C0B}"/>
    <cellStyle name="60% - Énfasis2 3" xfId="2828" xr:uid="{D758A8A1-77D5-4EF3-BF6A-4E01F64D3928}"/>
    <cellStyle name="60% - Énfasis2 4" xfId="2829" xr:uid="{2DFF49C6-EF9B-4075-BF60-6A289A65ABA7}"/>
    <cellStyle name="60% - Énfasis2 5" xfId="2830" xr:uid="{91075F95-E745-4D1F-82FC-E144C718E380}"/>
    <cellStyle name="60% - Énfasis2 6" xfId="2831" xr:uid="{5D0E34DB-DCF7-42DD-B82B-5FFA6A01FFD9}"/>
    <cellStyle name="60% - Énfasis3 2" xfId="2832" xr:uid="{5E2BF3AE-22ED-4DB3-B072-A1BBD2006978}"/>
    <cellStyle name="60% - Énfasis3 3" xfId="2833" xr:uid="{19445E55-6BF9-4C65-86FB-80559737086E}"/>
    <cellStyle name="60% - Énfasis3 4" xfId="2834" xr:uid="{E3420239-5ECC-46EE-9098-464309F83A50}"/>
    <cellStyle name="60% - Énfasis3 5" xfId="2835" xr:uid="{B34EFD49-944C-479F-902A-62F3D3D02783}"/>
    <cellStyle name="60% - Énfasis3 6" xfId="2836" xr:uid="{D1B1D154-17A1-4EEF-856E-377171D4ECD3}"/>
    <cellStyle name="60% - Énfasis4 2" xfId="2837" xr:uid="{01C11BA6-C8C7-4214-9E40-6484E4E14086}"/>
    <cellStyle name="60% - Énfasis4 3" xfId="2838" xr:uid="{E4EAEB8E-B6B0-4E07-97DE-8C9082360CD6}"/>
    <cellStyle name="60% - Énfasis4 4" xfId="2839" xr:uid="{A150A3CC-1328-4D26-92C9-F8F30EDE949A}"/>
    <cellStyle name="60% - Énfasis4 5" xfId="2840" xr:uid="{278355D2-6441-4967-BD2F-5DBB48DDF266}"/>
    <cellStyle name="60% - Énfasis4 6" xfId="2841" xr:uid="{EC8B8E33-D1A4-4A07-AA33-5927E707D97B}"/>
    <cellStyle name="60% - Énfasis5 2" xfId="2842" xr:uid="{25DA1A50-5083-4DFE-8DD5-9B1C3813C174}"/>
    <cellStyle name="60% - Énfasis5 3" xfId="2843" xr:uid="{CA5BCE12-76A9-4DD9-A903-1818B2FA19AF}"/>
    <cellStyle name="60% - Énfasis5 4" xfId="2844" xr:uid="{E16F844B-7116-4EB3-BE89-A3B956640F7A}"/>
    <cellStyle name="60% - Énfasis5 5" xfId="2845" xr:uid="{68CA6F6E-13C9-4848-B78F-2580C417202E}"/>
    <cellStyle name="60% - Énfasis5 6" xfId="2846" xr:uid="{36BB4D3F-8A1E-46A6-BE59-F2EC6AC9AAA7}"/>
    <cellStyle name="60% - Énfasis6 2" xfId="2847" xr:uid="{3D51B459-824B-4C1A-BC20-1C8FECE0A733}"/>
    <cellStyle name="60% - Énfasis6 3" xfId="2848" xr:uid="{05FDB5E9-CDBB-4793-99A3-4413CD533EF5}"/>
    <cellStyle name="60% - Énfasis6 4" xfId="2849" xr:uid="{19663D98-09F5-4D9D-86C8-A6202561D824}"/>
    <cellStyle name="60% - Énfasis6 5" xfId="2850" xr:uid="{429AAB28-E826-45A7-911A-16C0330A6779}"/>
    <cellStyle name="60% - Énfasis6 6" xfId="2851" xr:uid="{CD70A5D4-AFF1-4544-B64C-072259EA150E}"/>
    <cellStyle name="600 PN" xfId="2852" xr:uid="{32EDB5AD-7CA0-4E2D-889A-6E4C4597A93A}"/>
    <cellStyle name="700 PN" xfId="2853" xr:uid="{F7EEFA8C-272C-4A38-9134-24DE2897360D}"/>
    <cellStyle name="A Big heading" xfId="2854" xr:uid="{3E84C2C3-2808-455A-B65B-21B08F2251A1}"/>
    <cellStyle name="A body text" xfId="2855" xr:uid="{F25BEED5-BA1C-447D-A2E1-6ECEB18C2B65}"/>
    <cellStyle name="A smaller heading" xfId="2856" xr:uid="{7882BE75-8C27-4F8E-AC1B-44D4A1615EDE}"/>
    <cellStyle name="A3 297 x 420 mm" xfId="2857" xr:uid="{E78D344A-045F-4FDA-90A4-C810FEEBBDBA}"/>
    <cellStyle name="A3 297 x 420 mm 2" xfId="2858" xr:uid="{C61D0B6D-1A04-4409-A03C-1A51E413F038}"/>
    <cellStyle name="A3 297 x 420 mm_20100104 Inventario GA" xfId="2859" xr:uid="{6D7BC028-2595-4869-8E8E-30679040C682}"/>
    <cellStyle name="Accent1" xfId="2860" xr:uid="{20EAA8F5-6144-43EE-B928-2B69DA46EE50}"/>
    <cellStyle name="Accent2" xfId="2861" xr:uid="{0C8D1F06-E05F-4CAF-9DE0-7B4F3E902B72}"/>
    <cellStyle name="Accent3" xfId="2862" xr:uid="{9E0B7A49-A070-423A-A45E-68F8CD09434A}"/>
    <cellStyle name="Accent4" xfId="2863" xr:uid="{05A646C7-A352-4F32-B954-96EFEE9BB6C4}"/>
    <cellStyle name="Accent5" xfId="2864" xr:uid="{1D8D07B5-5F55-45DF-8BE0-F89279844EF4}"/>
    <cellStyle name="Accent6" xfId="2865" xr:uid="{C8966E80-3D82-486E-88DD-EBF132FA6450}"/>
    <cellStyle name="amount" xfId="2866" xr:uid="{0B2B6A81-1486-4938-8D4D-8E85B1CFE630}"/>
    <cellStyle name="args.style" xfId="2867" xr:uid="{408C0390-2746-4DB1-9BB6-624BE827B85D}"/>
    <cellStyle name="Arial 10" xfId="2868" xr:uid="{D2044D63-8A47-42B6-ABF9-58FD0AA1EBB3}"/>
    <cellStyle name="Arial 10 10" xfId="2869" xr:uid="{F3BDC66D-241C-49EB-9179-BACD2BEE78D0}"/>
    <cellStyle name="Arial 10 11" xfId="2870" xr:uid="{4660F070-757E-4347-B4D0-AC034046ECCA}"/>
    <cellStyle name="Arial 10 12" xfId="2871" xr:uid="{6CAF3881-C0AD-4AE5-A91F-6201923624C2}"/>
    <cellStyle name="Arial 10 13" xfId="2872" xr:uid="{7A4A78BE-A876-410E-B953-B122865059E1}"/>
    <cellStyle name="Arial 10 14" xfId="2873" xr:uid="{C25751A7-53EE-44C9-9028-B28824CFE242}"/>
    <cellStyle name="Arial 10 2" xfId="2874" xr:uid="{413B7372-B47B-417B-B95F-6FEF366B855E}"/>
    <cellStyle name="Arial 10 3" xfId="2875" xr:uid="{0344A40A-4483-4438-965A-7E38D3EA95DB}"/>
    <cellStyle name="Arial 10 4" xfId="2876" xr:uid="{CA6380CB-DBE1-42C8-A9CD-36882EE42BB4}"/>
    <cellStyle name="Arial 10 5" xfId="2877" xr:uid="{4D8E0C9C-04A7-4C70-BE74-8FEF838E1086}"/>
    <cellStyle name="Arial 10 6" xfId="2878" xr:uid="{5A02E250-1E26-49D3-B652-D89C4F1D1C04}"/>
    <cellStyle name="Arial 10 7" xfId="2879" xr:uid="{8D1644B0-27E0-408C-9C8F-BC12C7EDF03C}"/>
    <cellStyle name="Arial 10 8" xfId="2880" xr:uid="{51244CEB-646F-4826-9B3C-1EBE0A73DF7A}"/>
    <cellStyle name="Arial 10 9" xfId="2881" xr:uid="{EC45E3DD-0D9B-4990-A678-744C85D612E8}"/>
    <cellStyle name="Arial 10_20100528 Inventario GA" xfId="2882" xr:uid="{64B8A0E7-D0AB-4E8E-A3C6-53643E091AE7}"/>
    <cellStyle name="Arial 12" xfId="2883" xr:uid="{56B564BC-4C6E-47CD-8B04-CC5B66B47FF4}"/>
    <cellStyle name="Bad" xfId="2884" xr:uid="{BD1994AF-23A4-4F4C-829B-172AA6E082DB}"/>
    <cellStyle name="blue" xfId="2885" xr:uid="{492C4D96-F34F-46AD-8117-D832FDEA1A2B}"/>
    <cellStyle name="Body" xfId="2886" xr:uid="{4CC29235-7558-4433-A2C5-9A856CF7B8DC}"/>
    <cellStyle name="bold big" xfId="2887" xr:uid="{B0CDD085-8896-4F6C-B75D-3A655657D02C}"/>
    <cellStyle name="bold bot bord" xfId="2888" xr:uid="{B715E8B7-4C12-4A06-B8C5-0AEF5DDAF7F1}"/>
    <cellStyle name="bold underline" xfId="2889" xr:uid="{CF48079A-6AEB-4BDC-8333-F35AF5EACE47}"/>
    <cellStyle name="Border Bottom Thick" xfId="2890" xr:uid="{D12B8E13-6ADE-4CF9-9619-746BD9F86962}"/>
    <cellStyle name="Border Top Thin" xfId="2891" xr:uid="{7A302B85-F195-40E1-B5A0-DC007F9FD374}"/>
    <cellStyle name="British Pound" xfId="2892" xr:uid="{43299E95-8FD2-4026-BF14-F503C64E6DE6}"/>
    <cellStyle name="Buena 2" xfId="2893" xr:uid="{1C455276-B281-4714-93DB-E4A79412C4AB}"/>
    <cellStyle name="Buena 3" xfId="2894" xr:uid="{924303EB-9D59-4480-A0C2-4B76B631B560}"/>
    <cellStyle name="Buena 4" xfId="2895" xr:uid="{D8FAE019-3D53-4D5D-BD3D-257605A0DE5B}"/>
    <cellStyle name="Buena 5" xfId="2896" xr:uid="{15B60B16-986F-4C17-AAFE-BC86DA02D718}"/>
    <cellStyle name="Buena 6" xfId="2897" xr:uid="{B3DCF735-6AB9-4CCB-9ECA-D391690D10C8}"/>
    <cellStyle name="Calc Currency (0)" xfId="2898" xr:uid="{9395FE1B-8112-4239-9DD4-C114136BDCD4}"/>
    <cellStyle name="Calc Currency (2)" xfId="2899" xr:uid="{35D5FFFF-60CB-4E15-9E2F-30821A11400F}"/>
    <cellStyle name="Calc Percent (0)" xfId="2900" xr:uid="{2C8C39E0-E70E-4857-97FF-75DCB267263F}"/>
    <cellStyle name="Calc Percent (1)" xfId="2901" xr:uid="{A56ACFB3-14F3-4F04-86FB-4EAC9FE44371}"/>
    <cellStyle name="Calc Percent (2)" xfId="2902" xr:uid="{98625666-E6BE-4785-800E-AB725FEDB325}"/>
    <cellStyle name="Calc Units (0)" xfId="2903" xr:uid="{CB6B31D3-D900-4AA4-BB65-5130CA351161}"/>
    <cellStyle name="Calc Units (1)" xfId="2904" xr:uid="{A41BEC51-4F50-40B2-8DAF-830904A1FBBD}"/>
    <cellStyle name="Calc Units (2)" xfId="2905" xr:uid="{AE00DD33-E7E6-4FE6-8AF5-1BDDFA19F898}"/>
    <cellStyle name="Calculation" xfId="2906" xr:uid="{5D39A328-53FE-4E7A-BFDF-0C91270B8107}"/>
    <cellStyle name="Cálculo 2" xfId="2907" xr:uid="{6D53F02C-3BD6-4C89-A020-16D2443332D3}"/>
    <cellStyle name="Cálculo 3" xfId="2908" xr:uid="{B29E0D01-2E3B-4AAC-A741-B333EDA0A5AB}"/>
    <cellStyle name="Cálculo 4" xfId="2909" xr:uid="{D0347C11-3F86-4AFF-836F-B36D83F89A2B}"/>
    <cellStyle name="Cálculo 5" xfId="2910" xr:uid="{2D43F9ED-2F0F-4B24-8D2B-254BDA9FB465}"/>
    <cellStyle name="Cálculo 6" xfId="2911" xr:uid="{DB994B8E-D71F-49A4-9D21-67563B6047CF}"/>
    <cellStyle name="Celda de comprobación 2" xfId="2912" xr:uid="{442EB9B4-02BC-466D-8A20-50C35F6CCDF4}"/>
    <cellStyle name="Celda de comprobación 3" xfId="2913" xr:uid="{8A6B5451-D2A7-4745-A1C4-D546550F1A33}"/>
    <cellStyle name="Celda de comprobación 4" xfId="2914" xr:uid="{58912852-8C2D-43B1-96CF-32543CB6ADD6}"/>
    <cellStyle name="Celda de comprobación 5" xfId="2915" xr:uid="{829DAB90-44D0-4B90-BCA0-E257B69124FD}"/>
    <cellStyle name="Celda de comprobación 6" xfId="2916" xr:uid="{86C371AA-A54E-4987-ADF6-760B3C1A79CF}"/>
    <cellStyle name="Celda vinculada 2" xfId="2917" xr:uid="{D5227C88-D2D8-43DD-8C4E-2365CB5E3E4F}"/>
    <cellStyle name="Celda vinculada 3" xfId="2918" xr:uid="{48933D2A-F424-4E5D-A23C-7455D51B67EB}"/>
    <cellStyle name="Celda vinculada 4" xfId="2919" xr:uid="{09B87D1F-9137-413D-A38A-826A107E189E}"/>
    <cellStyle name="Celda vinculada 5" xfId="2920" xr:uid="{0737F950-87D3-4EE7-B581-9A8CAF8C9747}"/>
    <cellStyle name="Celda vinculada 6" xfId="2921" xr:uid="{C3C2920A-A66C-4A3D-B574-FDC85DA3F452}"/>
    <cellStyle name="ColumnAttributeAbovePrompt" xfId="2922" xr:uid="{A9B4ADAD-D36E-41BC-AEAC-4B20586D05EF}"/>
    <cellStyle name="ColumnAttributePrompt" xfId="2923" xr:uid="{967D6D4A-F337-403F-88DA-FA4BFC1A44E5}"/>
    <cellStyle name="ColumnAttributeValue" xfId="2924" xr:uid="{437C02D5-6B71-4762-A5D7-02BF2EB97840}"/>
    <cellStyle name="ColumnHeadingPrompt" xfId="2925" xr:uid="{C97C7996-5698-456B-BE02-FCB982376D17}"/>
    <cellStyle name="ColumnHeadingValue" xfId="2926" xr:uid="{1859E8E3-3E67-4409-AD4B-913C0BBBC994}"/>
    <cellStyle name="Comma  - Style1" xfId="2927" xr:uid="{DCBAFD4E-D18E-4841-95E2-58F8D4B92D2F}"/>
    <cellStyle name="Comma [00]" xfId="2928" xr:uid="{6D4F345A-7CCD-4ED3-8B1C-C3C3644385CB}"/>
    <cellStyle name="Comma 2" xfId="2929" xr:uid="{60BD0D81-3EC1-4508-8833-F9166E6C1709}"/>
    <cellStyle name="Comma 2 2" xfId="4324" xr:uid="{584FD94B-3EB5-4F8B-AE11-F9BB77543972}"/>
    <cellStyle name="Comma 2 2 2" xfId="5997" xr:uid="{76B4212C-4C57-4A76-AF39-D4A767F133FA}"/>
    <cellStyle name="Comma 2 2 3" xfId="7669" xr:uid="{0C81FAA3-71FA-4700-9702-87E37D286F65}"/>
    <cellStyle name="Comma 2 3" xfId="4881" xr:uid="{19F12E82-14EA-4219-81F4-CA2CD7658370}"/>
    <cellStyle name="Comma 2 3 2" xfId="6554" xr:uid="{8FF1FDE0-6567-4D37-B61D-33EC8C726AB1}"/>
    <cellStyle name="Comma 2 3 3" xfId="8226" xr:uid="{5424ABCB-0F35-4149-9740-AAFE656AAC65}"/>
    <cellStyle name="Comma 2 4" xfId="5439" xr:uid="{D5B8825F-1C2A-470A-8805-22DD8BBAC3E5}"/>
    <cellStyle name="Comma 2 5" xfId="7111" xr:uid="{4C5595C2-1428-43E3-A4AD-7874BB68C86C}"/>
    <cellStyle name="Comma 2 6" xfId="8783" xr:uid="{E21CBC5D-3D01-469C-B4E5-9F2645989866}"/>
    <cellStyle name="Comma0" xfId="2930" xr:uid="{6F8AE842-37CF-45B6-A7B0-515801EF3332}"/>
    <cellStyle name="Comma0 - Estilo2" xfId="2931" xr:uid="{4E862472-5D60-4E31-99AD-430118E1BEA3}"/>
    <cellStyle name="Curren - Style2" xfId="2932" xr:uid="{2535C583-9E7B-4872-9C8A-C89F74055947}"/>
    <cellStyle name="Currency [00]" xfId="2933" xr:uid="{495C3CF7-D2CF-405A-A673-F19837A0BEC0}"/>
    <cellStyle name="Currency 2" xfId="2934" xr:uid="{1BF29148-53A3-41CE-8402-200876DC2AE2}"/>
    <cellStyle name="Currency 2 2" xfId="4325" xr:uid="{637E8092-03A7-4417-9925-D90A86E5F4AE}"/>
    <cellStyle name="Currency 2 2 2" xfId="5998" xr:uid="{47760DF8-B20C-460D-8910-C5EE90A8F6A4}"/>
    <cellStyle name="Currency 2 2 3" xfId="7670" xr:uid="{CB41F827-84E0-4AEA-88D7-E9B5441AC752}"/>
    <cellStyle name="Currency 2 3" xfId="4882" xr:uid="{52BADDE1-1FEA-4A1A-B09C-0B035288280F}"/>
    <cellStyle name="Currency 2 3 2" xfId="6555" xr:uid="{55342CB6-9C19-47EC-9B45-78F0CECF8673}"/>
    <cellStyle name="Currency 2 3 3" xfId="8227" xr:uid="{13F4EF07-9E95-4BA2-9206-BD0631DE2FE4}"/>
    <cellStyle name="Currency 2 4" xfId="5440" xr:uid="{F9C68D2B-6BB2-484A-B1A5-9969DDD0B553}"/>
    <cellStyle name="Currency 2 5" xfId="7112" xr:uid="{46DA464D-A945-42D8-AEAD-B6D279FBDBD2}"/>
    <cellStyle name="Currency 2 6" xfId="8784" xr:uid="{94C60BBC-814B-4587-BD85-31D461AD9955}"/>
    <cellStyle name="Currency0" xfId="2935" xr:uid="{7826DC19-B1D0-4D09-8052-029A4ACED91B}"/>
    <cellStyle name="custom" xfId="2936" xr:uid="{3E3032F8-3DEA-40DB-B17C-90D2037CB5D8}"/>
    <cellStyle name="DataEntry" xfId="2937" xr:uid="{BCB23CF4-03DE-4075-B6C1-83FE6D27DD5C}"/>
    <cellStyle name="Date" xfId="2938" xr:uid="{2A7EB9F2-50FD-4531-8752-CB4F241C0464}"/>
    <cellStyle name="Date - Estilo1" xfId="2939" xr:uid="{2356C148-8DCF-42B8-AD19-9B83AF1A616E}"/>
    <cellStyle name="Date Short" xfId="2940" xr:uid="{5732CB9B-0E4C-4B47-A841-3B5BBD27C8D7}"/>
    <cellStyle name="Date_2006 Cash Tax Summary" xfId="2941" xr:uid="{4D0F16B0-8A3F-4DB0-8F5E-28BFEAEFC038}"/>
    <cellStyle name="DELTA" xfId="2942" xr:uid="{45F1300E-4821-4604-AC39-2B5ECFA5574A}"/>
    <cellStyle name="Dollar" xfId="2943" xr:uid="{54A2135D-5570-4DBB-BE71-2EAFE478B90A}"/>
    <cellStyle name="Double Accounting" xfId="2944" xr:uid="{A91BD81E-9991-495A-ABCE-41FFC6B00E03}"/>
    <cellStyle name="Double Accounting 2" xfId="4326" xr:uid="{52932687-55BA-4729-8F64-2E96FC0A43CD}"/>
    <cellStyle name="Double Accounting 2 2" xfId="5999" xr:uid="{9665D71B-D85F-42C2-B0D1-4A7DBC80419B}"/>
    <cellStyle name="Double Accounting 2 3" xfId="7671" xr:uid="{77E2CABD-5E4A-456F-934C-F23E27C222AA}"/>
    <cellStyle name="Double Accounting 3" xfId="4883" xr:uid="{63157094-1F2D-40FA-8B89-97EDADF3A488}"/>
    <cellStyle name="Double Accounting 3 2" xfId="6556" xr:uid="{AA7B2A3E-871C-4528-9C68-8E347B52ED04}"/>
    <cellStyle name="Double Accounting 3 3" xfId="8228" xr:uid="{5713C4CD-4C7A-4B4E-A3C4-148A0BAC6662}"/>
    <cellStyle name="Double Accounting 4" xfId="5441" xr:uid="{38AD47B1-8E63-4052-8B75-2B19274293A8}"/>
    <cellStyle name="Double Accounting 5" xfId="7113" xr:uid="{001F1174-008D-4E3D-A84C-1D730583C4D2}"/>
    <cellStyle name="Double Accounting 6" xfId="8785" xr:uid="{7C31F58F-058E-44C8-81BB-F87A9AE3E4FF}"/>
    <cellStyle name="Encabezado 4 2" xfId="2945" xr:uid="{1B0640AB-67DB-4958-92C2-C579B8AB2803}"/>
    <cellStyle name="Encabezado 4 3" xfId="2946" xr:uid="{C693E0F5-BCD1-4D77-AC93-1C35FDC01400}"/>
    <cellStyle name="Encabezado 4 4" xfId="2947" xr:uid="{3B466314-FD03-4188-8D64-6C08A3C3EA90}"/>
    <cellStyle name="Encabezado 4 5" xfId="2948" xr:uid="{3608CA1A-A59F-4345-A3F7-3BEB82ACE943}"/>
    <cellStyle name="Encabezado 4 6" xfId="2949" xr:uid="{050D8187-E451-4204-A038-85FC339A5B24}"/>
    <cellStyle name="Énfasis1 2" xfId="2950" xr:uid="{76F65B00-25CC-4C76-BD45-C81AACA64353}"/>
    <cellStyle name="Énfasis1 3" xfId="2951" xr:uid="{AD0F851D-B8AD-4228-9927-C795D849CBD2}"/>
    <cellStyle name="Énfasis1 4" xfId="2952" xr:uid="{5FB2009D-E401-487C-83C8-139E8A633599}"/>
    <cellStyle name="Énfasis1 5" xfId="2953" xr:uid="{8D253118-1CF2-461A-90DD-49E584D21A5B}"/>
    <cellStyle name="Énfasis1 6" xfId="2954" xr:uid="{70399CFF-2CC8-4E82-85EC-C49081569F21}"/>
    <cellStyle name="Énfasis2 2" xfId="2955" xr:uid="{ABD6FC70-A144-4B98-BA5C-E0EFFE4B2DF9}"/>
    <cellStyle name="Énfasis2 3" xfId="2956" xr:uid="{244A0584-BA41-4EA7-A099-5BA466A964C7}"/>
    <cellStyle name="Énfasis2 4" xfId="2957" xr:uid="{DF7471B7-990A-4444-BD4D-0B54CF0EA67D}"/>
    <cellStyle name="Énfasis2 5" xfId="2958" xr:uid="{454B6B6B-C98D-4DFA-A580-93B022AE5D91}"/>
    <cellStyle name="Énfasis2 6" xfId="2959" xr:uid="{8DC9C9D7-EC3B-46A0-8F3E-DFFDFEDC800F}"/>
    <cellStyle name="Énfasis3 2" xfId="2960" xr:uid="{F4A8B968-E6DA-434F-B689-40527BA63099}"/>
    <cellStyle name="Énfasis3 3" xfId="2961" xr:uid="{5AEA077A-1255-46FD-A382-15BF834C2591}"/>
    <cellStyle name="Énfasis3 4" xfId="2962" xr:uid="{A0A6BB3A-CFF1-4E66-89E6-801E866539CD}"/>
    <cellStyle name="Énfasis3 5" xfId="2963" xr:uid="{1B7A1B36-BDE0-4A25-BCC5-183DDEB469E7}"/>
    <cellStyle name="Énfasis3 6" xfId="2964" xr:uid="{3D17B857-7009-4600-8744-A99E7DBCBD93}"/>
    <cellStyle name="Énfasis4 2" xfId="2965" xr:uid="{C2435DA7-458D-49F4-95F1-D4040B412478}"/>
    <cellStyle name="Énfasis4 3" xfId="2966" xr:uid="{965FB3AB-8324-47F8-8199-92793810BAE6}"/>
    <cellStyle name="Énfasis4 4" xfId="2967" xr:uid="{7B375FE5-5DB6-4339-9886-40F1E37EDA28}"/>
    <cellStyle name="Énfasis4 5" xfId="2968" xr:uid="{086A528C-F905-4605-B0F4-9D291E82FCB0}"/>
    <cellStyle name="Énfasis4 6" xfId="2969" xr:uid="{1DC09506-82CC-4BEC-9B18-EE441AD6BD82}"/>
    <cellStyle name="Énfasis5 2" xfId="2970" xr:uid="{E8F7A3AD-71A7-4422-9DA2-2E15939F1587}"/>
    <cellStyle name="Énfasis5 3" xfId="2971" xr:uid="{80E595CC-EC85-44EC-9D71-A38652420907}"/>
    <cellStyle name="Énfasis5 4" xfId="2972" xr:uid="{99346BEA-C2E5-49AC-81D8-914F50FBFA83}"/>
    <cellStyle name="Énfasis5 5" xfId="2973" xr:uid="{30BA1658-118A-4D68-8DCC-0E5345313E9D}"/>
    <cellStyle name="Énfasis5 6" xfId="2974" xr:uid="{6E598601-0305-472D-A60F-78F235718A18}"/>
    <cellStyle name="Énfasis6 2" xfId="2975" xr:uid="{83D5D17D-9222-48D9-8A32-4D71C3BBAD4E}"/>
    <cellStyle name="Énfasis6 3" xfId="2976" xr:uid="{BDCCB4CD-9C1D-4C53-85C9-42CCEC2711A4}"/>
    <cellStyle name="Énfasis6 4" xfId="2977" xr:uid="{2ED23DA2-F722-4773-AA80-9C45AF993D0A}"/>
    <cellStyle name="Énfasis6 5" xfId="2978" xr:uid="{313CE37E-07D2-4655-B98F-B7D6A8034AAE}"/>
    <cellStyle name="Énfasis6 6" xfId="2979" xr:uid="{13DB0FAC-4E70-41D5-8C6B-8880292BA8EB}"/>
    <cellStyle name="Enter Currency (0)" xfId="2980" xr:uid="{3D70C1AA-2410-4F26-945E-201C20469E61}"/>
    <cellStyle name="Enter Currency (2)" xfId="2981" xr:uid="{385F9DA9-26DC-4BB1-96D3-9E7B3DF4886A}"/>
    <cellStyle name="Enter Units (0)" xfId="2982" xr:uid="{31462484-8D88-4C48-8CA6-C7B0366B94C2}"/>
    <cellStyle name="Enter Units (1)" xfId="2983" xr:uid="{E5220856-578B-457C-BE66-6D1E89557BEF}"/>
    <cellStyle name="Enter Units (2)" xfId="2984" xr:uid="{A8FF7615-7D5A-4101-A994-13481604F951}"/>
    <cellStyle name="Entrada 2" xfId="2985" xr:uid="{CD8E1614-62F9-4685-A9C3-DD1BEA7280A2}"/>
    <cellStyle name="Entrada 3" xfId="2986" xr:uid="{53453C86-0B2F-49EC-9B55-EABB192C9F8D}"/>
    <cellStyle name="Entrada 4" xfId="2987" xr:uid="{83443378-CF0E-45F5-A941-F068DF5F9FBE}"/>
    <cellStyle name="Entrada 5" xfId="2988" xr:uid="{D8B71BD2-A036-42AC-BD3C-C4E0BBA515D4}"/>
    <cellStyle name="Entrada 6" xfId="2989" xr:uid="{85B74B90-0EF1-4096-8038-8B5B5B02C792}"/>
    <cellStyle name="Estilo 1" xfId="2990" xr:uid="{647B6015-9973-401C-AB44-1C5087C85849}"/>
    <cellStyle name="Estilo 2" xfId="2991" xr:uid="{8472C5BD-F247-42C3-BC27-F39FFD47A6CA}"/>
    <cellStyle name="Euro" xfId="6" xr:uid="{A0461D8B-2A47-4339-AF90-D4BCDCD09E46}"/>
    <cellStyle name="Euro 2" xfId="2992" xr:uid="{200D697F-9624-4EFF-A6EF-930489261A81}"/>
    <cellStyle name="Explanatory Text" xfId="2993" xr:uid="{4DA9898E-45D4-4716-9BAD-78BD2A646B93}"/>
    <cellStyle name="Fixed" xfId="2994" xr:uid="{F9418BA7-DB2B-4CFC-8C45-812E38305100}"/>
    <cellStyle name="Grey" xfId="2995" xr:uid="{B0F45059-62AD-43AB-8C62-F833384BD344}"/>
    <cellStyle name="Grey 10" xfId="2996" xr:uid="{01E9E883-746D-4B59-8930-66BA8234EBA7}"/>
    <cellStyle name="Grey 11" xfId="2997" xr:uid="{EF331354-0761-41BA-B6A4-2E6D4B6C23DE}"/>
    <cellStyle name="Grey 12" xfId="2998" xr:uid="{25A0A8BB-9E55-433A-8050-B8124C3BA9FB}"/>
    <cellStyle name="Grey 13" xfId="2999" xr:uid="{527538A3-92D4-4CE8-B319-3907A96CDCA1}"/>
    <cellStyle name="Grey 14" xfId="3000" xr:uid="{229CCC86-5466-447E-86AA-396D117D9C95}"/>
    <cellStyle name="Grey 2" xfId="3001" xr:uid="{53986669-AD01-42AC-9712-85796F78DA63}"/>
    <cellStyle name="Grey 3" xfId="3002" xr:uid="{45DA6E4B-9269-43BB-B9A8-BFD6D55C3EA2}"/>
    <cellStyle name="Grey 4" xfId="3003" xr:uid="{4728A381-F08D-4A9D-9A7B-2F40A255069C}"/>
    <cellStyle name="Grey 5" xfId="3004" xr:uid="{F2D4238B-FBEE-4C31-9BD7-F7759A5AEFF5}"/>
    <cellStyle name="Grey 6" xfId="3005" xr:uid="{F4DCEBF1-52EB-48D8-B95F-D53BAA5DDCE4}"/>
    <cellStyle name="Grey 7" xfId="3006" xr:uid="{5DA95BE9-1254-4B05-8956-10D3ED5DBA4E}"/>
    <cellStyle name="Grey 8" xfId="3007" xr:uid="{E3848F8B-C4FE-4A12-9FB5-AF3B828DB23C}"/>
    <cellStyle name="Grey 9" xfId="3008" xr:uid="{36744F92-0574-424A-A860-F5808ED153D8}"/>
    <cellStyle name="Grey_20100528 Inventario GA" xfId="3009" xr:uid="{2548EE1E-6DDF-4CFB-9056-4A23CA30150F}"/>
    <cellStyle name="Header1" xfId="3010" xr:uid="{E5B9399D-7D04-438F-B906-6B2F671AD887}"/>
    <cellStyle name="Header2" xfId="3011" xr:uid="{25C320FA-39F7-47F3-8E6E-6A86FC98BECF}"/>
    <cellStyle name="Heading 1" xfId="3012" xr:uid="{33CCF4BE-9572-43D8-872E-1D3FAFF9FAD9}"/>
    <cellStyle name="Heading 2" xfId="3013" xr:uid="{B590F535-0A78-45AB-8E3F-DF4C5A6DCBB1}"/>
    <cellStyle name="Heading 3" xfId="3014" xr:uid="{0B0AAB6C-0BD2-469F-A7AC-09C6E15902AE}"/>
    <cellStyle name="Helv 10 Bold" xfId="3015" xr:uid="{7B8114D3-0C3B-4C5E-AC7F-21824AAC398A}"/>
    <cellStyle name="Helv 12 Bold" xfId="3016" xr:uid="{4BF9B9E8-BE36-401A-A9C2-91FA2D7430FE}"/>
    <cellStyle name="Hipervínculo 2" xfId="9346" xr:uid="{126C53FC-B917-41BC-80A2-1D4D08BFC30A}"/>
    <cellStyle name="Incorrecto 2" xfId="3017" xr:uid="{96ECD512-7C51-49D4-8D29-044A70BFA025}"/>
    <cellStyle name="Incorrecto 3" xfId="3018" xr:uid="{153B58FA-8B3B-410B-BC5F-6F2A308B8884}"/>
    <cellStyle name="Incorrecto 4" xfId="3019" xr:uid="{70F1C48E-9691-4C7D-BFEC-8C345EF95CC5}"/>
    <cellStyle name="Incorrecto 5" xfId="3020" xr:uid="{72908A62-748B-419C-818E-9DE7B6BEBB36}"/>
    <cellStyle name="Incorrecto 6" xfId="3021" xr:uid="{76DED0DA-824E-4E75-8137-2D6033844D81}"/>
    <cellStyle name="Input" xfId="3022" xr:uid="{1A428E2C-B87E-4E21-9CDA-F9F564618C01}"/>
    <cellStyle name="Input [yellow]" xfId="3023" xr:uid="{27977AC9-3D08-4FAB-98B3-14C82EAA7502}"/>
    <cellStyle name="Input [yellow] 10" xfId="3024" xr:uid="{0DE4C6A0-6268-451D-BA82-462DAE45FCEF}"/>
    <cellStyle name="Input [yellow] 11" xfId="3025" xr:uid="{A30A5118-DDBC-47A3-AEBF-892D9F2AA72E}"/>
    <cellStyle name="Input [yellow] 12" xfId="3026" xr:uid="{1ED58B02-9D49-4878-9385-970631FE73A3}"/>
    <cellStyle name="Input [yellow] 13" xfId="3027" xr:uid="{92DA6FA6-AB7D-486E-8C23-5534C16CD233}"/>
    <cellStyle name="Input [yellow] 14" xfId="3028" xr:uid="{53D5600D-E3BC-4033-B7B7-E068D28F3644}"/>
    <cellStyle name="Input [yellow] 2" xfId="3029" xr:uid="{2A88F2BF-340A-4A5D-843B-50FD3DEDB612}"/>
    <cellStyle name="Input [yellow] 3" xfId="3030" xr:uid="{8A9269A2-DC09-490F-8986-7E5DA462E95E}"/>
    <cellStyle name="Input [yellow] 4" xfId="3031" xr:uid="{5DF3BC53-FE2D-4810-9BD2-83CD610D5E66}"/>
    <cellStyle name="Input [yellow] 5" xfId="3032" xr:uid="{08DB1360-3D2E-4F6D-88D0-6E8AC0E3AD6B}"/>
    <cellStyle name="Input [yellow] 6" xfId="3033" xr:uid="{F1793944-4284-49B9-8033-A3DDD9D30463}"/>
    <cellStyle name="Input [yellow] 7" xfId="3034" xr:uid="{B92F5205-7DD0-44CD-A481-A355F6BE66F9}"/>
    <cellStyle name="Input [yellow] 8" xfId="3035" xr:uid="{503D580A-79A4-46B2-883A-D934FF792CD9}"/>
    <cellStyle name="Input [yellow] 9" xfId="3036" xr:uid="{4DDA902C-A2A5-4829-88AE-FD3E276958AF}"/>
    <cellStyle name="Input [yellow]_20100528 Inventario GA" xfId="3037" xr:uid="{DF04CB60-DDAF-4668-860C-A5CAC7E38A94}"/>
    <cellStyle name="Input Cell" xfId="3038" xr:uid="{55DB994E-A189-4733-8335-4007CE9ABC6B}"/>
    <cellStyle name="LineItemPrompt" xfId="3039" xr:uid="{87C0F748-E949-47BE-B5FB-0621640F328D}"/>
    <cellStyle name="LineItemValue" xfId="3040" xr:uid="{8A44D311-FBCC-418D-9B8A-FFDE7A6E6E9B}"/>
    <cellStyle name="Link Currency (0)" xfId="3041" xr:uid="{E8E6C9BE-62DE-4548-8482-BD1FCAB15AD6}"/>
    <cellStyle name="Link Currency (2)" xfId="3042" xr:uid="{30ECBC66-E5E1-4A8A-91F0-3170BB3FD75B}"/>
    <cellStyle name="Link Units (0)" xfId="3043" xr:uid="{A3626974-69EE-4828-8917-24BFBFB0F183}"/>
    <cellStyle name="Link Units (1)" xfId="3044" xr:uid="{6A39B398-5322-4B9C-B15B-B664CE500315}"/>
    <cellStyle name="Link Units (2)" xfId="3045" xr:uid="{D5AF2DD5-B355-443B-A3DD-FA7973B6A8AF}"/>
    <cellStyle name="Millares 10" xfId="3046" xr:uid="{53BC18C7-5DFE-4C8F-A3E0-9F66198CCA0B}"/>
    <cellStyle name="Millares 10 10" xfId="3047" xr:uid="{D9CF30FB-E733-4D32-990C-B5D035B9DCA7}"/>
    <cellStyle name="Millares 10 10 2" xfId="4328" xr:uid="{D3C44F89-0F46-4DF3-90AA-AD61574D30F6}"/>
    <cellStyle name="Millares 10 10 2 2" xfId="6001" xr:uid="{0E209CB6-291D-4C1F-9397-2E1D7486B31B}"/>
    <cellStyle name="Millares 10 10 2 3" xfId="7673" xr:uid="{F667975C-AC29-4C86-A096-17B8CCA43630}"/>
    <cellStyle name="Millares 10 10 3" xfId="4885" xr:uid="{4934B6D4-B72D-41AA-85BD-04DBBBD41E2C}"/>
    <cellStyle name="Millares 10 10 3 2" xfId="6558" xr:uid="{F15B273B-BC23-4454-AF16-476EDC070CE8}"/>
    <cellStyle name="Millares 10 10 3 3" xfId="8230" xr:uid="{0AD616F0-ED3C-44DB-A1BD-C8AD543B4E20}"/>
    <cellStyle name="Millares 10 10 4" xfId="5443" xr:uid="{A4D35D10-26B2-46AB-A17D-03B628832863}"/>
    <cellStyle name="Millares 10 10 5" xfId="7115" xr:uid="{F2D008D3-B1C6-48BB-8E61-18A34363BF68}"/>
    <cellStyle name="Millares 10 10 6" xfId="8787" xr:uid="{EC6C59D1-D349-4822-8928-A4197D8BD895}"/>
    <cellStyle name="Millares 10 11" xfId="3048" xr:uid="{CCC5E57D-03D2-4B15-843B-CBA3E09E9222}"/>
    <cellStyle name="Millares 10 11 2" xfId="4329" xr:uid="{DD35DA5D-3267-405E-85BD-DE06C6F7BCB7}"/>
    <cellStyle name="Millares 10 11 2 2" xfId="6002" xr:uid="{2BCAAC68-EEDD-4745-A786-FD615008166F}"/>
    <cellStyle name="Millares 10 11 2 3" xfId="7674" xr:uid="{11AEE120-EF34-41FC-BB2E-2814614D48C6}"/>
    <cellStyle name="Millares 10 11 3" xfId="4886" xr:uid="{FA672E7E-D1AB-4654-A3FE-F4585E6A4F36}"/>
    <cellStyle name="Millares 10 11 3 2" xfId="6559" xr:uid="{12619A71-6414-4972-A8FE-2EA76ED922E3}"/>
    <cellStyle name="Millares 10 11 3 3" xfId="8231" xr:uid="{7F4726F0-6C6A-46D6-86D5-98CAB37740CF}"/>
    <cellStyle name="Millares 10 11 4" xfId="5444" xr:uid="{B8E89BA5-241F-4A9C-84B2-AC96452D637F}"/>
    <cellStyle name="Millares 10 11 5" xfId="7116" xr:uid="{C70DA9BF-6E5E-486B-972C-8113E6553605}"/>
    <cellStyle name="Millares 10 11 6" xfId="8788" xr:uid="{3734EF8A-3AF6-4342-8E22-E4AA056A4B5D}"/>
    <cellStyle name="Millares 10 12" xfId="3049" xr:uid="{7277C97C-168F-440C-8D4A-DCEF6D366B3A}"/>
    <cellStyle name="Millares 10 12 2" xfId="4330" xr:uid="{61C4AC21-E3A7-4AA0-9208-1D9D752CC6B0}"/>
    <cellStyle name="Millares 10 12 2 2" xfId="6003" xr:uid="{B5973179-3595-4D6D-8ECF-6FF678A356C8}"/>
    <cellStyle name="Millares 10 12 2 3" xfId="7675" xr:uid="{9663FE0F-BAF6-4577-92B8-357F2463C5A6}"/>
    <cellStyle name="Millares 10 12 3" xfId="4887" xr:uid="{26587994-E3AD-4FE7-8658-F63106F804E0}"/>
    <cellStyle name="Millares 10 12 3 2" xfId="6560" xr:uid="{9AB11D3D-6FCC-4B0D-9DF6-8ABEED004AEE}"/>
    <cellStyle name="Millares 10 12 3 3" xfId="8232" xr:uid="{B0FEC266-5CFB-4299-B68B-5D51A871E0CB}"/>
    <cellStyle name="Millares 10 12 4" xfId="5445" xr:uid="{7593438F-5036-478D-9928-E4660CC7A94E}"/>
    <cellStyle name="Millares 10 12 5" xfId="7117" xr:uid="{76935C23-83CF-4648-A791-46040447DAD3}"/>
    <cellStyle name="Millares 10 12 6" xfId="8789" xr:uid="{EAFE19DD-386E-43A8-9D97-D8E1FCF854DE}"/>
    <cellStyle name="Millares 10 13" xfId="4327" xr:uid="{5B43DD00-2B7E-47F6-97FC-CFB104245780}"/>
    <cellStyle name="Millares 10 13 2" xfId="6000" xr:uid="{E1BB9964-0901-4A8F-817E-7B265C5EFFAC}"/>
    <cellStyle name="Millares 10 13 3" xfId="7672" xr:uid="{61F79572-9727-40FB-A3C6-981B1CE594F5}"/>
    <cellStyle name="Millares 10 14" xfId="4884" xr:uid="{C69023CF-E64B-421F-87FE-39D078E506A4}"/>
    <cellStyle name="Millares 10 14 2" xfId="6557" xr:uid="{8721DD83-15F1-4322-8DAB-83E81D05AB53}"/>
    <cellStyle name="Millares 10 14 3" xfId="8229" xr:uid="{69DC584E-4ACD-4A29-BD9A-EA5B7637A7D6}"/>
    <cellStyle name="Millares 10 15" xfId="5442" xr:uid="{7053728D-E059-4ED6-A53D-FC8BFE73DB69}"/>
    <cellStyle name="Millares 10 16" xfId="7114" xr:uid="{3139FDB8-9D89-4365-9729-84A49B691DAE}"/>
    <cellStyle name="Millares 10 17" xfId="8786" xr:uid="{C25C6BBD-8DCC-4CE7-9F95-2A4D50B4AC57}"/>
    <cellStyle name="Millares 10 2" xfId="3050" xr:uid="{CF89E55D-CE63-4A2C-A9A2-455787104241}"/>
    <cellStyle name="Millares 10 2 10" xfId="3051" xr:uid="{0677437A-D57C-4839-A3E4-3A0E4C19B8FB}"/>
    <cellStyle name="Millares 10 2 10 2" xfId="4332" xr:uid="{1A7C8BDA-60A8-4FF2-BE4F-E13EBC46E8FA}"/>
    <cellStyle name="Millares 10 2 10 2 2" xfId="6005" xr:uid="{60ECB32C-FF8F-40D1-BA0F-CF5DAA29741F}"/>
    <cellStyle name="Millares 10 2 10 2 3" xfId="7677" xr:uid="{531AF8DE-0D21-4663-9B88-869481CED6F7}"/>
    <cellStyle name="Millares 10 2 10 3" xfId="4889" xr:uid="{2DCC61AF-A3F1-4F84-B495-086912105170}"/>
    <cellStyle name="Millares 10 2 10 3 2" xfId="6562" xr:uid="{1D3C2CF2-6EDF-4B25-8A42-90C729D6CF61}"/>
    <cellStyle name="Millares 10 2 10 3 3" xfId="8234" xr:uid="{BAA0FBA0-8807-450B-BEA2-868D3FB2E265}"/>
    <cellStyle name="Millares 10 2 10 4" xfId="5447" xr:uid="{77C48AA5-0972-4423-A706-D4ABE2E7F133}"/>
    <cellStyle name="Millares 10 2 10 5" xfId="7119" xr:uid="{A586CCDA-5090-44D0-A72A-69A629233D8E}"/>
    <cellStyle name="Millares 10 2 10 6" xfId="8791" xr:uid="{A8410427-701E-4211-83AC-AF7FDC5733E0}"/>
    <cellStyle name="Millares 10 2 11" xfId="4331" xr:uid="{03A99E99-51F7-46D1-9CA2-006509374BBD}"/>
    <cellStyle name="Millares 10 2 11 2" xfId="6004" xr:uid="{3BD4B707-957B-431E-9150-664144A8448B}"/>
    <cellStyle name="Millares 10 2 11 3" xfId="7676" xr:uid="{65AFC206-2DC1-4737-9FBD-BBDBDF6B5223}"/>
    <cellStyle name="Millares 10 2 12" xfId="4888" xr:uid="{BB8AE1D0-9458-4C7F-B447-CF75A666537D}"/>
    <cellStyle name="Millares 10 2 12 2" xfId="6561" xr:uid="{9BC3CAFF-4045-45B1-AA38-A10D432F0550}"/>
    <cellStyle name="Millares 10 2 12 3" xfId="8233" xr:uid="{82438579-730C-49B1-B6DD-D0821DBB1317}"/>
    <cellStyle name="Millares 10 2 13" xfId="5446" xr:uid="{42AB12E6-69AA-476D-A448-E23A35026374}"/>
    <cellStyle name="Millares 10 2 14" xfId="7118" xr:uid="{81646BBD-554C-418C-A6C1-6120243E0213}"/>
    <cellStyle name="Millares 10 2 15" xfId="8790" xr:uid="{480E9706-AD17-4531-9B8A-BB1925CFA394}"/>
    <cellStyle name="Millares 10 2 2" xfId="3052" xr:uid="{36C549FE-70A1-4A9F-9565-05446658FAAB}"/>
    <cellStyle name="Millares 10 2 2 2" xfId="4333" xr:uid="{B97CE659-7245-47F9-9A91-F61202D26230}"/>
    <cellStyle name="Millares 10 2 2 2 2" xfId="6006" xr:uid="{4334099E-E60F-4727-A380-81488D83261F}"/>
    <cellStyle name="Millares 10 2 2 2 3" xfId="7678" xr:uid="{5AEF13F6-2A1A-4B85-A3F8-E08AF07CC080}"/>
    <cellStyle name="Millares 10 2 2 3" xfId="4890" xr:uid="{A00C3D4D-6E9A-4CEC-ADBE-87A54CAB1726}"/>
    <cellStyle name="Millares 10 2 2 3 2" xfId="6563" xr:uid="{7D8EEBAB-F018-4FDC-9669-A70869795A47}"/>
    <cellStyle name="Millares 10 2 2 3 3" xfId="8235" xr:uid="{9A010818-BF10-4BEF-863B-56FD1B073F77}"/>
    <cellStyle name="Millares 10 2 2 4" xfId="5448" xr:uid="{FA52AAE4-2493-4D23-AE42-F063B7041614}"/>
    <cellStyle name="Millares 10 2 2 5" xfId="7120" xr:uid="{C386AAE2-F496-4A59-BE40-3E44E95A8182}"/>
    <cellStyle name="Millares 10 2 2 6" xfId="8792" xr:uid="{4BBCB68D-F36F-4B69-BF72-FE3A96F8E0A4}"/>
    <cellStyle name="Millares 10 2 3" xfId="3053" xr:uid="{874D3913-9F09-4BE6-8C64-BA7C8D5E725C}"/>
    <cellStyle name="Millares 10 2 3 2" xfId="4334" xr:uid="{760B2349-FE11-46F9-8AA0-0C307F8167F2}"/>
    <cellStyle name="Millares 10 2 3 2 2" xfId="6007" xr:uid="{355C2A52-2FA0-48D8-8829-2B48E161C335}"/>
    <cellStyle name="Millares 10 2 3 2 3" xfId="7679" xr:uid="{DCC27BF6-7ECE-411B-8515-E4E89125057D}"/>
    <cellStyle name="Millares 10 2 3 3" xfId="4891" xr:uid="{3A0B8A08-E0B6-4CAE-8F22-AD5C45E4FA36}"/>
    <cellStyle name="Millares 10 2 3 3 2" xfId="6564" xr:uid="{E166C881-9DF1-48C2-9E78-09C25BF6A97A}"/>
    <cellStyle name="Millares 10 2 3 3 3" xfId="8236" xr:uid="{58D4CC11-3AE5-4A53-9AA6-C77960F0C8AE}"/>
    <cellStyle name="Millares 10 2 3 4" xfId="5449" xr:uid="{8261BA09-2567-4980-95B8-18636FAA5929}"/>
    <cellStyle name="Millares 10 2 3 5" xfId="7121" xr:uid="{7A0A42A7-6EED-407F-B1E1-425341F004EC}"/>
    <cellStyle name="Millares 10 2 3 6" xfId="8793" xr:uid="{8575CB68-D160-418F-BB34-324E529F946D}"/>
    <cellStyle name="Millares 10 2 4" xfId="3054" xr:uid="{AF32F087-713F-4EC0-8E06-80AA6FF3B367}"/>
    <cellStyle name="Millares 10 2 4 2" xfId="4335" xr:uid="{0E722F3B-54D1-4605-80BA-02090A42EE0A}"/>
    <cellStyle name="Millares 10 2 4 2 2" xfId="6008" xr:uid="{1CAE081A-2026-42EC-80F7-4C1C32DF9DF0}"/>
    <cellStyle name="Millares 10 2 4 2 3" xfId="7680" xr:uid="{F9374F9F-9EE7-477C-B2E8-BC795F83741C}"/>
    <cellStyle name="Millares 10 2 4 3" xfId="4892" xr:uid="{0E7D9182-72E9-4B00-95BF-1A720D08541A}"/>
    <cellStyle name="Millares 10 2 4 3 2" xfId="6565" xr:uid="{0482DE59-B590-426A-AFAA-B172A199DC42}"/>
    <cellStyle name="Millares 10 2 4 3 3" xfId="8237" xr:uid="{91B1D4E6-4CEC-4E78-B267-BE8C3B8D208F}"/>
    <cellStyle name="Millares 10 2 4 4" xfId="5450" xr:uid="{4362E074-6663-47D8-8D53-1CC9A6269F7F}"/>
    <cellStyle name="Millares 10 2 4 5" xfId="7122" xr:uid="{675BC2DF-9626-42BF-A7D5-DE10D34383FE}"/>
    <cellStyle name="Millares 10 2 4 6" xfId="8794" xr:uid="{B575541A-9632-4820-A538-B11FBF3797D0}"/>
    <cellStyle name="Millares 10 2 5" xfId="3055" xr:uid="{9C7092EF-1720-495A-95AE-3555FA1420A4}"/>
    <cellStyle name="Millares 10 2 5 2" xfId="4336" xr:uid="{FE66B16B-AAA6-4E1B-8C12-6683222BF871}"/>
    <cellStyle name="Millares 10 2 5 2 2" xfId="6009" xr:uid="{C08C8585-E35B-42ED-836A-05EDE33D180C}"/>
    <cellStyle name="Millares 10 2 5 2 3" xfId="7681" xr:uid="{07928A5D-627A-4C0F-A1D5-A904879B3858}"/>
    <cellStyle name="Millares 10 2 5 3" xfId="4893" xr:uid="{3066CE5F-3C58-42F1-909E-846B4E676C23}"/>
    <cellStyle name="Millares 10 2 5 3 2" xfId="6566" xr:uid="{809F44C7-F050-4D64-8C7B-A5D4A0ED9353}"/>
    <cellStyle name="Millares 10 2 5 3 3" xfId="8238" xr:uid="{68646584-E9A4-4042-B874-9E1E148CEEBB}"/>
    <cellStyle name="Millares 10 2 5 4" xfId="5451" xr:uid="{3A6ECE44-52A0-49EF-B23D-22ADF8960557}"/>
    <cellStyle name="Millares 10 2 5 5" xfId="7123" xr:uid="{0484D9BF-0777-426B-9826-0D56D432625A}"/>
    <cellStyle name="Millares 10 2 5 6" xfId="8795" xr:uid="{4AB0F084-62D5-41B7-A239-CB61FD6CC4EE}"/>
    <cellStyle name="Millares 10 2 6" xfId="3056" xr:uid="{DB952DAA-F4F0-45BB-B646-EBB90AB44912}"/>
    <cellStyle name="Millares 10 2 6 2" xfId="4337" xr:uid="{201872D5-3C86-4843-91E8-2969A685EC89}"/>
    <cellStyle name="Millares 10 2 6 2 2" xfId="6010" xr:uid="{E04FBAFA-02A3-4445-99A1-04D82DA3A93D}"/>
    <cellStyle name="Millares 10 2 6 2 3" xfId="7682" xr:uid="{C1982113-AD68-4D90-8C9A-A4E1E0CC2E8F}"/>
    <cellStyle name="Millares 10 2 6 3" xfId="4894" xr:uid="{72D047A3-74D4-4085-AF14-551E9FDBD09F}"/>
    <cellStyle name="Millares 10 2 6 3 2" xfId="6567" xr:uid="{7CFE5DF5-E2AF-455E-B7FD-8E7D2A1091F8}"/>
    <cellStyle name="Millares 10 2 6 3 3" xfId="8239" xr:uid="{703FF9AE-22E8-4B25-AA6B-0E12BFC01BF8}"/>
    <cellStyle name="Millares 10 2 6 4" xfId="5452" xr:uid="{AC3A0A7E-4BA5-44E3-BC36-23D231FE0979}"/>
    <cellStyle name="Millares 10 2 6 5" xfId="7124" xr:uid="{0F74A527-4F54-487A-A18E-D5323FD6996D}"/>
    <cellStyle name="Millares 10 2 6 6" xfId="8796" xr:uid="{207244C4-0222-46DE-950A-A67B22C97848}"/>
    <cellStyle name="Millares 10 2 7" xfId="3057" xr:uid="{8B2146AD-FFC8-4647-93C3-BB89ACCAE9EE}"/>
    <cellStyle name="Millares 10 2 7 2" xfId="4338" xr:uid="{E31B362B-DA0A-493B-A750-F48CE1A840F9}"/>
    <cellStyle name="Millares 10 2 7 2 2" xfId="6011" xr:uid="{44142009-5317-443F-BB2E-5425EB426A9F}"/>
    <cellStyle name="Millares 10 2 7 2 3" xfId="7683" xr:uid="{C8D77521-221E-4F97-995C-52C3959F471F}"/>
    <cellStyle name="Millares 10 2 7 3" xfId="4895" xr:uid="{CD3AB4DD-10B8-4DE3-8A60-9309DD4498F3}"/>
    <cellStyle name="Millares 10 2 7 3 2" xfId="6568" xr:uid="{9254261A-CF3F-49CF-A2F5-16CFBBC920D4}"/>
    <cellStyle name="Millares 10 2 7 3 3" xfId="8240" xr:uid="{F46C774F-3FD3-4DE1-9358-3CABFD1C63C8}"/>
    <cellStyle name="Millares 10 2 7 4" xfId="5453" xr:uid="{F600D44E-1483-407C-8EB2-2294A3B7134B}"/>
    <cellStyle name="Millares 10 2 7 5" xfId="7125" xr:uid="{5627CB48-AF8F-4B5B-8BC6-DCD019ED6603}"/>
    <cellStyle name="Millares 10 2 7 6" xfId="8797" xr:uid="{74F9A4C7-1101-4452-8442-B1F4BF0995BF}"/>
    <cellStyle name="Millares 10 2 8" xfId="3058" xr:uid="{091D5AE0-CE61-42F3-B5B2-DD00BC635ABA}"/>
    <cellStyle name="Millares 10 2 8 2" xfId="4339" xr:uid="{218F4B93-E484-4555-85D4-75FF5972A3FB}"/>
    <cellStyle name="Millares 10 2 8 2 2" xfId="6012" xr:uid="{46C749ED-2A4C-4F87-8C64-D856A14BAAEA}"/>
    <cellStyle name="Millares 10 2 8 2 3" xfId="7684" xr:uid="{038DEBA2-F342-4B96-8A3B-36A613A99502}"/>
    <cellStyle name="Millares 10 2 8 3" xfId="4896" xr:uid="{CDD07AC2-716A-4806-8613-5616E649A7C7}"/>
    <cellStyle name="Millares 10 2 8 3 2" xfId="6569" xr:uid="{D37E8E25-8168-478A-B83E-B8C36EECAC13}"/>
    <cellStyle name="Millares 10 2 8 3 3" xfId="8241" xr:uid="{4BDD1049-BD49-4FC8-BAC5-5AFB985FFDF0}"/>
    <cellStyle name="Millares 10 2 8 4" xfId="5454" xr:uid="{524F50B3-6E4F-4DF9-8168-844146299B71}"/>
    <cellStyle name="Millares 10 2 8 5" xfId="7126" xr:uid="{A12B7D89-5344-4348-BC59-D691A10A7DC3}"/>
    <cellStyle name="Millares 10 2 8 6" xfId="8798" xr:uid="{395A6C87-DF96-4A43-80CD-FAB2DBE0CDA7}"/>
    <cellStyle name="Millares 10 2 9" xfId="3059" xr:uid="{15ABFD93-F55E-404A-BC24-22992DF8A6E1}"/>
    <cellStyle name="Millares 10 2 9 2" xfId="4340" xr:uid="{122A466D-4DFE-45E5-88D1-9EA51252437C}"/>
    <cellStyle name="Millares 10 2 9 2 2" xfId="6013" xr:uid="{C6C04579-223E-42A9-AC57-982D5273116E}"/>
    <cellStyle name="Millares 10 2 9 2 3" xfId="7685" xr:uid="{84280E15-7B52-40A4-B392-AA828F33CE29}"/>
    <cellStyle name="Millares 10 2 9 3" xfId="4897" xr:uid="{B5ABBE9D-4B15-48B4-AEF1-F59A751F8C35}"/>
    <cellStyle name="Millares 10 2 9 3 2" xfId="6570" xr:uid="{375B7E49-3D07-438B-9CD7-447DD0F3A8EF}"/>
    <cellStyle name="Millares 10 2 9 3 3" xfId="8242" xr:uid="{A005838E-D356-4111-A026-4C795C65004F}"/>
    <cellStyle name="Millares 10 2 9 4" xfId="5455" xr:uid="{F560E0D3-333F-44DF-8ED5-8712E720BBDB}"/>
    <cellStyle name="Millares 10 2 9 5" xfId="7127" xr:uid="{88081DFD-71E0-421A-A712-C86BC5E8D015}"/>
    <cellStyle name="Millares 10 2 9 6" xfId="8799" xr:uid="{848D3E92-8C4F-4096-AA6D-E8D210EEFA0F}"/>
    <cellStyle name="Millares 10 3" xfId="3060" xr:uid="{B3BBF20B-E4A7-40C0-A9B9-C408DBA859FB}"/>
    <cellStyle name="Millares 10 3 10" xfId="3061" xr:uid="{4103CE86-B3E6-4FF2-ADB5-69CD83113164}"/>
    <cellStyle name="Millares 10 3 10 2" xfId="4342" xr:uid="{B67AF0E5-D067-4B42-9C76-491C919B212B}"/>
    <cellStyle name="Millares 10 3 10 2 2" xfId="6015" xr:uid="{28EB42B6-B0C7-4C16-875E-1F3B46981E32}"/>
    <cellStyle name="Millares 10 3 10 2 3" xfId="7687" xr:uid="{C0C4ADFD-F583-46BD-B9ED-2AF984AC10E9}"/>
    <cellStyle name="Millares 10 3 10 3" xfId="4899" xr:uid="{8783B5E4-A7F0-474E-9246-62604DB439F6}"/>
    <cellStyle name="Millares 10 3 10 3 2" xfId="6572" xr:uid="{4D1EB829-6DD5-4074-8F5B-7646F58B6485}"/>
    <cellStyle name="Millares 10 3 10 3 3" xfId="8244" xr:uid="{BFD66044-7B2B-4E65-9289-0FF8381978E8}"/>
    <cellStyle name="Millares 10 3 10 4" xfId="5457" xr:uid="{473D3648-E1D2-4EEE-923F-875ACB64472F}"/>
    <cellStyle name="Millares 10 3 10 5" xfId="7129" xr:uid="{4BC4A65B-00E8-416A-8FE0-3112507ED9E9}"/>
    <cellStyle name="Millares 10 3 10 6" xfId="8801" xr:uid="{C33CD1DF-4229-479B-83E3-BEE021BCBEB1}"/>
    <cellStyle name="Millares 10 3 11" xfId="4341" xr:uid="{BF42A6D3-F24B-4F10-A185-21B00A795CBA}"/>
    <cellStyle name="Millares 10 3 11 2" xfId="6014" xr:uid="{472C7B32-2B3D-4085-93D9-96B1559C4BA2}"/>
    <cellStyle name="Millares 10 3 11 3" xfId="7686" xr:uid="{ED9E1108-8796-4790-AF88-70A2284CBF46}"/>
    <cellStyle name="Millares 10 3 12" xfId="4898" xr:uid="{198F67C9-71CF-4BC3-8E79-30CD58BAA985}"/>
    <cellStyle name="Millares 10 3 12 2" xfId="6571" xr:uid="{5865FA53-91AE-4A3F-A779-5C78F87AC33E}"/>
    <cellStyle name="Millares 10 3 12 3" xfId="8243" xr:uid="{7005081E-93D3-44D9-A61D-3BA443A4CEFD}"/>
    <cellStyle name="Millares 10 3 13" xfId="5456" xr:uid="{E78DFF71-333A-42EC-9091-A1CF063D2E90}"/>
    <cellStyle name="Millares 10 3 14" xfId="7128" xr:uid="{98E1097E-C62A-4FCF-A6AF-6973B53BF8D8}"/>
    <cellStyle name="Millares 10 3 15" xfId="8800" xr:uid="{490EE4F7-374C-467B-AE23-F1FA03E1454B}"/>
    <cellStyle name="Millares 10 3 2" xfId="3062" xr:uid="{1151FD0C-2180-48A0-82DD-7A521E7766B4}"/>
    <cellStyle name="Millares 10 3 2 2" xfId="4343" xr:uid="{40793174-7A53-486F-8EC6-A495543144FD}"/>
    <cellStyle name="Millares 10 3 2 2 2" xfId="6016" xr:uid="{2453157E-D996-4C73-A571-E14D8B3D51AE}"/>
    <cellStyle name="Millares 10 3 2 2 3" xfId="7688" xr:uid="{B27E3D43-A268-4F99-B35A-CCC3A87081C7}"/>
    <cellStyle name="Millares 10 3 2 3" xfId="4900" xr:uid="{D569708D-B913-4E08-9177-9B62656F7B93}"/>
    <cellStyle name="Millares 10 3 2 3 2" xfId="6573" xr:uid="{36764125-DA18-4352-A9CB-18B0BA2AA8E2}"/>
    <cellStyle name="Millares 10 3 2 3 3" xfId="8245" xr:uid="{7249705D-10D6-4E49-961E-70561C493C0F}"/>
    <cellStyle name="Millares 10 3 2 4" xfId="5458" xr:uid="{85C3118A-B509-47B5-9269-C3E58A09639F}"/>
    <cellStyle name="Millares 10 3 2 5" xfId="7130" xr:uid="{FBE1D3FB-77AA-4CA1-B1EF-E528BA5C9AE2}"/>
    <cellStyle name="Millares 10 3 2 6" xfId="8802" xr:uid="{76B6631A-3C0B-4FFC-843C-41DFD871BEB7}"/>
    <cellStyle name="Millares 10 3 3" xfId="3063" xr:uid="{7B114895-C260-4AB5-AE13-C182C3819008}"/>
    <cellStyle name="Millares 10 3 3 2" xfId="4344" xr:uid="{929CBA9E-08AB-4909-939E-C8EAC4F2A361}"/>
    <cellStyle name="Millares 10 3 3 2 2" xfId="6017" xr:uid="{762CFD18-1A50-41A8-978D-868EBBA761D6}"/>
    <cellStyle name="Millares 10 3 3 2 3" xfId="7689" xr:uid="{9C0E4BF0-38C3-4EAF-BA0D-17F3B04DADB7}"/>
    <cellStyle name="Millares 10 3 3 3" xfId="4901" xr:uid="{BD098B4A-0CD6-41DC-8273-48F8232849C8}"/>
    <cellStyle name="Millares 10 3 3 3 2" xfId="6574" xr:uid="{644FE628-9BDE-4985-85C8-00432F3A1CB7}"/>
    <cellStyle name="Millares 10 3 3 3 3" xfId="8246" xr:uid="{6A1C7D74-E508-4844-89E4-2BDB4A69BFB6}"/>
    <cellStyle name="Millares 10 3 3 4" xfId="5459" xr:uid="{8995132C-D214-4401-9289-ED7AE917B6EC}"/>
    <cellStyle name="Millares 10 3 3 5" xfId="7131" xr:uid="{B39D3957-B579-4570-93FF-3EA2D1257209}"/>
    <cellStyle name="Millares 10 3 3 6" xfId="8803" xr:uid="{C8D49D5B-EAFE-43D1-BAF1-6AA0299E65DA}"/>
    <cellStyle name="Millares 10 3 4" xfId="3064" xr:uid="{5A17CE9F-BE6B-4BD8-80CE-02AD33C8E236}"/>
    <cellStyle name="Millares 10 3 4 2" xfId="4345" xr:uid="{CFAADF3E-4DDD-4743-A022-F765B85EF42C}"/>
    <cellStyle name="Millares 10 3 4 2 2" xfId="6018" xr:uid="{9CFDABEB-F697-487D-A3C4-79CF4902070B}"/>
    <cellStyle name="Millares 10 3 4 2 3" xfId="7690" xr:uid="{5663E945-D062-4C1D-BE0C-98DF69B9FC38}"/>
    <cellStyle name="Millares 10 3 4 3" xfId="4902" xr:uid="{1BCD09B6-95C3-470A-9F58-28B5086C4E7A}"/>
    <cellStyle name="Millares 10 3 4 3 2" xfId="6575" xr:uid="{3D867E1D-537E-4635-862A-99CAB9F5B653}"/>
    <cellStyle name="Millares 10 3 4 3 3" xfId="8247" xr:uid="{19317DB4-16B7-4DAD-89E6-1B3F4D7156B9}"/>
    <cellStyle name="Millares 10 3 4 4" xfId="5460" xr:uid="{6BC21A07-31E1-4064-8396-31D0D98F0F06}"/>
    <cellStyle name="Millares 10 3 4 5" xfId="7132" xr:uid="{6A8E9F68-915F-4996-AEE7-45A216F1F463}"/>
    <cellStyle name="Millares 10 3 4 6" xfId="8804" xr:uid="{20474564-78D7-47A8-BB2B-20CEBDB6C66A}"/>
    <cellStyle name="Millares 10 3 5" xfId="3065" xr:uid="{718D9835-D7FB-4AC0-B8F3-CCD06153AABF}"/>
    <cellStyle name="Millares 10 3 5 2" xfId="4346" xr:uid="{6C7BF2D6-554F-47F6-AFCE-1092CB72AE29}"/>
    <cellStyle name="Millares 10 3 5 2 2" xfId="6019" xr:uid="{3F0C3C3E-14CA-478A-B673-1F921E37E99A}"/>
    <cellStyle name="Millares 10 3 5 2 3" xfId="7691" xr:uid="{1DAF6AF0-5429-4689-8D54-430BC9874011}"/>
    <cellStyle name="Millares 10 3 5 3" xfId="4903" xr:uid="{4D2693F4-56BF-44A2-83D8-7AAC04EED613}"/>
    <cellStyle name="Millares 10 3 5 3 2" xfId="6576" xr:uid="{2171B4AA-0CE8-4AE0-91F6-8CBB8172E38E}"/>
    <cellStyle name="Millares 10 3 5 3 3" xfId="8248" xr:uid="{A4A73D5F-0F85-49D4-A360-CEA63BACA9D8}"/>
    <cellStyle name="Millares 10 3 5 4" xfId="5461" xr:uid="{15129102-6D37-4AE3-88FE-CFAB35B89213}"/>
    <cellStyle name="Millares 10 3 5 5" xfId="7133" xr:uid="{40DEAED0-BF32-4BDC-B4F3-7E4AA4E16E1B}"/>
    <cellStyle name="Millares 10 3 5 6" xfId="8805" xr:uid="{3B9D1889-05D2-46A7-B4C0-756BA2880071}"/>
    <cellStyle name="Millares 10 3 6" xfId="3066" xr:uid="{57A00178-6653-4E06-91EC-019B94B3B2B4}"/>
    <cellStyle name="Millares 10 3 6 2" xfId="4347" xr:uid="{2A87D94A-04DF-427F-9C29-EE1104EA44A9}"/>
    <cellStyle name="Millares 10 3 6 2 2" xfId="6020" xr:uid="{3E3CC3D3-0C26-4166-8F9E-2BBF7B6A531A}"/>
    <cellStyle name="Millares 10 3 6 2 3" xfId="7692" xr:uid="{D96285C0-7E2C-4EF8-9BB2-FB84EDA6B891}"/>
    <cellStyle name="Millares 10 3 6 3" xfId="4904" xr:uid="{4DA02E1B-79D6-4843-BD37-070BAEE3A654}"/>
    <cellStyle name="Millares 10 3 6 3 2" xfId="6577" xr:uid="{9DA6966D-A3EB-4733-A980-C2695C75906F}"/>
    <cellStyle name="Millares 10 3 6 3 3" xfId="8249" xr:uid="{94471001-2089-442E-8EC6-D6CF2BC657E3}"/>
    <cellStyle name="Millares 10 3 6 4" xfId="5462" xr:uid="{C41DCFF0-1170-40CA-962A-B1A778F33EE3}"/>
    <cellStyle name="Millares 10 3 6 5" xfId="7134" xr:uid="{F27644AE-2C06-4D6C-92FE-23F0E3A96CAC}"/>
    <cellStyle name="Millares 10 3 6 6" xfId="8806" xr:uid="{DE5B1389-F92C-48FC-9A9A-E591A4753D64}"/>
    <cellStyle name="Millares 10 3 7" xfId="3067" xr:uid="{411CE4F4-374A-4FCF-9E94-B36C08ECF9D0}"/>
    <cellStyle name="Millares 10 3 7 2" xfId="4348" xr:uid="{95677283-4D66-43F4-90DB-D4B6772901A0}"/>
    <cellStyle name="Millares 10 3 7 2 2" xfId="6021" xr:uid="{BF385E9D-4320-438A-9286-48B0420575C8}"/>
    <cellStyle name="Millares 10 3 7 2 3" xfId="7693" xr:uid="{0D910D6E-6C5D-483E-99CF-0DB030BA7BA3}"/>
    <cellStyle name="Millares 10 3 7 3" xfId="4905" xr:uid="{3F8414A6-DC15-406E-8286-E41855A3C9B5}"/>
    <cellStyle name="Millares 10 3 7 3 2" xfId="6578" xr:uid="{B82E1912-293E-4C0F-9296-94E71E85005D}"/>
    <cellStyle name="Millares 10 3 7 3 3" xfId="8250" xr:uid="{3D703661-17B2-43DE-B415-70B103F29379}"/>
    <cellStyle name="Millares 10 3 7 4" xfId="5463" xr:uid="{96CE0E80-430F-4CD2-82C5-1F341A3F91B0}"/>
    <cellStyle name="Millares 10 3 7 5" xfId="7135" xr:uid="{2D0689F2-1426-4B7C-B328-B6D360694ED1}"/>
    <cellStyle name="Millares 10 3 7 6" xfId="8807" xr:uid="{AF4F6FA9-3A45-41D9-AEB5-55BBC4C41D7B}"/>
    <cellStyle name="Millares 10 3 8" xfId="3068" xr:uid="{D3451FD6-55CB-4106-BB6F-6024819C4072}"/>
    <cellStyle name="Millares 10 3 8 2" xfId="4349" xr:uid="{7CC9EC1E-006C-40FC-8EEF-460D4B6C1590}"/>
    <cellStyle name="Millares 10 3 8 2 2" xfId="6022" xr:uid="{CD22D19F-81C8-4FA9-9D5A-9C8E1709AD5A}"/>
    <cellStyle name="Millares 10 3 8 2 3" xfId="7694" xr:uid="{6D4AE545-4E8E-45E7-A5BF-43E882055859}"/>
    <cellStyle name="Millares 10 3 8 3" xfId="4906" xr:uid="{9817F2D3-3415-4A38-9F0D-CFA384D0F3EE}"/>
    <cellStyle name="Millares 10 3 8 3 2" xfId="6579" xr:uid="{242A4B1C-744D-477B-A90D-4B4C264594C9}"/>
    <cellStyle name="Millares 10 3 8 3 3" xfId="8251" xr:uid="{C6F6F273-2C4B-43A0-9662-DE1D6E5B5A4B}"/>
    <cellStyle name="Millares 10 3 8 4" xfId="5464" xr:uid="{938433C3-49F6-4702-B51D-87EBCAA7C659}"/>
    <cellStyle name="Millares 10 3 8 5" xfId="7136" xr:uid="{7D52897B-EB48-4B98-87F1-894BE08797E1}"/>
    <cellStyle name="Millares 10 3 8 6" xfId="8808" xr:uid="{78C08B72-75D6-4928-B8F3-E8E2520D6423}"/>
    <cellStyle name="Millares 10 3 9" xfId="3069" xr:uid="{7265DF95-6F8B-4CEC-870D-2BE8E09EB3A6}"/>
    <cellStyle name="Millares 10 3 9 2" xfId="4350" xr:uid="{1CAB06BD-3F30-40A1-9FE3-AFB9F00777C7}"/>
    <cellStyle name="Millares 10 3 9 2 2" xfId="6023" xr:uid="{3C156E3B-3878-4514-B977-7EDE67806FFC}"/>
    <cellStyle name="Millares 10 3 9 2 3" xfId="7695" xr:uid="{4F870033-BC83-4B54-ACC0-BDE4646E6BD1}"/>
    <cellStyle name="Millares 10 3 9 3" xfId="4907" xr:uid="{D7402852-0F0B-4678-A0F5-79BB698705E3}"/>
    <cellStyle name="Millares 10 3 9 3 2" xfId="6580" xr:uid="{3754FC78-D3C5-4B16-B2F5-7A84409B2D29}"/>
    <cellStyle name="Millares 10 3 9 3 3" xfId="8252" xr:uid="{1D536FDA-C524-4D66-B109-6BA429D91D10}"/>
    <cellStyle name="Millares 10 3 9 4" xfId="5465" xr:uid="{70C1F46D-8449-4464-B901-BB6A96A0FB58}"/>
    <cellStyle name="Millares 10 3 9 5" xfId="7137" xr:uid="{64C153FD-6289-4564-8E57-6A88DAD3E6B3}"/>
    <cellStyle name="Millares 10 3 9 6" xfId="8809" xr:uid="{EEDD5C6F-5562-48E6-966D-0CCA62041445}"/>
    <cellStyle name="Millares 10 4" xfId="3070" xr:uid="{580D7ECD-F987-437A-B5E7-7341FD612D69}"/>
    <cellStyle name="Millares 10 4 2" xfId="4351" xr:uid="{F1B1CDCC-DEA0-433F-A6C9-0300AB18B3F8}"/>
    <cellStyle name="Millares 10 4 2 2" xfId="6024" xr:uid="{D7C4D6F0-EAD1-4030-AE46-3D70ADDC5024}"/>
    <cellStyle name="Millares 10 4 2 3" xfId="7696" xr:uid="{92DABACD-87DB-4AA8-AA9C-C4C4FC75EFD5}"/>
    <cellStyle name="Millares 10 4 3" xfId="4908" xr:uid="{2A412009-9A40-4D09-81B2-12AF1BD6B50A}"/>
    <cellStyle name="Millares 10 4 3 2" xfId="6581" xr:uid="{965702C1-9A9F-45A3-8B22-5D6FC47D8EED}"/>
    <cellStyle name="Millares 10 4 3 3" xfId="8253" xr:uid="{5C0E2BFF-F594-42B6-8C5E-F69C436CB9CF}"/>
    <cellStyle name="Millares 10 4 4" xfId="5466" xr:uid="{CAAA4DC5-A7C7-4900-ABAD-AA9DD5ADA844}"/>
    <cellStyle name="Millares 10 4 5" xfId="7138" xr:uid="{C6E1A709-165C-4D81-B622-1386FE3E3F5D}"/>
    <cellStyle name="Millares 10 4 6" xfId="8810" xr:uid="{4DD74193-8116-42F8-9123-95565CB33A30}"/>
    <cellStyle name="Millares 10 5" xfId="3071" xr:uid="{D9DF1C01-C408-4BC9-8783-4DD5A7B7AFAB}"/>
    <cellStyle name="Millares 10 5 2" xfId="4352" xr:uid="{13D2E46A-F5F9-4914-8C8A-04A7702454F5}"/>
    <cellStyle name="Millares 10 5 2 2" xfId="6025" xr:uid="{C29E3737-E55B-464D-A33B-00FC1039D109}"/>
    <cellStyle name="Millares 10 5 2 3" xfId="7697" xr:uid="{C3605E90-1845-437F-A7A4-39D28634EEF6}"/>
    <cellStyle name="Millares 10 5 3" xfId="4909" xr:uid="{F4A981A1-0F55-4323-9ADC-C18EFBA9E79E}"/>
    <cellStyle name="Millares 10 5 3 2" xfId="6582" xr:uid="{CA9A08FA-5585-417C-A6E3-E6C2BEBD4AF8}"/>
    <cellStyle name="Millares 10 5 3 3" xfId="8254" xr:uid="{C095B838-7172-43A4-8C8D-9D985BE0D373}"/>
    <cellStyle name="Millares 10 5 4" xfId="5467" xr:uid="{2F9DF980-79DF-4EE0-A138-C086EA49390E}"/>
    <cellStyle name="Millares 10 5 5" xfId="7139" xr:uid="{43853B23-5B85-458D-BE86-2036DB1E4FA3}"/>
    <cellStyle name="Millares 10 5 6" xfId="8811" xr:uid="{CFC4AE85-CC1A-4BE2-A7D0-2892D35E7C1E}"/>
    <cellStyle name="Millares 10 6" xfId="3072" xr:uid="{2811791C-8A56-4052-9B22-662E2DCA7C99}"/>
    <cellStyle name="Millares 10 6 2" xfId="4353" xr:uid="{535393AE-BBFA-45AF-917B-62640EB8EC7E}"/>
    <cellStyle name="Millares 10 6 2 2" xfId="6026" xr:uid="{4E804F25-AB70-4126-BA7E-460720DD1A30}"/>
    <cellStyle name="Millares 10 6 2 3" xfId="7698" xr:uid="{1B4B92D6-02F2-4EB6-98CF-7BFE13FC11F6}"/>
    <cellStyle name="Millares 10 6 3" xfId="4910" xr:uid="{274B0DEF-A2F5-4E93-9181-C780CDF4E6BC}"/>
    <cellStyle name="Millares 10 6 3 2" xfId="6583" xr:uid="{83EDE84C-C760-46CD-86D0-74B978B3BC00}"/>
    <cellStyle name="Millares 10 6 3 3" xfId="8255" xr:uid="{7AEA6293-DD3A-40D8-9568-13AD44F847ED}"/>
    <cellStyle name="Millares 10 6 4" xfId="5468" xr:uid="{9665FEDF-57B7-4CE3-9465-424641EBEE1B}"/>
    <cellStyle name="Millares 10 6 5" xfId="7140" xr:uid="{0C6B62D8-77DA-4F76-8E1D-321B875AE92C}"/>
    <cellStyle name="Millares 10 6 6" xfId="8812" xr:uid="{B105BEEB-D8E4-4FFE-BABF-8A085F9C88A1}"/>
    <cellStyle name="Millares 10 7" xfId="3073" xr:uid="{C140CA9E-4C19-49E3-908E-6952371DE4F6}"/>
    <cellStyle name="Millares 10 7 2" xfId="4354" xr:uid="{223BA650-F894-4FA7-A63B-7685591FB111}"/>
    <cellStyle name="Millares 10 7 2 2" xfId="6027" xr:uid="{B7BCE353-F8A0-486C-80F5-21DAA43E4244}"/>
    <cellStyle name="Millares 10 7 2 3" xfId="7699" xr:uid="{B28B35A8-81EA-43A8-99C3-33D2A7197694}"/>
    <cellStyle name="Millares 10 7 3" xfId="4911" xr:uid="{043E6DDC-FBC7-4990-9657-9EE7C6A4DDC8}"/>
    <cellStyle name="Millares 10 7 3 2" xfId="6584" xr:uid="{FBD0E920-A0B7-487E-B7ED-2DB56A664963}"/>
    <cellStyle name="Millares 10 7 3 3" xfId="8256" xr:uid="{963A2792-1B94-4BB1-8B24-89EB98597B55}"/>
    <cellStyle name="Millares 10 7 4" xfId="5469" xr:uid="{011018A5-24AE-4EEA-9559-8F9F6123CB00}"/>
    <cellStyle name="Millares 10 7 5" xfId="7141" xr:uid="{5E7E56AA-A288-4E2F-A754-20D6DA886EBD}"/>
    <cellStyle name="Millares 10 7 6" xfId="8813" xr:uid="{5EFFB701-7864-4D71-9934-441677AE0529}"/>
    <cellStyle name="Millares 10 8" xfId="3074" xr:uid="{FE4F1701-3C06-44F8-A756-B81AFF321F2B}"/>
    <cellStyle name="Millares 10 8 2" xfId="4355" xr:uid="{FA18176F-FFCA-4694-8BB9-486FBCCE9855}"/>
    <cellStyle name="Millares 10 8 2 2" xfId="6028" xr:uid="{396EE0CE-434C-4806-B138-7D67433DF0A8}"/>
    <cellStyle name="Millares 10 8 2 3" xfId="7700" xr:uid="{6D7A575E-C748-4659-B9A6-F0A0553990BD}"/>
    <cellStyle name="Millares 10 8 3" xfId="4912" xr:uid="{F367B67F-B63D-46D8-949C-B3835D9BE6A1}"/>
    <cellStyle name="Millares 10 8 3 2" xfId="6585" xr:uid="{246E41B4-6E58-42A6-B422-04D0076E8429}"/>
    <cellStyle name="Millares 10 8 3 3" xfId="8257" xr:uid="{93B4C6CF-AD56-45C8-BFF6-C31BB36C49FC}"/>
    <cellStyle name="Millares 10 8 4" xfId="5470" xr:uid="{17C843FD-6F89-46CF-A9F3-52409F67FF9A}"/>
    <cellStyle name="Millares 10 8 5" xfId="7142" xr:uid="{2CEACBC4-40E6-43DE-B324-2F3BA22DF85D}"/>
    <cellStyle name="Millares 10 8 6" xfId="8814" xr:uid="{F6E671AF-F03F-43AF-A8E9-05DB51835DD6}"/>
    <cellStyle name="Millares 10 9" xfId="3075" xr:uid="{CAECA403-12B9-439F-9FB7-4D1C53B0D57B}"/>
    <cellStyle name="Millares 10 9 2" xfId="4356" xr:uid="{0E527BEB-46C6-46FD-BFA7-5044173C20D6}"/>
    <cellStyle name="Millares 10 9 2 2" xfId="6029" xr:uid="{15E8F92E-3C0C-4C08-A182-677E9261AD05}"/>
    <cellStyle name="Millares 10 9 2 3" xfId="7701" xr:uid="{FA671A25-3391-4822-A47D-070A2D9950B4}"/>
    <cellStyle name="Millares 10 9 3" xfId="4913" xr:uid="{0A98BDDF-788E-4956-8554-5F325DE7BBDB}"/>
    <cellStyle name="Millares 10 9 3 2" xfId="6586" xr:uid="{3C3FC1F5-6AF7-45D4-9DDD-53FC83DAAA01}"/>
    <cellStyle name="Millares 10 9 3 3" xfId="8258" xr:uid="{ACBE3A62-85ED-4100-BE1F-0238A7B9F1AF}"/>
    <cellStyle name="Millares 10 9 4" xfId="5471" xr:uid="{7297218E-EA42-4A35-B2DB-2148B0960983}"/>
    <cellStyle name="Millares 10 9 5" xfId="7143" xr:uid="{0B213858-AE38-4E04-9905-2B294384D82C}"/>
    <cellStyle name="Millares 10 9 6" xfId="8815" xr:uid="{D0F45D26-4B6C-4AEE-A067-306A08773B16}"/>
    <cellStyle name="Millares 11" xfId="3076" xr:uid="{F7A0492C-73B3-42E0-874B-4F887970543C}"/>
    <cellStyle name="Millares 11 10" xfId="3077" xr:uid="{4AE89C04-6039-44B5-9A81-2F8C76E8653B}"/>
    <cellStyle name="Millares 11 10 2" xfId="4358" xr:uid="{05391F67-E629-4AB8-A678-36E87678B4F6}"/>
    <cellStyle name="Millares 11 10 2 2" xfId="6031" xr:uid="{0FF980A0-8F9A-4516-8D66-E1E65B100CA4}"/>
    <cellStyle name="Millares 11 10 2 3" xfId="7703" xr:uid="{D7201066-F9C9-4C05-989A-948013F3E3AE}"/>
    <cellStyle name="Millares 11 10 3" xfId="4915" xr:uid="{DDD9DDA4-66FF-4618-8196-68689FEE32C3}"/>
    <cellStyle name="Millares 11 10 3 2" xfId="6588" xr:uid="{C8BF260A-708A-45B9-B95A-1EFE68D7E42F}"/>
    <cellStyle name="Millares 11 10 3 3" xfId="8260" xr:uid="{3962098A-C826-47C4-B87D-6FBCFF925914}"/>
    <cellStyle name="Millares 11 10 4" xfId="5473" xr:uid="{28405D5E-4AA4-4435-ABC2-76C4D54A1E00}"/>
    <cellStyle name="Millares 11 10 5" xfId="7145" xr:uid="{94A9FDA1-C03E-43FE-9203-FECF08CCE9F0}"/>
    <cellStyle name="Millares 11 10 6" xfId="8817" xr:uid="{FC2A2D5A-A71E-4915-AADE-CFA964BCE910}"/>
    <cellStyle name="Millares 11 11" xfId="3078" xr:uid="{07E317C8-6C7F-49D7-883A-AA9844BE2D72}"/>
    <cellStyle name="Millares 11 11 2" xfId="4359" xr:uid="{4AA1DB25-BBC5-462D-A653-5DB79EDFCD39}"/>
    <cellStyle name="Millares 11 11 2 2" xfId="6032" xr:uid="{FD0BD0A3-838D-406B-B30A-076A63BF6625}"/>
    <cellStyle name="Millares 11 11 2 3" xfId="7704" xr:uid="{15B91DB1-6B40-4ADE-B819-21AA10E3FB46}"/>
    <cellStyle name="Millares 11 11 3" xfId="4916" xr:uid="{555C1955-3096-40B0-B209-445C7A187676}"/>
    <cellStyle name="Millares 11 11 3 2" xfId="6589" xr:uid="{CAA49C69-4889-456F-A2B6-64AE176575E5}"/>
    <cellStyle name="Millares 11 11 3 3" xfId="8261" xr:uid="{DB6C0FD4-B843-4158-BE51-E17664C83021}"/>
    <cellStyle name="Millares 11 11 4" xfId="5474" xr:uid="{9E687D6E-001F-4401-A68E-9D60671592A4}"/>
    <cellStyle name="Millares 11 11 5" xfId="7146" xr:uid="{4D03FFCD-200A-4E84-94AA-376A1D0A7B66}"/>
    <cellStyle name="Millares 11 11 6" xfId="8818" xr:uid="{E056142E-CA22-4207-AC70-45F01BF8FC0A}"/>
    <cellStyle name="Millares 11 12" xfId="3079" xr:uid="{47C5B615-093C-4576-98B0-22BCE0DE5A0B}"/>
    <cellStyle name="Millares 11 12 2" xfId="4360" xr:uid="{02091BD4-5364-48B7-973E-71085A40CFEB}"/>
    <cellStyle name="Millares 11 12 2 2" xfId="6033" xr:uid="{65479012-3D75-47BD-9C3B-91C80E6EE840}"/>
    <cellStyle name="Millares 11 12 2 3" xfId="7705" xr:uid="{7F7621D8-7B8E-41B3-B26C-8EFB7439DD24}"/>
    <cellStyle name="Millares 11 12 3" xfId="4917" xr:uid="{92DFA068-C2BD-4CCD-A628-4EBD75918292}"/>
    <cellStyle name="Millares 11 12 3 2" xfId="6590" xr:uid="{0B039584-9BB3-4131-BDAE-4DADD4F5A915}"/>
    <cellStyle name="Millares 11 12 3 3" xfId="8262" xr:uid="{B1ADB519-4841-49EB-9516-950A53F9360B}"/>
    <cellStyle name="Millares 11 12 4" xfId="5475" xr:uid="{E05B9329-75D2-456E-AA95-F7502E9BFC30}"/>
    <cellStyle name="Millares 11 12 5" xfId="7147" xr:uid="{FF6B554B-95C7-4251-8B59-8B2F89425785}"/>
    <cellStyle name="Millares 11 12 6" xfId="8819" xr:uid="{A44D18DE-3698-4953-AE60-8A9E96411D54}"/>
    <cellStyle name="Millares 11 13" xfId="4357" xr:uid="{473C5891-4D5F-4E92-AEEB-5C03524FC831}"/>
    <cellStyle name="Millares 11 13 2" xfId="6030" xr:uid="{BA65E7E7-345C-44B5-8AD9-7DB7217E4A12}"/>
    <cellStyle name="Millares 11 13 3" xfId="7702" xr:uid="{E51EF365-71A4-4062-9A46-36B80CEA19A8}"/>
    <cellStyle name="Millares 11 14" xfId="4914" xr:uid="{04D33EA6-821A-416E-9492-333772CF7747}"/>
    <cellStyle name="Millares 11 14 2" xfId="6587" xr:uid="{A138F5C9-6D04-4583-BCDA-DBFD47919ACA}"/>
    <cellStyle name="Millares 11 14 3" xfId="8259" xr:uid="{FE7A0399-A4B0-467E-B443-6843C7E7B5F9}"/>
    <cellStyle name="Millares 11 15" xfId="5472" xr:uid="{EB126A09-0530-4206-BF5B-5ADC62C1FDA8}"/>
    <cellStyle name="Millares 11 16" xfId="7144" xr:uid="{F5DB8728-D805-4E06-9E8E-7EEAB4DC3B60}"/>
    <cellStyle name="Millares 11 17" xfId="8816" xr:uid="{F124CDC1-5326-4046-BE5A-7D00B5EC6D04}"/>
    <cellStyle name="Millares 11 2" xfId="3080" xr:uid="{04B59FED-804F-4758-A2A5-7A9F16B6416F}"/>
    <cellStyle name="Millares 11 2 10" xfId="3081" xr:uid="{543BA4E1-605D-4E5A-BC30-75EE7B7C02E1}"/>
    <cellStyle name="Millares 11 2 10 2" xfId="4362" xr:uid="{12986B7C-136C-4FA3-948D-35EF2B6D2764}"/>
    <cellStyle name="Millares 11 2 10 2 2" xfId="6035" xr:uid="{0A1A6137-FA59-45A4-85F0-68851D890B01}"/>
    <cellStyle name="Millares 11 2 10 2 3" xfId="7707" xr:uid="{C1966EA3-C364-4A8D-9E7D-8019094FEE45}"/>
    <cellStyle name="Millares 11 2 10 3" xfId="4919" xr:uid="{24FD3D20-CB06-4657-B2CE-6E5F97D0FE0C}"/>
    <cellStyle name="Millares 11 2 10 3 2" xfId="6592" xr:uid="{14BF0859-02D0-4FB2-BF15-82F9B5F50C84}"/>
    <cellStyle name="Millares 11 2 10 3 3" xfId="8264" xr:uid="{3E701D6A-C74C-4979-BD47-24D0E89C8AAC}"/>
    <cellStyle name="Millares 11 2 10 4" xfId="5477" xr:uid="{AA6699DF-A005-4ACC-8960-6078914D7191}"/>
    <cellStyle name="Millares 11 2 10 5" xfId="7149" xr:uid="{AE88A1C9-AC71-4346-B022-1124EDAACA08}"/>
    <cellStyle name="Millares 11 2 10 6" xfId="8821" xr:uid="{58737C88-408A-4543-9EFE-23B56875DFD6}"/>
    <cellStyle name="Millares 11 2 11" xfId="4361" xr:uid="{C7585C97-9F43-4289-BBFA-F2CFF09C0B02}"/>
    <cellStyle name="Millares 11 2 11 2" xfId="6034" xr:uid="{7B8E3A15-65A3-4031-9F23-5DC7BDC44770}"/>
    <cellStyle name="Millares 11 2 11 3" xfId="7706" xr:uid="{F8132192-8195-4C03-90A7-BC4EB32E279F}"/>
    <cellStyle name="Millares 11 2 12" xfId="4918" xr:uid="{43208031-FF8D-4631-A518-548DB75E5A20}"/>
    <cellStyle name="Millares 11 2 12 2" xfId="6591" xr:uid="{05279943-F693-4DC6-A0F9-EB35C564ECAB}"/>
    <cellStyle name="Millares 11 2 12 3" xfId="8263" xr:uid="{4F3C095E-A513-4E49-9EF8-D9EC6E9C1518}"/>
    <cellStyle name="Millares 11 2 13" xfId="5476" xr:uid="{A271ECB3-77D9-4EA4-AE0E-92E793B719E8}"/>
    <cellStyle name="Millares 11 2 14" xfId="7148" xr:uid="{1BB49E2C-0E12-48B0-A4E6-38EB292C7AD9}"/>
    <cellStyle name="Millares 11 2 15" xfId="8820" xr:uid="{45BC104A-703B-4C37-BE18-A7649F5D78AA}"/>
    <cellStyle name="Millares 11 2 2" xfId="3082" xr:uid="{6B721C7F-9BDE-46E0-9C44-7AF4C7901BAC}"/>
    <cellStyle name="Millares 11 2 2 2" xfId="4363" xr:uid="{F2770D4C-1813-4C05-9D1F-6A9B8F823169}"/>
    <cellStyle name="Millares 11 2 2 2 2" xfId="6036" xr:uid="{82B6C96A-A2E7-4469-ABF3-E3FFE09800BB}"/>
    <cellStyle name="Millares 11 2 2 2 3" xfId="7708" xr:uid="{F07D4495-9231-4999-8FC0-BFE04EE0DE34}"/>
    <cellStyle name="Millares 11 2 2 3" xfId="4920" xr:uid="{7567D6BC-86C7-4DFB-BDB5-090E5AD4399F}"/>
    <cellStyle name="Millares 11 2 2 3 2" xfId="6593" xr:uid="{1857C019-E406-41E2-9661-AB9E0A0658A1}"/>
    <cellStyle name="Millares 11 2 2 3 3" xfId="8265" xr:uid="{CF23B3F0-D808-49B5-B5EB-9B59DCE4CA14}"/>
    <cellStyle name="Millares 11 2 2 4" xfId="5478" xr:uid="{612284B9-785A-4AD7-BDA1-42592B6F7A62}"/>
    <cellStyle name="Millares 11 2 2 5" xfId="7150" xr:uid="{A64F02F1-AFB0-4D7C-A333-7BB7A9963ACB}"/>
    <cellStyle name="Millares 11 2 2 6" xfId="8822" xr:uid="{4A692482-F815-4120-874C-47E9D7B69803}"/>
    <cellStyle name="Millares 11 2 3" xfId="3083" xr:uid="{73EF6CF4-5D97-4B59-B5A0-54388563D059}"/>
    <cellStyle name="Millares 11 2 3 2" xfId="4364" xr:uid="{6C4E45FC-3E26-4852-B310-3D85D9F5F205}"/>
    <cellStyle name="Millares 11 2 3 2 2" xfId="6037" xr:uid="{A4F16EA3-57B3-4C7F-AE63-1860A6466FB3}"/>
    <cellStyle name="Millares 11 2 3 2 3" xfId="7709" xr:uid="{7D27AB25-1FFE-4261-A01C-B9F7BFD34B6E}"/>
    <cellStyle name="Millares 11 2 3 3" xfId="4921" xr:uid="{C3022213-7A77-4742-ACA4-311863DC1484}"/>
    <cellStyle name="Millares 11 2 3 3 2" xfId="6594" xr:uid="{4A0A857C-89D9-4DDF-A2D5-80B7C28B2BC3}"/>
    <cellStyle name="Millares 11 2 3 3 3" xfId="8266" xr:uid="{A63F742F-6509-4048-B7BE-707AC55F3C17}"/>
    <cellStyle name="Millares 11 2 3 4" xfId="5479" xr:uid="{8140938D-A8C2-4450-A3E0-1132FD8FD604}"/>
    <cellStyle name="Millares 11 2 3 5" xfId="7151" xr:uid="{22AE70F0-DB6F-4A13-A6D0-BB3D524CFAC6}"/>
    <cellStyle name="Millares 11 2 3 6" xfId="8823" xr:uid="{DC8126AA-334E-4253-B17C-6F333B30DBC5}"/>
    <cellStyle name="Millares 11 2 4" xfId="3084" xr:uid="{2C75F736-F5CF-480B-811E-126310D945BA}"/>
    <cellStyle name="Millares 11 2 4 2" xfId="4365" xr:uid="{C13A1C85-B77D-4836-A2CA-3C85D25887C1}"/>
    <cellStyle name="Millares 11 2 4 2 2" xfId="6038" xr:uid="{F096D57B-E453-4430-86CE-029DE3B5BE80}"/>
    <cellStyle name="Millares 11 2 4 2 3" xfId="7710" xr:uid="{2C910E78-3958-49AB-91AB-A9C3CC1078C3}"/>
    <cellStyle name="Millares 11 2 4 3" xfId="4922" xr:uid="{4B25EF6A-362B-4C2A-A3C9-AC8C5A1B63ED}"/>
    <cellStyle name="Millares 11 2 4 3 2" xfId="6595" xr:uid="{81663725-CB2C-4F70-A27B-ED6200044B5D}"/>
    <cellStyle name="Millares 11 2 4 3 3" xfId="8267" xr:uid="{8BC1F2E4-2C85-4454-9B76-7EFB812C79D2}"/>
    <cellStyle name="Millares 11 2 4 4" xfId="5480" xr:uid="{13188E0D-2ACE-4311-A814-658DD9680FAF}"/>
    <cellStyle name="Millares 11 2 4 5" xfId="7152" xr:uid="{333F3DE5-D7E0-4F25-9A8A-4DDB7694AC2D}"/>
    <cellStyle name="Millares 11 2 4 6" xfId="8824" xr:uid="{95D8E40C-2F61-4A52-8B9A-795E26009DBF}"/>
    <cellStyle name="Millares 11 2 5" xfId="3085" xr:uid="{35FADDA8-B636-48F4-A304-4E983B622EF2}"/>
    <cellStyle name="Millares 11 2 5 2" xfId="4366" xr:uid="{DA251017-8BA4-4B48-B16F-75DF095A6652}"/>
    <cellStyle name="Millares 11 2 5 2 2" xfId="6039" xr:uid="{7F670F26-769E-40A5-A615-111D451B373B}"/>
    <cellStyle name="Millares 11 2 5 2 3" xfId="7711" xr:uid="{19A40F47-D7AC-4463-BEC1-6399EFBC0ED3}"/>
    <cellStyle name="Millares 11 2 5 3" xfId="4923" xr:uid="{F0E7C383-B9AA-4EA6-8D6E-18E931D79899}"/>
    <cellStyle name="Millares 11 2 5 3 2" xfId="6596" xr:uid="{766A63BF-1F64-419A-9DC6-C0C3FEB6773A}"/>
    <cellStyle name="Millares 11 2 5 3 3" xfId="8268" xr:uid="{D77CFB97-FDC2-4E88-9705-0FEA89E210BE}"/>
    <cellStyle name="Millares 11 2 5 4" xfId="5481" xr:uid="{3806D8B4-1C2D-469B-BCCF-E405B35D7A56}"/>
    <cellStyle name="Millares 11 2 5 5" xfId="7153" xr:uid="{2345B483-0BF8-4232-9CED-4508F4A1F523}"/>
    <cellStyle name="Millares 11 2 5 6" xfId="8825" xr:uid="{2A35C577-211C-4072-AD9A-DA00E16E3CE7}"/>
    <cellStyle name="Millares 11 2 6" xfId="3086" xr:uid="{1D87BECD-D603-48C0-AA6C-08F137D03588}"/>
    <cellStyle name="Millares 11 2 6 2" xfId="4367" xr:uid="{9BE62A46-9AFE-4140-BB1E-6C5FE74B244A}"/>
    <cellStyle name="Millares 11 2 6 2 2" xfId="6040" xr:uid="{E4B3E7AA-08BC-41CF-B5B9-EA23DA8B7CC0}"/>
    <cellStyle name="Millares 11 2 6 2 3" xfId="7712" xr:uid="{C08D9542-3733-4813-9047-93277A04696F}"/>
    <cellStyle name="Millares 11 2 6 3" xfId="4924" xr:uid="{5EC47CF7-27D1-4A7F-B822-8E19276FEA38}"/>
    <cellStyle name="Millares 11 2 6 3 2" xfId="6597" xr:uid="{9180C0F7-7C97-429D-BBD2-10F58AE58048}"/>
    <cellStyle name="Millares 11 2 6 3 3" xfId="8269" xr:uid="{57969603-244F-4A04-9D22-A318AD65C4D4}"/>
    <cellStyle name="Millares 11 2 6 4" xfId="5482" xr:uid="{BD4A3D44-5238-4946-9889-9EDDC49D0A48}"/>
    <cellStyle name="Millares 11 2 6 5" xfId="7154" xr:uid="{F138B17F-B529-46CA-A9F0-DA3AEF2A2BC4}"/>
    <cellStyle name="Millares 11 2 6 6" xfId="8826" xr:uid="{559B56FE-F2C2-4A4B-BC67-8E4723B635BD}"/>
    <cellStyle name="Millares 11 2 7" xfId="3087" xr:uid="{5F09F96D-3D4F-43D5-9540-15DD0D6D534B}"/>
    <cellStyle name="Millares 11 2 7 2" xfId="4368" xr:uid="{504E9012-DCF5-490F-A3A0-43857F6F1ACD}"/>
    <cellStyle name="Millares 11 2 7 2 2" xfId="6041" xr:uid="{AE2DBEFA-AE64-47CE-805B-658E9CD7707E}"/>
    <cellStyle name="Millares 11 2 7 2 3" xfId="7713" xr:uid="{5050EC71-7FAD-449B-AC31-62D28ABC0ABE}"/>
    <cellStyle name="Millares 11 2 7 3" xfId="4925" xr:uid="{E4757639-CD8E-4584-8FF2-7D361CE71A5D}"/>
    <cellStyle name="Millares 11 2 7 3 2" xfId="6598" xr:uid="{E9BD3944-4B27-448B-8A79-E80A266E7DDD}"/>
    <cellStyle name="Millares 11 2 7 3 3" xfId="8270" xr:uid="{FBB35A5B-2B63-4F8F-8D85-3B3536BE291A}"/>
    <cellStyle name="Millares 11 2 7 4" xfId="5483" xr:uid="{EDE965D8-5053-42EE-A2AA-B796125162CE}"/>
    <cellStyle name="Millares 11 2 7 5" xfId="7155" xr:uid="{F7656889-D6A0-4E31-B467-47A00DEF498C}"/>
    <cellStyle name="Millares 11 2 7 6" xfId="8827" xr:uid="{7992BB65-239D-407F-91A6-275CF6ECEECA}"/>
    <cellStyle name="Millares 11 2 8" xfId="3088" xr:uid="{38F8D609-4513-439F-B033-260F3539E087}"/>
    <cellStyle name="Millares 11 2 8 2" xfId="4369" xr:uid="{EE859AA9-CE54-482F-8CC9-CA828AC0AD05}"/>
    <cellStyle name="Millares 11 2 8 2 2" xfId="6042" xr:uid="{4A71590E-21E1-4E40-852D-93821C45BA06}"/>
    <cellStyle name="Millares 11 2 8 2 3" xfId="7714" xr:uid="{FCB99953-B6DD-4A46-A9F1-B469EBB470A1}"/>
    <cellStyle name="Millares 11 2 8 3" xfId="4926" xr:uid="{357AAF96-8A2E-4173-A120-FE04F21B280E}"/>
    <cellStyle name="Millares 11 2 8 3 2" xfId="6599" xr:uid="{99A2CA6E-C5D3-4152-BA72-E4CFA44E05EB}"/>
    <cellStyle name="Millares 11 2 8 3 3" xfId="8271" xr:uid="{840A390F-C29D-482C-9A3D-D00C3960BFA8}"/>
    <cellStyle name="Millares 11 2 8 4" xfId="5484" xr:uid="{7118A2AC-769E-4905-A45E-1FC46B2B2B6A}"/>
    <cellStyle name="Millares 11 2 8 5" xfId="7156" xr:uid="{98E2F1E0-A8DB-4D34-BCD6-802648AFC99B}"/>
    <cellStyle name="Millares 11 2 8 6" xfId="8828" xr:uid="{297228CE-6445-47CC-A626-BFB84FA835B7}"/>
    <cellStyle name="Millares 11 2 9" xfId="3089" xr:uid="{2AF91E76-49C8-4EA9-96E0-12D90A7DF390}"/>
    <cellStyle name="Millares 11 2 9 2" xfId="4370" xr:uid="{9900FD4F-D839-4802-B3FF-3C0BB2D008C6}"/>
    <cellStyle name="Millares 11 2 9 2 2" xfId="6043" xr:uid="{68044C51-7B66-485F-9DF4-A3F87109D52F}"/>
    <cellStyle name="Millares 11 2 9 2 3" xfId="7715" xr:uid="{B851B97F-3404-43AC-AD68-BF8FB797B9FC}"/>
    <cellStyle name="Millares 11 2 9 3" xfId="4927" xr:uid="{20E121D1-50D5-4FE2-ABC5-8E894A06910E}"/>
    <cellStyle name="Millares 11 2 9 3 2" xfId="6600" xr:uid="{AA7B8D00-0A43-4165-B180-B15AE7D3B7EE}"/>
    <cellStyle name="Millares 11 2 9 3 3" xfId="8272" xr:uid="{6C7FCD17-D3E6-4F9D-B9D7-3DAB1A9B6CAE}"/>
    <cellStyle name="Millares 11 2 9 4" xfId="5485" xr:uid="{01F4A28B-3AA4-4DB0-9134-0AF562A465D6}"/>
    <cellStyle name="Millares 11 2 9 5" xfId="7157" xr:uid="{4EC00C19-5DA5-4811-8019-CD287AE88100}"/>
    <cellStyle name="Millares 11 2 9 6" xfId="8829" xr:uid="{7A297453-43AD-49EA-A6A0-4D2F8E4D4DF1}"/>
    <cellStyle name="Millares 11 3" xfId="3090" xr:uid="{A19A84EE-592F-47B3-8467-869435CFBF41}"/>
    <cellStyle name="Millares 11 3 10" xfId="3091" xr:uid="{F62F5A5B-F4AF-4C9E-81AA-FEBE58264A11}"/>
    <cellStyle name="Millares 11 3 10 2" xfId="4372" xr:uid="{5A372D08-3B41-4D7E-82BF-7D191D362A60}"/>
    <cellStyle name="Millares 11 3 10 2 2" xfId="6045" xr:uid="{CC810A32-29D5-478C-9C0D-5DAD3BCE5F29}"/>
    <cellStyle name="Millares 11 3 10 2 3" xfId="7717" xr:uid="{760220CB-D13A-4A47-AAAB-DE99A476495A}"/>
    <cellStyle name="Millares 11 3 10 3" xfId="4929" xr:uid="{E909CEEE-862A-434D-AB8E-59AC555B99BA}"/>
    <cellStyle name="Millares 11 3 10 3 2" xfId="6602" xr:uid="{BA4E472D-8C7F-4137-BD5D-604DDE8BE758}"/>
    <cellStyle name="Millares 11 3 10 3 3" xfId="8274" xr:uid="{B345DD77-E22E-4FD5-8C45-79B1CACF75D1}"/>
    <cellStyle name="Millares 11 3 10 4" xfId="5487" xr:uid="{32A6D5AE-D09E-4D85-B8B0-8C8BB18389F9}"/>
    <cellStyle name="Millares 11 3 10 5" xfId="7159" xr:uid="{61C74958-8810-400D-86E8-C81E56A8416E}"/>
    <cellStyle name="Millares 11 3 10 6" xfId="8831" xr:uid="{44541E9C-F8C3-4598-A012-6D20FEE532AE}"/>
    <cellStyle name="Millares 11 3 11" xfId="4371" xr:uid="{43394EEC-7BE6-406F-93DD-A72424CC7F1C}"/>
    <cellStyle name="Millares 11 3 11 2" xfId="6044" xr:uid="{C4F667A4-1223-452D-B3B7-AB0687178D18}"/>
    <cellStyle name="Millares 11 3 11 3" xfId="7716" xr:uid="{6614F2D0-1F78-4F07-BCD7-D034867E4A10}"/>
    <cellStyle name="Millares 11 3 12" xfId="4928" xr:uid="{F13C1D4C-2004-4099-9495-8401D768B65F}"/>
    <cellStyle name="Millares 11 3 12 2" xfId="6601" xr:uid="{9CAC0CD4-1CDD-4454-9A0A-50A76C1B5054}"/>
    <cellStyle name="Millares 11 3 12 3" xfId="8273" xr:uid="{9FD42294-3D33-49B4-AD55-7D5DA2FE2A0F}"/>
    <cellStyle name="Millares 11 3 13" xfId="5486" xr:uid="{564EA9B9-AD9D-4B0D-932D-A4783C3FB9CD}"/>
    <cellStyle name="Millares 11 3 14" xfId="7158" xr:uid="{84119B26-1058-43D4-8AC9-1F46E4586E16}"/>
    <cellStyle name="Millares 11 3 15" xfId="8830" xr:uid="{9E51720D-A839-4B35-A052-06E78FEB0026}"/>
    <cellStyle name="Millares 11 3 2" xfId="3092" xr:uid="{A8362C62-1D54-4F43-BBC3-95A96567A21B}"/>
    <cellStyle name="Millares 11 3 2 2" xfId="4373" xr:uid="{B796677C-5D24-4886-B2CF-4C02E736E8B0}"/>
    <cellStyle name="Millares 11 3 2 2 2" xfId="6046" xr:uid="{5667A6AC-F513-4ED5-A806-35A85B49D4AC}"/>
    <cellStyle name="Millares 11 3 2 2 3" xfId="7718" xr:uid="{1628A261-63EB-4CE3-B81B-5826717448D3}"/>
    <cellStyle name="Millares 11 3 2 3" xfId="4930" xr:uid="{3C739A0B-375B-4B32-A3B6-6843D045FE60}"/>
    <cellStyle name="Millares 11 3 2 3 2" xfId="6603" xr:uid="{9F92F3F5-C229-4B60-97FB-DA33C1195F01}"/>
    <cellStyle name="Millares 11 3 2 3 3" xfId="8275" xr:uid="{61AE94E9-6906-48C1-BD41-C017B4862C4E}"/>
    <cellStyle name="Millares 11 3 2 4" xfId="5488" xr:uid="{74007FB6-3C64-49C5-BB7D-65957EFE30B3}"/>
    <cellStyle name="Millares 11 3 2 5" xfId="7160" xr:uid="{5F876633-0831-4086-95A4-450FA0F15290}"/>
    <cellStyle name="Millares 11 3 2 6" xfId="8832" xr:uid="{5E8BF5F4-938B-460C-BAB7-8A266A436119}"/>
    <cellStyle name="Millares 11 3 3" xfId="3093" xr:uid="{BCEAC167-1033-4817-8456-C8B00317A7E7}"/>
    <cellStyle name="Millares 11 3 3 2" xfId="4374" xr:uid="{94537170-FF54-4BFD-AF9B-F19FA8749F63}"/>
    <cellStyle name="Millares 11 3 3 2 2" xfId="6047" xr:uid="{3F4BEFD5-C336-4F3C-9CD0-2049584D6292}"/>
    <cellStyle name="Millares 11 3 3 2 3" xfId="7719" xr:uid="{826C3710-8B1D-4218-98B1-F2DCC113BDC9}"/>
    <cellStyle name="Millares 11 3 3 3" xfId="4931" xr:uid="{DBA661D1-9518-4524-856A-CDA721DCBC2B}"/>
    <cellStyle name="Millares 11 3 3 3 2" xfId="6604" xr:uid="{86D20808-29FC-4DD5-A0EB-A5154A385363}"/>
    <cellStyle name="Millares 11 3 3 3 3" xfId="8276" xr:uid="{4C733B8E-D945-42BD-AB4F-4A1AEAE42D4B}"/>
    <cellStyle name="Millares 11 3 3 4" xfId="5489" xr:uid="{EF3C0626-9586-4A4C-BD21-7B8106CFC733}"/>
    <cellStyle name="Millares 11 3 3 5" xfId="7161" xr:uid="{01AB3D8A-BF06-4D09-8C7F-4D79347747BD}"/>
    <cellStyle name="Millares 11 3 3 6" xfId="8833" xr:uid="{373C59CB-F697-4239-BD22-60242FC984CC}"/>
    <cellStyle name="Millares 11 3 4" xfId="3094" xr:uid="{643836F8-8A5D-48CA-A5CF-5F1335328003}"/>
    <cellStyle name="Millares 11 3 4 2" xfId="4375" xr:uid="{F2D9617E-B3B4-4BFB-9CA6-798205C12D63}"/>
    <cellStyle name="Millares 11 3 4 2 2" xfId="6048" xr:uid="{963C0354-8053-41A8-B363-E46263778D2B}"/>
    <cellStyle name="Millares 11 3 4 2 3" xfId="7720" xr:uid="{8DC2D38A-E81A-4E92-ADF4-654928281E89}"/>
    <cellStyle name="Millares 11 3 4 3" xfId="4932" xr:uid="{D127AD27-AA98-4934-94E7-5EFF0B610BBB}"/>
    <cellStyle name="Millares 11 3 4 3 2" xfId="6605" xr:uid="{3D849B11-5562-4EDE-9810-53B0DF89C7E8}"/>
    <cellStyle name="Millares 11 3 4 3 3" xfId="8277" xr:uid="{47466BA6-E719-4057-AC49-E4857325E8EB}"/>
    <cellStyle name="Millares 11 3 4 4" xfId="5490" xr:uid="{FA64C074-8405-4BDD-A341-C682732ACE58}"/>
    <cellStyle name="Millares 11 3 4 5" xfId="7162" xr:uid="{AA3CB325-BD2E-4B72-AA90-E0D0BFFDCBBB}"/>
    <cellStyle name="Millares 11 3 4 6" xfId="8834" xr:uid="{D3C993EE-C052-4EAE-9DCA-CCD9E8793551}"/>
    <cellStyle name="Millares 11 3 5" xfId="3095" xr:uid="{E6369460-763E-4908-B6BE-F4A38ECA056E}"/>
    <cellStyle name="Millares 11 3 5 2" xfId="4376" xr:uid="{469138A4-802B-4B00-831F-95BED11E76C3}"/>
    <cellStyle name="Millares 11 3 5 2 2" xfId="6049" xr:uid="{9FCD1BC5-D1AF-46DB-863D-F2D19C34DF23}"/>
    <cellStyle name="Millares 11 3 5 2 3" xfId="7721" xr:uid="{B3B6601C-BABF-4596-ADA7-26685A79E9CC}"/>
    <cellStyle name="Millares 11 3 5 3" xfId="4933" xr:uid="{A56F4F7E-848D-4E29-B462-13F531E9151E}"/>
    <cellStyle name="Millares 11 3 5 3 2" xfId="6606" xr:uid="{B41923F0-43C6-4AE9-B956-079E88481FFC}"/>
    <cellStyle name="Millares 11 3 5 3 3" xfId="8278" xr:uid="{6C290953-02BE-410B-995D-A2BF39116592}"/>
    <cellStyle name="Millares 11 3 5 4" xfId="5491" xr:uid="{F738E280-15D1-49A3-85A3-199DD4379A5B}"/>
    <cellStyle name="Millares 11 3 5 5" xfId="7163" xr:uid="{42326A7A-1393-4500-BC38-1B5009911E26}"/>
    <cellStyle name="Millares 11 3 5 6" xfId="8835" xr:uid="{584EDEA7-E6AB-41B8-B261-0F32863A78DF}"/>
    <cellStyle name="Millares 11 3 6" xfId="3096" xr:uid="{0D615419-BD5C-4528-8935-C77160217212}"/>
    <cellStyle name="Millares 11 3 6 2" xfId="4377" xr:uid="{FF98A554-2D8C-4FF1-80DF-6C3CD6C0D39F}"/>
    <cellStyle name="Millares 11 3 6 2 2" xfId="6050" xr:uid="{8AFCB588-D4F8-4FA6-8509-C4FEA38429CB}"/>
    <cellStyle name="Millares 11 3 6 2 3" xfId="7722" xr:uid="{34B387C3-8B15-421D-8D7B-54EAEDD33D1B}"/>
    <cellStyle name="Millares 11 3 6 3" xfId="4934" xr:uid="{5C0D304D-D8CC-450E-A7DC-EFA6DAB1DE7F}"/>
    <cellStyle name="Millares 11 3 6 3 2" xfId="6607" xr:uid="{BB90B4D6-5B41-4539-A450-BBD161D9A01A}"/>
    <cellStyle name="Millares 11 3 6 3 3" xfId="8279" xr:uid="{6E51C631-D381-43F8-AD69-F14888D14F5B}"/>
    <cellStyle name="Millares 11 3 6 4" xfId="5492" xr:uid="{BC6412CB-4DF5-468D-81B5-3DB783188F7A}"/>
    <cellStyle name="Millares 11 3 6 5" xfId="7164" xr:uid="{9AF7E93F-B317-4CCB-931F-041BE3058FC2}"/>
    <cellStyle name="Millares 11 3 6 6" xfId="8836" xr:uid="{7D59DDF7-03B3-4E7F-8136-1B367AF97ABC}"/>
    <cellStyle name="Millares 11 3 7" xfId="3097" xr:uid="{CEA9200B-4E67-4932-A140-2D7F9C50D3E4}"/>
    <cellStyle name="Millares 11 3 7 2" xfId="4378" xr:uid="{E4DA662D-C7C4-40BD-B4F4-53062B563804}"/>
    <cellStyle name="Millares 11 3 7 2 2" xfId="6051" xr:uid="{5435CA8C-B159-45CF-938C-AFD52E29C672}"/>
    <cellStyle name="Millares 11 3 7 2 3" xfId="7723" xr:uid="{8678B391-3C21-4DDC-8CC7-C750CF482AD5}"/>
    <cellStyle name="Millares 11 3 7 3" xfId="4935" xr:uid="{38600AA0-5979-47C3-9C71-2E59DED71BB7}"/>
    <cellStyle name="Millares 11 3 7 3 2" xfId="6608" xr:uid="{B701443A-24AE-49E3-8988-462BA5F72566}"/>
    <cellStyle name="Millares 11 3 7 3 3" xfId="8280" xr:uid="{6C32FB25-2578-47A0-B734-3DE2DB8AFB9E}"/>
    <cellStyle name="Millares 11 3 7 4" xfId="5493" xr:uid="{8147BD43-3EE7-4C6F-ACA2-B4D2DBF5BD34}"/>
    <cellStyle name="Millares 11 3 7 5" xfId="7165" xr:uid="{D97EEB00-525B-43EC-B335-F51B60FFD0D5}"/>
    <cellStyle name="Millares 11 3 7 6" xfId="8837" xr:uid="{CEEBEFF8-9F0A-4B03-A9B3-4A04DD367A20}"/>
    <cellStyle name="Millares 11 3 8" xfId="3098" xr:uid="{FB357E9A-1715-4662-A818-537D58F1FE4A}"/>
    <cellStyle name="Millares 11 3 8 2" xfId="4379" xr:uid="{B58E7CEB-E0F1-4660-86C1-405A2A5542AB}"/>
    <cellStyle name="Millares 11 3 8 2 2" xfId="6052" xr:uid="{283F99F8-5436-447B-9210-149846508F25}"/>
    <cellStyle name="Millares 11 3 8 2 3" xfId="7724" xr:uid="{7D7FEFE2-0EE6-4A48-8E96-02129009BA10}"/>
    <cellStyle name="Millares 11 3 8 3" xfId="4936" xr:uid="{B38185AB-D4DB-4F5D-AF35-1B2AB4C2E626}"/>
    <cellStyle name="Millares 11 3 8 3 2" xfId="6609" xr:uid="{516956A5-7FEF-4E60-9674-E83E6F1278BB}"/>
    <cellStyle name="Millares 11 3 8 3 3" xfId="8281" xr:uid="{89DAD43D-5B5A-4A85-A9DC-D392AAD40C81}"/>
    <cellStyle name="Millares 11 3 8 4" xfId="5494" xr:uid="{E075F226-C3C2-4A34-B7D4-193C35AFA27D}"/>
    <cellStyle name="Millares 11 3 8 5" xfId="7166" xr:uid="{C824A303-1CE4-4012-8BEA-D9AEB8E99FC0}"/>
    <cellStyle name="Millares 11 3 8 6" xfId="8838" xr:uid="{40C9968C-4115-4D36-AA98-94DED1F67B31}"/>
    <cellStyle name="Millares 11 3 9" xfId="3099" xr:uid="{32B8CA48-9734-4800-8112-EF4A64DEBB89}"/>
    <cellStyle name="Millares 11 3 9 2" xfId="4380" xr:uid="{8A5FF89E-4D7A-4A30-93EF-4D868C7AA0D6}"/>
    <cellStyle name="Millares 11 3 9 2 2" xfId="6053" xr:uid="{4C4F3FAA-4C66-47A6-A021-85BA4F6BAE99}"/>
    <cellStyle name="Millares 11 3 9 2 3" xfId="7725" xr:uid="{609034AD-B195-4026-A494-929CFC164F44}"/>
    <cellStyle name="Millares 11 3 9 3" xfId="4937" xr:uid="{D2FB3B1F-FBE2-47B5-B050-4B935C347AFC}"/>
    <cellStyle name="Millares 11 3 9 3 2" xfId="6610" xr:uid="{167963F8-DF45-4AC1-B1A5-3B244236B0A6}"/>
    <cellStyle name="Millares 11 3 9 3 3" xfId="8282" xr:uid="{FADAB4AE-A024-43E2-A8AC-468460CEBB84}"/>
    <cellStyle name="Millares 11 3 9 4" xfId="5495" xr:uid="{313D49CC-9A25-45BC-80A0-870C6D722F00}"/>
    <cellStyle name="Millares 11 3 9 5" xfId="7167" xr:uid="{54DEAE69-7B5A-4F4C-9EA1-62DA86986933}"/>
    <cellStyle name="Millares 11 3 9 6" xfId="8839" xr:uid="{0F292C72-A71E-4EFE-980D-6A316471B83F}"/>
    <cellStyle name="Millares 11 4" xfId="3100" xr:uid="{E0A7F067-ECDD-41E7-88EC-818E27C323C2}"/>
    <cellStyle name="Millares 11 4 2" xfId="4381" xr:uid="{BD6441BE-4198-4A24-84B8-A6823E51F71D}"/>
    <cellStyle name="Millares 11 4 2 2" xfId="6054" xr:uid="{F44B6CF8-B917-4054-9DB4-7135AD2F4809}"/>
    <cellStyle name="Millares 11 4 2 3" xfId="7726" xr:uid="{FCB9D6AA-C7D5-4BBA-8243-4AF8CD87A4E1}"/>
    <cellStyle name="Millares 11 4 3" xfId="4938" xr:uid="{20723285-5D44-4B01-AAC9-772C3DB14566}"/>
    <cellStyle name="Millares 11 4 3 2" xfId="6611" xr:uid="{6387D332-A4F1-4666-AF03-706E5A7423E2}"/>
    <cellStyle name="Millares 11 4 3 3" xfId="8283" xr:uid="{98D9EF9E-98D5-4DB6-8079-BE66F1FF1FBE}"/>
    <cellStyle name="Millares 11 4 4" xfId="5496" xr:uid="{30362DA7-CB71-4431-BAA0-41643D111A49}"/>
    <cellStyle name="Millares 11 4 5" xfId="7168" xr:uid="{D1C07FC1-35DC-4449-9B33-DBEAE0A8EB64}"/>
    <cellStyle name="Millares 11 4 6" xfId="8840" xr:uid="{1CA48F4A-370B-4C78-9316-7B0556FB9288}"/>
    <cellStyle name="Millares 11 5" xfId="3101" xr:uid="{386F1965-E446-4195-9C3A-41F803628A2D}"/>
    <cellStyle name="Millares 11 5 2" xfId="4382" xr:uid="{57D193D9-87BD-441C-AD4F-8AA4979838BF}"/>
    <cellStyle name="Millares 11 5 2 2" xfId="6055" xr:uid="{26C27F3B-4E04-4FA0-B610-B18E732AA92B}"/>
    <cellStyle name="Millares 11 5 2 3" xfId="7727" xr:uid="{9A0CB66B-EAEE-403F-8C6B-9F7888D2D54F}"/>
    <cellStyle name="Millares 11 5 3" xfId="4939" xr:uid="{C06B2F23-C3BD-44F3-A53B-4613D84DCC68}"/>
    <cellStyle name="Millares 11 5 3 2" xfId="6612" xr:uid="{E246FEA9-C1BD-416F-8225-0991EB239FC6}"/>
    <cellStyle name="Millares 11 5 3 3" xfId="8284" xr:uid="{88D33C56-A849-4AB3-91A6-4621401BFFCB}"/>
    <cellStyle name="Millares 11 5 4" xfId="5497" xr:uid="{A4924EA3-EC71-4D1A-8CF8-984FE33E3BF7}"/>
    <cellStyle name="Millares 11 5 5" xfId="7169" xr:uid="{D4DE88F4-FDC8-41F4-B0E5-A8D1EB40C88D}"/>
    <cellStyle name="Millares 11 5 6" xfId="8841" xr:uid="{A4EBD1B3-016F-4F19-B6F1-8ACCB58EF89A}"/>
    <cellStyle name="Millares 11 6" xfId="3102" xr:uid="{5EA30E94-4518-449A-9CB2-2AC6246C1736}"/>
    <cellStyle name="Millares 11 6 2" xfId="4383" xr:uid="{3941814D-718E-4B62-95B4-472B63DEC0DE}"/>
    <cellStyle name="Millares 11 6 2 2" xfId="6056" xr:uid="{1F093E1F-2936-45A0-A5C1-BC782087B6CF}"/>
    <cellStyle name="Millares 11 6 2 3" xfId="7728" xr:uid="{B19C130B-D499-4991-B65A-9EEAA2A3CE48}"/>
    <cellStyle name="Millares 11 6 3" xfId="4940" xr:uid="{242951CA-92B1-4A06-A179-D359079C2DDC}"/>
    <cellStyle name="Millares 11 6 3 2" xfId="6613" xr:uid="{C33FB819-C031-47CA-A3D4-954364EB4F52}"/>
    <cellStyle name="Millares 11 6 3 3" xfId="8285" xr:uid="{4BD75F27-C7A4-4D54-ADCD-79AADB6426D1}"/>
    <cellStyle name="Millares 11 6 4" xfId="5498" xr:uid="{0B8F6583-81B0-4ADC-B757-77627BB8C540}"/>
    <cellStyle name="Millares 11 6 5" xfId="7170" xr:uid="{4E229EF4-D4D7-4F3F-A499-1925B8CCC6B8}"/>
    <cellStyle name="Millares 11 6 6" xfId="8842" xr:uid="{786AF62E-D1E1-4BD1-9B00-340C926B7896}"/>
    <cellStyle name="Millares 11 7" xfId="3103" xr:uid="{1FE76EB4-8F7C-46A1-8B64-F4E8BCEC0D72}"/>
    <cellStyle name="Millares 11 7 2" xfId="4384" xr:uid="{0C43DBE1-5952-4751-9251-15FE88DD2989}"/>
    <cellStyle name="Millares 11 7 2 2" xfId="6057" xr:uid="{34FD137C-392D-4273-9200-2A139F6544A6}"/>
    <cellStyle name="Millares 11 7 2 3" xfId="7729" xr:uid="{465AECAB-4DF2-445E-8DEB-71A715D51325}"/>
    <cellStyle name="Millares 11 7 3" xfId="4941" xr:uid="{5D8A5509-671A-4EFC-AA89-290D4B1DAD5A}"/>
    <cellStyle name="Millares 11 7 3 2" xfId="6614" xr:uid="{D67906BE-F585-4B66-8B49-E98ADEEDE587}"/>
    <cellStyle name="Millares 11 7 3 3" xfId="8286" xr:uid="{BD45315A-7311-4155-B937-C37ABC188A7E}"/>
    <cellStyle name="Millares 11 7 4" xfId="5499" xr:uid="{63702573-AC51-4806-B9F7-444A30FF3EEE}"/>
    <cellStyle name="Millares 11 7 5" xfId="7171" xr:uid="{CAAB54AA-4966-4B10-8C8A-A8227654671D}"/>
    <cellStyle name="Millares 11 7 6" xfId="8843" xr:uid="{AA3E92CB-C01A-4444-AE65-506B6272BBE0}"/>
    <cellStyle name="Millares 11 8" xfId="3104" xr:uid="{DC570EEF-8105-4F08-8344-18E0605BCB75}"/>
    <cellStyle name="Millares 11 8 2" xfId="4385" xr:uid="{69FC6008-3292-4CB4-AF24-A13F8E98FA6E}"/>
    <cellStyle name="Millares 11 8 2 2" xfId="6058" xr:uid="{C6ABFCF5-9CC9-441E-83CE-9241FAF63232}"/>
    <cellStyle name="Millares 11 8 2 3" xfId="7730" xr:uid="{952BFD3E-2FBE-4FA3-8F16-45E0CB34B11B}"/>
    <cellStyle name="Millares 11 8 3" xfId="4942" xr:uid="{53D0B128-217F-49FE-BBA1-10E542FEF5A9}"/>
    <cellStyle name="Millares 11 8 3 2" xfId="6615" xr:uid="{31974495-4B05-40AC-BB2E-18C1D34C8DDA}"/>
    <cellStyle name="Millares 11 8 3 3" xfId="8287" xr:uid="{720F2CAD-01F8-4FD8-B570-689DD55B9E4A}"/>
    <cellStyle name="Millares 11 8 4" xfId="5500" xr:uid="{FDC88063-893A-4960-AC78-CCF0CF4D729A}"/>
    <cellStyle name="Millares 11 8 5" xfId="7172" xr:uid="{BBF94C64-13CD-4269-B28C-7F224A2952B0}"/>
    <cellStyle name="Millares 11 8 6" xfId="8844" xr:uid="{3BFAA273-C523-4F29-B28D-8182C69464BA}"/>
    <cellStyle name="Millares 11 9" xfId="3105" xr:uid="{76560AF8-8B1D-47FF-83E7-43F135485AD9}"/>
    <cellStyle name="Millares 11 9 2" xfId="4386" xr:uid="{201B8CD8-FB92-44C5-86D6-BEABA70036C4}"/>
    <cellStyle name="Millares 11 9 2 2" xfId="6059" xr:uid="{61954769-F17A-4B9D-BE71-3FFEA7597F1C}"/>
    <cellStyle name="Millares 11 9 2 3" xfId="7731" xr:uid="{8791A53D-47EB-4BA4-A849-AC0E1432A8B5}"/>
    <cellStyle name="Millares 11 9 3" xfId="4943" xr:uid="{ADA112B1-A03D-4C00-AAF7-06F5AE7D3A26}"/>
    <cellStyle name="Millares 11 9 3 2" xfId="6616" xr:uid="{9A379639-C1B8-42DA-A865-854C8B27019D}"/>
    <cellStyle name="Millares 11 9 3 3" xfId="8288" xr:uid="{FF50EFD1-A348-4933-A3ED-ACAA66F65FF1}"/>
    <cellStyle name="Millares 11 9 4" xfId="5501" xr:uid="{EF46D275-904E-4066-BCC0-0D8AE5325FC5}"/>
    <cellStyle name="Millares 11 9 5" xfId="7173" xr:uid="{4D4BD3C0-81C6-4806-9609-0445790D768D}"/>
    <cellStyle name="Millares 11 9 6" xfId="8845" xr:uid="{EEE44A56-BE60-4357-919D-BA0A01DADAAA}"/>
    <cellStyle name="Millares 12" xfId="3106" xr:uid="{F8C92FD1-69BC-4729-AAF0-09E1787BC5A6}"/>
    <cellStyle name="Millares 12 10" xfId="3107" xr:uid="{0F342929-AD1C-45D0-A9EA-06C8CAE9FDBB}"/>
    <cellStyle name="Millares 12 10 2" xfId="4388" xr:uid="{3A4C9182-3EE9-48FA-85D4-FA93D26D0DBB}"/>
    <cellStyle name="Millares 12 10 2 2" xfId="6061" xr:uid="{FE9510F4-9EA1-489F-AC47-DA6CF18167D8}"/>
    <cellStyle name="Millares 12 10 2 3" xfId="7733" xr:uid="{088A082F-152F-4EEC-B140-30EC3B3DA53B}"/>
    <cellStyle name="Millares 12 10 3" xfId="4945" xr:uid="{3E41522F-EDF9-4034-9374-AFED8064D045}"/>
    <cellStyle name="Millares 12 10 3 2" xfId="6618" xr:uid="{EB27BFDC-3A53-4FD4-A05F-DCE7F351555A}"/>
    <cellStyle name="Millares 12 10 3 3" xfId="8290" xr:uid="{64E64D58-5646-41EE-81F5-41D4140087F9}"/>
    <cellStyle name="Millares 12 10 4" xfId="5503" xr:uid="{200F5CE7-7CCE-4CE8-B32B-BD7527AF9294}"/>
    <cellStyle name="Millares 12 10 5" xfId="7175" xr:uid="{2002FF49-CC1D-454B-8CDC-C3773AC0D6B7}"/>
    <cellStyle name="Millares 12 10 6" xfId="8847" xr:uid="{644D7621-E3E4-4FFF-B619-E3C84A6A9290}"/>
    <cellStyle name="Millares 12 11" xfId="3108" xr:uid="{EC3DF354-B34B-46E6-AF10-02FEB6AAE716}"/>
    <cellStyle name="Millares 12 11 2" xfId="4389" xr:uid="{3BFB77CC-7B54-4CBF-8114-5DD6F7EF3FEF}"/>
    <cellStyle name="Millares 12 11 2 2" xfId="6062" xr:uid="{CC419A5E-C2E8-4461-B198-C5C36516FD72}"/>
    <cellStyle name="Millares 12 11 2 3" xfId="7734" xr:uid="{8C7DDA1D-2742-4BA3-A3BE-6F0C011EA785}"/>
    <cellStyle name="Millares 12 11 3" xfId="4946" xr:uid="{103F1B94-0DC4-4AC1-8ACF-FB325C04DC63}"/>
    <cellStyle name="Millares 12 11 3 2" xfId="6619" xr:uid="{C034F7FD-EC98-4FD3-8B62-D72B6D9CFA7B}"/>
    <cellStyle name="Millares 12 11 3 3" xfId="8291" xr:uid="{D4B22493-56C1-4361-B868-C408E0D1557C}"/>
    <cellStyle name="Millares 12 11 4" xfId="5504" xr:uid="{6276AE33-5826-4BE9-BD1F-174C918D3715}"/>
    <cellStyle name="Millares 12 11 5" xfId="7176" xr:uid="{8683C3BC-7B7D-416D-9BF7-3D9D4C900673}"/>
    <cellStyle name="Millares 12 11 6" xfId="8848" xr:uid="{4CED31B6-57D0-4C43-9062-0B7E2C20C1A7}"/>
    <cellStyle name="Millares 12 12" xfId="3109" xr:uid="{AC574229-A633-4816-B67E-9F5BC4125154}"/>
    <cellStyle name="Millares 12 12 2" xfId="4390" xr:uid="{2BAB3F58-2AEF-4D92-BEF8-EB5F5DB1D006}"/>
    <cellStyle name="Millares 12 12 2 2" xfId="6063" xr:uid="{7690BEF2-4A00-4410-8D9D-30F55CF1B8CB}"/>
    <cellStyle name="Millares 12 12 2 3" xfId="7735" xr:uid="{CB5CBF6B-4EFB-4992-BD39-8C17AF5C73E7}"/>
    <cellStyle name="Millares 12 12 3" xfId="4947" xr:uid="{0F1FB2A1-B4A4-4463-97A3-5D9D2F0C61E7}"/>
    <cellStyle name="Millares 12 12 3 2" xfId="6620" xr:uid="{76529080-B6D6-4D3F-9EAB-5A8D1E61450D}"/>
    <cellStyle name="Millares 12 12 3 3" xfId="8292" xr:uid="{AA8C2E37-F265-4803-B160-23DC182B7699}"/>
    <cellStyle name="Millares 12 12 4" xfId="5505" xr:uid="{70358D16-CCF7-4331-A913-33FD4470D4C5}"/>
    <cellStyle name="Millares 12 12 5" xfId="7177" xr:uid="{8F5C363B-80BB-4479-B98B-DE50FF31EF76}"/>
    <cellStyle name="Millares 12 12 6" xfId="8849" xr:uid="{B1979AE5-72F5-46B4-B872-9B15B4F92169}"/>
    <cellStyle name="Millares 12 13" xfId="4387" xr:uid="{38202539-2E63-4331-84BD-3AC3164AE53B}"/>
    <cellStyle name="Millares 12 13 2" xfId="6060" xr:uid="{CAB77886-A37D-4105-B978-69B2B52A0881}"/>
    <cellStyle name="Millares 12 13 3" xfId="7732" xr:uid="{93BADFCF-53BA-45CD-A463-0084A1FC447E}"/>
    <cellStyle name="Millares 12 14" xfId="4944" xr:uid="{83C920F3-B5D1-483F-8919-2B226DDBE14E}"/>
    <cellStyle name="Millares 12 14 2" xfId="6617" xr:uid="{2ABD4217-C657-4120-B9FC-8B4BFAC06B47}"/>
    <cellStyle name="Millares 12 14 3" xfId="8289" xr:uid="{1482105F-04ED-4EC4-A60C-D2635213DA94}"/>
    <cellStyle name="Millares 12 15" xfId="5502" xr:uid="{89F4BD9B-9468-468E-B595-0C574F21C132}"/>
    <cellStyle name="Millares 12 16" xfId="7174" xr:uid="{54500D76-C96D-4109-89DC-D4B3C6D66CA8}"/>
    <cellStyle name="Millares 12 17" xfId="8846" xr:uid="{587FABE9-E9FE-4987-A098-8EDA9737C5B8}"/>
    <cellStyle name="Millares 12 2" xfId="3110" xr:uid="{F64C1ACE-EEF4-47EF-8792-814C6C9B71EF}"/>
    <cellStyle name="Millares 12 2 10" xfId="3111" xr:uid="{2AC44B31-451C-4F71-A86A-13A0EEE56112}"/>
    <cellStyle name="Millares 12 2 10 2" xfId="4392" xr:uid="{5BBB05F2-4597-4532-9B42-5CDB5DE06F55}"/>
    <cellStyle name="Millares 12 2 10 2 2" xfId="6065" xr:uid="{0FDB704D-6370-41B8-8F4B-85181AD08BC1}"/>
    <cellStyle name="Millares 12 2 10 2 3" xfId="7737" xr:uid="{FACBE8A6-A787-41AE-B727-089B4E528851}"/>
    <cellStyle name="Millares 12 2 10 3" xfId="4949" xr:uid="{BBCC8F8B-DE52-42D8-A9EF-EB86CDBA80ED}"/>
    <cellStyle name="Millares 12 2 10 3 2" xfId="6622" xr:uid="{BC8D9728-EFEE-40D0-A256-FD1DE95C101D}"/>
    <cellStyle name="Millares 12 2 10 3 3" xfId="8294" xr:uid="{D3F9BA92-CD7E-4C5A-9267-DC27E5619E33}"/>
    <cellStyle name="Millares 12 2 10 4" xfId="5507" xr:uid="{1E24F325-2714-4546-9F57-BC301CDCEDF6}"/>
    <cellStyle name="Millares 12 2 10 5" xfId="7179" xr:uid="{F844292E-C225-4E22-BF95-A35BA8AA648F}"/>
    <cellStyle name="Millares 12 2 10 6" xfId="8851" xr:uid="{1A11AB47-416E-4F6E-8BBC-6636585B1A47}"/>
    <cellStyle name="Millares 12 2 11" xfId="4391" xr:uid="{CB5ECE79-8708-4540-AD90-2004D606CEFC}"/>
    <cellStyle name="Millares 12 2 11 2" xfId="6064" xr:uid="{E397F87C-6B62-48F0-AA86-8C08E1672AF5}"/>
    <cellStyle name="Millares 12 2 11 3" xfId="7736" xr:uid="{05073F01-8C13-49FE-A133-81DF171AA17D}"/>
    <cellStyle name="Millares 12 2 12" xfId="4948" xr:uid="{86C629B7-4DE7-4E04-B245-7FE3F0B0DA39}"/>
    <cellStyle name="Millares 12 2 12 2" xfId="6621" xr:uid="{62CC3223-0225-461D-9B0C-9665FFBDD7BF}"/>
    <cellStyle name="Millares 12 2 12 3" xfId="8293" xr:uid="{AA14DFD4-530F-4342-9C46-263542873276}"/>
    <cellStyle name="Millares 12 2 13" xfId="5506" xr:uid="{BA8318E9-1364-46D5-A29F-39BBEE482B66}"/>
    <cellStyle name="Millares 12 2 14" xfId="7178" xr:uid="{4CB2B29C-68DC-4293-8E67-B92B281BF76B}"/>
    <cellStyle name="Millares 12 2 15" xfId="8850" xr:uid="{484D1AC9-80D4-4372-9306-D7451F304C20}"/>
    <cellStyle name="Millares 12 2 2" xfId="3112" xr:uid="{DD9984C5-3848-4B8D-8D0E-FB77EADD6C81}"/>
    <cellStyle name="Millares 12 2 2 2" xfId="4393" xr:uid="{0F570F46-3CCC-4871-888D-C94B5DA14BA7}"/>
    <cellStyle name="Millares 12 2 2 2 2" xfId="6066" xr:uid="{635A00AD-352C-4C59-97A2-3404903BA54D}"/>
    <cellStyle name="Millares 12 2 2 2 3" xfId="7738" xr:uid="{C48240E3-8096-476E-B43B-8AC9C207E1D0}"/>
    <cellStyle name="Millares 12 2 2 3" xfId="4950" xr:uid="{1D4305AC-7040-418D-AB09-F828BEBCA38C}"/>
    <cellStyle name="Millares 12 2 2 3 2" xfId="6623" xr:uid="{03060568-53B3-499B-9830-FBE4A7057A4A}"/>
    <cellStyle name="Millares 12 2 2 3 3" xfId="8295" xr:uid="{1FF54F49-890E-455A-A6A4-B6482D84C232}"/>
    <cellStyle name="Millares 12 2 2 4" xfId="5508" xr:uid="{24FF514B-EC60-40D3-A34A-52828F8095D5}"/>
    <cellStyle name="Millares 12 2 2 5" xfId="7180" xr:uid="{BE298D9A-6582-4C8A-8544-BCB7ED3A1898}"/>
    <cellStyle name="Millares 12 2 2 6" xfId="8852" xr:uid="{D47B41DB-1266-450C-B587-C5E1BD9AD5CA}"/>
    <cellStyle name="Millares 12 2 3" xfId="3113" xr:uid="{6375C71C-CD8D-4B3A-A429-A8B846F061E2}"/>
    <cellStyle name="Millares 12 2 3 2" xfId="4394" xr:uid="{05C82E97-B91F-4117-93FA-E86105040924}"/>
    <cellStyle name="Millares 12 2 3 2 2" xfId="6067" xr:uid="{2CC88C21-B822-492E-9093-CE9FBCFB0DA6}"/>
    <cellStyle name="Millares 12 2 3 2 3" xfId="7739" xr:uid="{D6AC164B-2D09-483D-BE4D-B813BD709B83}"/>
    <cellStyle name="Millares 12 2 3 3" xfId="4951" xr:uid="{D0FBB44D-0830-462F-A45C-E7A1F762A9F9}"/>
    <cellStyle name="Millares 12 2 3 3 2" xfId="6624" xr:uid="{CC431FF1-2436-4ABA-B92F-3C3005E249DD}"/>
    <cellStyle name="Millares 12 2 3 3 3" xfId="8296" xr:uid="{EF4E07AA-FFD0-4CA8-8F42-123702654F7B}"/>
    <cellStyle name="Millares 12 2 3 4" xfId="5509" xr:uid="{C61A2DE2-002A-4135-A30B-8F5539E66450}"/>
    <cellStyle name="Millares 12 2 3 5" xfId="7181" xr:uid="{5510E765-4884-4E7D-B808-DB4EC545438F}"/>
    <cellStyle name="Millares 12 2 3 6" xfId="8853" xr:uid="{09E24402-BA46-4381-A859-A99E9FFD67C5}"/>
    <cellStyle name="Millares 12 2 4" xfId="3114" xr:uid="{B6956F78-7F95-4E96-B269-78228D9014C9}"/>
    <cellStyle name="Millares 12 2 4 2" xfId="4395" xr:uid="{67A65646-7E14-4C2F-947D-EA3E3A7AAE8F}"/>
    <cellStyle name="Millares 12 2 4 2 2" xfId="6068" xr:uid="{9DAB8429-87F6-4BB2-8343-F08172B45C3B}"/>
    <cellStyle name="Millares 12 2 4 2 3" xfId="7740" xr:uid="{BFC5E9A5-0589-4D58-88BD-CFAC017BCA08}"/>
    <cellStyle name="Millares 12 2 4 3" xfId="4952" xr:uid="{A48500BA-CB70-4F4B-9C1B-FE95C9A24496}"/>
    <cellStyle name="Millares 12 2 4 3 2" xfId="6625" xr:uid="{2B6B1700-0784-4A37-9A9C-C9C3ECD7717E}"/>
    <cellStyle name="Millares 12 2 4 3 3" xfId="8297" xr:uid="{76C53B9F-51DE-4F85-8D0E-D4C82B3BAE53}"/>
    <cellStyle name="Millares 12 2 4 4" xfId="5510" xr:uid="{4BA0B855-EFF5-42E8-BF98-76D64FDD8F43}"/>
    <cellStyle name="Millares 12 2 4 5" xfId="7182" xr:uid="{7418BE0A-9363-429B-9CF6-42F9A2CB1456}"/>
    <cellStyle name="Millares 12 2 4 6" xfId="8854" xr:uid="{1C0A9201-F18F-4648-ACFD-198FFA1CEA40}"/>
    <cellStyle name="Millares 12 2 5" xfId="3115" xr:uid="{7BBB29DA-2ED6-4D52-B71F-BE31BDE61579}"/>
    <cellStyle name="Millares 12 2 5 2" xfId="4396" xr:uid="{BC6E6BEF-55E0-4360-B276-FD424B49B31D}"/>
    <cellStyle name="Millares 12 2 5 2 2" xfId="6069" xr:uid="{BD5DEA0D-8885-49D5-8BA9-78257A036398}"/>
    <cellStyle name="Millares 12 2 5 2 3" xfId="7741" xr:uid="{9F3A9709-8776-4B2D-8FC5-D210107A616E}"/>
    <cellStyle name="Millares 12 2 5 3" xfId="4953" xr:uid="{3517CE33-0790-45D0-B068-D85CE0C2AA33}"/>
    <cellStyle name="Millares 12 2 5 3 2" xfId="6626" xr:uid="{0E800595-02E4-412A-957F-FCDC0C2CDEEA}"/>
    <cellStyle name="Millares 12 2 5 3 3" xfId="8298" xr:uid="{D91ACBB9-D62B-4265-9620-9260217D734F}"/>
    <cellStyle name="Millares 12 2 5 4" xfId="5511" xr:uid="{CF6FDCBB-B1B0-4B59-85B3-5B029DDF17EE}"/>
    <cellStyle name="Millares 12 2 5 5" xfId="7183" xr:uid="{ABDBEF24-E734-4B69-800A-85614A9CE3DE}"/>
    <cellStyle name="Millares 12 2 5 6" xfId="8855" xr:uid="{5E10F6ED-FBF7-4062-AFDD-4C08355DC8C1}"/>
    <cellStyle name="Millares 12 2 6" xfId="3116" xr:uid="{454B1BA3-88FF-414E-8114-9819B503FD95}"/>
    <cellStyle name="Millares 12 2 6 2" xfId="4397" xr:uid="{46E83A7C-1B7F-4914-97AB-68EB1226DA24}"/>
    <cellStyle name="Millares 12 2 6 2 2" xfId="6070" xr:uid="{54D821FE-77DE-428F-AC52-C939816ADC07}"/>
    <cellStyle name="Millares 12 2 6 2 3" xfId="7742" xr:uid="{B77E52B0-8685-4BE0-862E-2A5DBC65AA6C}"/>
    <cellStyle name="Millares 12 2 6 3" xfId="4954" xr:uid="{53522FBE-D71B-48E1-AC39-8513209BF6DB}"/>
    <cellStyle name="Millares 12 2 6 3 2" xfId="6627" xr:uid="{A85098AA-E777-4069-ADE8-30FDE2CCCCF5}"/>
    <cellStyle name="Millares 12 2 6 3 3" xfId="8299" xr:uid="{E2CEE3AE-1C96-4011-A1C2-549CEC5AE7D0}"/>
    <cellStyle name="Millares 12 2 6 4" xfId="5512" xr:uid="{EEC1DEDC-2F0E-49D8-99D8-2F30952944D2}"/>
    <cellStyle name="Millares 12 2 6 5" xfId="7184" xr:uid="{969DCA8A-3D6E-478D-B73E-1D9B54802027}"/>
    <cellStyle name="Millares 12 2 6 6" xfId="8856" xr:uid="{8919FDE7-89DB-4648-BF54-93533338D703}"/>
    <cellStyle name="Millares 12 2 7" xfId="3117" xr:uid="{1EF83EC7-9456-486E-A4A4-282DE3CB7476}"/>
    <cellStyle name="Millares 12 2 7 2" xfId="4398" xr:uid="{22117A08-02AB-4A99-A95B-2AB086731C5A}"/>
    <cellStyle name="Millares 12 2 7 2 2" xfId="6071" xr:uid="{9EED8634-BE89-4EC5-B776-D3C76799B2B5}"/>
    <cellStyle name="Millares 12 2 7 2 3" xfId="7743" xr:uid="{BA153132-1B52-4D9F-BA05-9D38C474669F}"/>
    <cellStyle name="Millares 12 2 7 3" xfId="4955" xr:uid="{42A20B02-339D-4398-9F31-D5D861F37C4B}"/>
    <cellStyle name="Millares 12 2 7 3 2" xfId="6628" xr:uid="{9D0ACC90-C0D1-47A3-B400-68AC460B39AF}"/>
    <cellStyle name="Millares 12 2 7 3 3" xfId="8300" xr:uid="{16847730-726B-47F1-BF62-F79A65F44DB8}"/>
    <cellStyle name="Millares 12 2 7 4" xfId="5513" xr:uid="{CD9C43B7-BDBF-4B61-8174-3EF3164E13F1}"/>
    <cellStyle name="Millares 12 2 7 5" xfId="7185" xr:uid="{6C003403-0FEE-462E-9CBD-C9C1B4B67D71}"/>
    <cellStyle name="Millares 12 2 7 6" xfId="8857" xr:uid="{F973F248-CFAA-420F-BF7E-B9CC9B78DF12}"/>
    <cellStyle name="Millares 12 2 8" xfId="3118" xr:uid="{1C10634C-C4D4-47E4-9A25-526E91CE4BA6}"/>
    <cellStyle name="Millares 12 2 8 2" xfId="4399" xr:uid="{262B3543-E2A6-4A0A-A483-1CF3D9F3CE41}"/>
    <cellStyle name="Millares 12 2 8 2 2" xfId="6072" xr:uid="{69F8D202-80FE-4B99-A1E7-B22CCC281802}"/>
    <cellStyle name="Millares 12 2 8 2 3" xfId="7744" xr:uid="{3B33867A-E126-46BC-9419-BA347C2A14E7}"/>
    <cellStyle name="Millares 12 2 8 3" xfId="4956" xr:uid="{D25DBBBF-AE60-4593-B478-F210F389BF03}"/>
    <cellStyle name="Millares 12 2 8 3 2" xfId="6629" xr:uid="{608851D3-1A06-4C46-9D71-54E055FA8967}"/>
    <cellStyle name="Millares 12 2 8 3 3" xfId="8301" xr:uid="{7DFF34CD-FD2B-452C-8A75-07398FAC6820}"/>
    <cellStyle name="Millares 12 2 8 4" xfId="5514" xr:uid="{94533D3E-DB59-4CAB-8C76-515331CA62F4}"/>
    <cellStyle name="Millares 12 2 8 5" xfId="7186" xr:uid="{B0351BB9-606A-447D-B028-2200EEE4950E}"/>
    <cellStyle name="Millares 12 2 8 6" xfId="8858" xr:uid="{66924555-BBB4-472C-80FA-BFBE550906E9}"/>
    <cellStyle name="Millares 12 2 9" xfId="3119" xr:uid="{678F1AC2-3281-4DB4-B15C-D375B6D90BEC}"/>
    <cellStyle name="Millares 12 2 9 2" xfId="4400" xr:uid="{F7042B22-D95F-406A-95E7-F58AEFA7373F}"/>
    <cellStyle name="Millares 12 2 9 2 2" xfId="6073" xr:uid="{10A32ADC-62EA-46EC-8E42-C6DDE0CD9FB8}"/>
    <cellStyle name="Millares 12 2 9 2 3" xfId="7745" xr:uid="{8B14A40C-E80C-4D2E-82FC-3FAB83BB74AB}"/>
    <cellStyle name="Millares 12 2 9 3" xfId="4957" xr:uid="{D60BA95E-3C64-4505-9235-11B31BD25FB5}"/>
    <cellStyle name="Millares 12 2 9 3 2" xfId="6630" xr:uid="{F1D7ABE9-8F6B-4E04-B344-35DA94D6E0FB}"/>
    <cellStyle name="Millares 12 2 9 3 3" xfId="8302" xr:uid="{A2A6A8CF-E192-4774-B6F7-C14C339724D7}"/>
    <cellStyle name="Millares 12 2 9 4" xfId="5515" xr:uid="{201DE940-03AB-42F1-9286-850BEB4B4DDD}"/>
    <cellStyle name="Millares 12 2 9 5" xfId="7187" xr:uid="{088D4CB2-BFED-485D-A6DF-67DA03055534}"/>
    <cellStyle name="Millares 12 2 9 6" xfId="8859" xr:uid="{0D78DFEB-F04F-4B01-9EB9-D97ABC188394}"/>
    <cellStyle name="Millares 12 3" xfId="3120" xr:uid="{1DFFADC1-86B2-4E43-AA30-C54642F95824}"/>
    <cellStyle name="Millares 12 3 10" xfId="3121" xr:uid="{3AEF1B95-1295-4DE2-B482-3D745F96F456}"/>
    <cellStyle name="Millares 12 3 10 2" xfId="4402" xr:uid="{220962AF-205B-4DEB-96D5-084FE71D6385}"/>
    <cellStyle name="Millares 12 3 10 2 2" xfId="6075" xr:uid="{DF655732-4265-402A-9C7E-8AF83C411081}"/>
    <cellStyle name="Millares 12 3 10 2 3" xfId="7747" xr:uid="{00E6B446-E567-4BB5-9627-BBA503BD5B08}"/>
    <cellStyle name="Millares 12 3 10 3" xfId="4959" xr:uid="{76D2A9F3-1C41-4DA0-80E4-579999A48A62}"/>
    <cellStyle name="Millares 12 3 10 3 2" xfId="6632" xr:uid="{84F04241-88DF-407C-BC32-1D055912D89B}"/>
    <cellStyle name="Millares 12 3 10 3 3" xfId="8304" xr:uid="{ECA2E8EB-8321-4FD9-9932-FCF0AC280AD7}"/>
    <cellStyle name="Millares 12 3 10 4" xfId="5517" xr:uid="{6E72827E-CA68-4841-8919-B34826A29E4F}"/>
    <cellStyle name="Millares 12 3 10 5" xfId="7189" xr:uid="{50CF633A-C915-4FE4-B53A-386387AEB110}"/>
    <cellStyle name="Millares 12 3 10 6" xfId="8861" xr:uid="{B5B5650E-E1ED-449E-AE9F-B11C06643492}"/>
    <cellStyle name="Millares 12 3 11" xfId="4401" xr:uid="{EBF28AB7-F26F-4EFC-B622-EF7EB18E530B}"/>
    <cellStyle name="Millares 12 3 11 2" xfId="6074" xr:uid="{9B47D688-FA14-4A9F-9886-BD9686D4F035}"/>
    <cellStyle name="Millares 12 3 11 3" xfId="7746" xr:uid="{F3E4BF61-D9CC-4EB3-9B84-F4FF9B8982A4}"/>
    <cellStyle name="Millares 12 3 12" xfId="4958" xr:uid="{B812E31F-3171-4D10-A60A-AF7127ED3BEE}"/>
    <cellStyle name="Millares 12 3 12 2" xfId="6631" xr:uid="{61855FED-00FE-4373-9160-FD7B446AAA41}"/>
    <cellStyle name="Millares 12 3 12 3" xfId="8303" xr:uid="{3798BF90-8019-4176-B7E7-B5E5C796C049}"/>
    <cellStyle name="Millares 12 3 13" xfId="5516" xr:uid="{2802A837-05B7-4103-9CDD-B5FDF63FE4B9}"/>
    <cellStyle name="Millares 12 3 14" xfId="7188" xr:uid="{A67EF565-41D8-41C8-9BBB-3A4D2D1250B4}"/>
    <cellStyle name="Millares 12 3 15" xfId="8860" xr:uid="{0519195C-1EAA-4CC7-AE9F-77A44C260D4F}"/>
    <cellStyle name="Millares 12 3 2" xfId="3122" xr:uid="{7E775CA6-A799-4A1E-BCC8-2ABDE0BC213A}"/>
    <cellStyle name="Millares 12 3 2 2" xfId="4403" xr:uid="{5DECD857-32A2-4582-82EB-8E4D1180CE4A}"/>
    <cellStyle name="Millares 12 3 2 2 2" xfId="6076" xr:uid="{B316066B-F33B-4F97-ACD0-5AE8B6AE5611}"/>
    <cellStyle name="Millares 12 3 2 2 3" xfId="7748" xr:uid="{46F01398-489F-4926-B5AC-4BD9E44ACACA}"/>
    <cellStyle name="Millares 12 3 2 3" xfId="4960" xr:uid="{31DF9C18-7D77-4208-B79B-56BEB6986DCC}"/>
    <cellStyle name="Millares 12 3 2 3 2" xfId="6633" xr:uid="{A708CA6B-5820-4E7D-9562-167E97B374BC}"/>
    <cellStyle name="Millares 12 3 2 3 3" xfId="8305" xr:uid="{90E8AA93-3EC3-4419-AE8B-FBE89A7E1751}"/>
    <cellStyle name="Millares 12 3 2 4" xfId="5518" xr:uid="{C9C4251A-CB4C-418A-B4D2-BA585478472B}"/>
    <cellStyle name="Millares 12 3 2 5" xfId="7190" xr:uid="{1DFD373B-652D-4C97-85A2-815254A1F2D2}"/>
    <cellStyle name="Millares 12 3 2 6" xfId="8862" xr:uid="{35C11D85-32FE-4D3F-90E4-DD636A2CB568}"/>
    <cellStyle name="Millares 12 3 3" xfId="3123" xr:uid="{3E6B8F07-7B1A-41CA-88E2-84EEFA7486C7}"/>
    <cellStyle name="Millares 12 3 3 2" xfId="4404" xr:uid="{2665208A-F822-4BFE-B696-00074BE4E829}"/>
    <cellStyle name="Millares 12 3 3 2 2" xfId="6077" xr:uid="{0536C477-E34F-4937-AB91-758135E8A813}"/>
    <cellStyle name="Millares 12 3 3 2 3" xfId="7749" xr:uid="{D85F725D-4721-4C3C-ACC4-DA67101A72BF}"/>
    <cellStyle name="Millares 12 3 3 3" xfId="4961" xr:uid="{4973F44A-6090-472E-9BB4-2150C2CE8F74}"/>
    <cellStyle name="Millares 12 3 3 3 2" xfId="6634" xr:uid="{F58ACADB-4E66-4D3C-BE8A-4AA3974A50BB}"/>
    <cellStyle name="Millares 12 3 3 3 3" xfId="8306" xr:uid="{20A49FC9-319C-4848-9664-5867599505B9}"/>
    <cellStyle name="Millares 12 3 3 4" xfId="5519" xr:uid="{4A087238-73A2-4951-B89E-C6FB914F4718}"/>
    <cellStyle name="Millares 12 3 3 5" xfId="7191" xr:uid="{1EB129D5-8C8F-4077-97E0-D789066DBEF4}"/>
    <cellStyle name="Millares 12 3 3 6" xfId="8863" xr:uid="{B463006F-5BA2-44EF-BC88-7AD16386AE18}"/>
    <cellStyle name="Millares 12 3 4" xfId="3124" xr:uid="{DA66E8ED-7D9F-475A-8EB2-C3AE6E7F4B39}"/>
    <cellStyle name="Millares 12 3 4 2" xfId="4405" xr:uid="{F0B81FD4-3C5F-4EF8-AEDC-9F9C13066D07}"/>
    <cellStyle name="Millares 12 3 4 2 2" xfId="6078" xr:uid="{2846BC28-7867-4B4F-9E1B-05F99DD8F572}"/>
    <cellStyle name="Millares 12 3 4 2 3" xfId="7750" xr:uid="{9BA960CD-1DE8-4600-81EB-851B8EC006CB}"/>
    <cellStyle name="Millares 12 3 4 3" xfId="4962" xr:uid="{D2A2439D-2BA0-4678-B821-56F929F2FF2D}"/>
    <cellStyle name="Millares 12 3 4 3 2" xfId="6635" xr:uid="{139EDA04-2FDE-4366-89D3-4B6E080BE0DE}"/>
    <cellStyle name="Millares 12 3 4 3 3" xfId="8307" xr:uid="{D0EB2B0A-D648-4DA9-B0AA-DDE4ADF0FCB7}"/>
    <cellStyle name="Millares 12 3 4 4" xfId="5520" xr:uid="{3A25899E-63B4-412D-80D3-B99DA8239260}"/>
    <cellStyle name="Millares 12 3 4 5" xfId="7192" xr:uid="{A46B4A71-F9C0-4EAE-8D98-D1FD62F898D7}"/>
    <cellStyle name="Millares 12 3 4 6" xfId="8864" xr:uid="{77FCF848-5115-4FBC-9786-C8F155212339}"/>
    <cellStyle name="Millares 12 3 5" xfId="3125" xr:uid="{3F084240-5732-49A2-B82F-DCB0CF495B3F}"/>
    <cellStyle name="Millares 12 3 5 2" xfId="4406" xr:uid="{141D5C98-1C23-42EF-9377-5E4DF68D43DB}"/>
    <cellStyle name="Millares 12 3 5 2 2" xfId="6079" xr:uid="{8F0BFECB-688B-418A-AAEA-D0DBDF82586B}"/>
    <cellStyle name="Millares 12 3 5 2 3" xfId="7751" xr:uid="{2286DDE5-6EFE-48C0-BF6B-ADD3EAD82002}"/>
    <cellStyle name="Millares 12 3 5 3" xfId="4963" xr:uid="{086839DF-B9B5-4266-8268-110A2FE5DA58}"/>
    <cellStyle name="Millares 12 3 5 3 2" xfId="6636" xr:uid="{8552D570-82F7-4C3F-AB16-FF1FB55A6FD1}"/>
    <cellStyle name="Millares 12 3 5 3 3" xfId="8308" xr:uid="{276FC4C0-BA1C-4872-9D32-F061FFAE6D51}"/>
    <cellStyle name="Millares 12 3 5 4" xfId="5521" xr:uid="{7CEC73B7-3767-4EA2-BE15-329CEAA265C6}"/>
    <cellStyle name="Millares 12 3 5 5" xfId="7193" xr:uid="{13BFEDE2-BE56-4E33-A729-F9C6DFBDFF42}"/>
    <cellStyle name="Millares 12 3 5 6" xfId="8865" xr:uid="{572E6B89-CD38-445E-8915-27C4F0E4EBDA}"/>
    <cellStyle name="Millares 12 3 6" xfId="3126" xr:uid="{11787578-521D-4065-A150-A7FE5CC75FA0}"/>
    <cellStyle name="Millares 12 3 6 2" xfId="4407" xr:uid="{EA7F549F-AB17-4BD7-BB61-1ADC50C7B2E5}"/>
    <cellStyle name="Millares 12 3 6 2 2" xfId="6080" xr:uid="{B636A6EB-0BE4-4379-A0B3-790A728B28C0}"/>
    <cellStyle name="Millares 12 3 6 2 3" xfId="7752" xr:uid="{C5C7BBE1-2A3D-467C-A414-ED6DA9C5D34C}"/>
    <cellStyle name="Millares 12 3 6 3" xfId="4964" xr:uid="{6C72F9D2-057B-4F31-B482-BA63E3129FB4}"/>
    <cellStyle name="Millares 12 3 6 3 2" xfId="6637" xr:uid="{537C9431-98A1-4A23-90A7-A16472A9E4CA}"/>
    <cellStyle name="Millares 12 3 6 3 3" xfId="8309" xr:uid="{C588D1DA-1131-4B82-8339-6C2D8F2AD6BE}"/>
    <cellStyle name="Millares 12 3 6 4" xfId="5522" xr:uid="{FA1CC825-1ED1-48EC-BCA0-FB73637504FC}"/>
    <cellStyle name="Millares 12 3 6 5" xfId="7194" xr:uid="{009B1A5F-AF6D-4002-BC99-EA5276F83A24}"/>
    <cellStyle name="Millares 12 3 6 6" xfId="8866" xr:uid="{F493C155-5807-4A68-A2EB-CD95D993FACC}"/>
    <cellStyle name="Millares 12 3 7" xfId="3127" xr:uid="{D47D188D-7934-4CDF-B418-E7124A695889}"/>
    <cellStyle name="Millares 12 3 7 2" xfId="4408" xr:uid="{8878D0D5-E775-4E06-9818-4B059B26C6F2}"/>
    <cellStyle name="Millares 12 3 7 2 2" xfId="6081" xr:uid="{52903C2A-6EFC-40E7-B287-E1E3A24A9497}"/>
    <cellStyle name="Millares 12 3 7 2 3" xfId="7753" xr:uid="{DEE8FBF4-2502-4DB7-A638-6385E7A50438}"/>
    <cellStyle name="Millares 12 3 7 3" xfId="4965" xr:uid="{576EA011-F94F-4F87-A806-1A118F1B8433}"/>
    <cellStyle name="Millares 12 3 7 3 2" xfId="6638" xr:uid="{568FB47A-3700-41F0-91D9-E363DFA1DA9F}"/>
    <cellStyle name="Millares 12 3 7 3 3" xfId="8310" xr:uid="{E4111E47-48B9-422A-868F-FF7BE0EF5E1C}"/>
    <cellStyle name="Millares 12 3 7 4" xfId="5523" xr:uid="{2DD6188B-23BE-4B32-B0F3-F8590A9E588B}"/>
    <cellStyle name="Millares 12 3 7 5" xfId="7195" xr:uid="{92CA4860-08F1-48BE-B787-E2D5BDD8B621}"/>
    <cellStyle name="Millares 12 3 7 6" xfId="8867" xr:uid="{68CB42A5-EE39-49D3-AAC4-F8268CE34D2A}"/>
    <cellStyle name="Millares 12 3 8" xfId="3128" xr:uid="{ACB74245-6A14-4089-A7D6-52032CBDE1E1}"/>
    <cellStyle name="Millares 12 3 8 2" xfId="4409" xr:uid="{9A869D49-64C5-46C1-99BB-CC910D71A764}"/>
    <cellStyle name="Millares 12 3 8 2 2" xfId="6082" xr:uid="{76D9D7F9-8D8B-4B17-8BCD-C5A2A8D97D40}"/>
    <cellStyle name="Millares 12 3 8 2 3" xfId="7754" xr:uid="{4411050E-A2D2-4EA9-BA82-146ED17813F2}"/>
    <cellStyle name="Millares 12 3 8 3" xfId="4966" xr:uid="{2B7B2F6F-991D-478F-A7DD-4CA75C7E38F9}"/>
    <cellStyle name="Millares 12 3 8 3 2" xfId="6639" xr:uid="{44FA593F-C41A-446D-8DDD-38DA89F1FE42}"/>
    <cellStyle name="Millares 12 3 8 3 3" xfId="8311" xr:uid="{C9C0A8BF-2EB3-4C27-BD8B-F45203AEF3B1}"/>
    <cellStyle name="Millares 12 3 8 4" xfId="5524" xr:uid="{931C477F-F116-4481-A055-24E2B35E4367}"/>
    <cellStyle name="Millares 12 3 8 5" xfId="7196" xr:uid="{482D377A-D9A3-486E-B872-FD4C91183108}"/>
    <cellStyle name="Millares 12 3 8 6" xfId="8868" xr:uid="{3B337331-B02C-42BD-8977-94E1BDA34EC8}"/>
    <cellStyle name="Millares 12 3 9" xfId="3129" xr:uid="{C2681648-3D73-42AB-B93A-20EFD2630E65}"/>
    <cellStyle name="Millares 12 3 9 2" xfId="4410" xr:uid="{2110B891-6B50-40C4-B8F4-FB89FC8D16B5}"/>
    <cellStyle name="Millares 12 3 9 2 2" xfId="6083" xr:uid="{02EBB7A1-B7EA-4B51-8230-1F20E41C0C9A}"/>
    <cellStyle name="Millares 12 3 9 2 3" xfId="7755" xr:uid="{872B7942-9EC1-4FA1-9A8B-7E2436A97E17}"/>
    <cellStyle name="Millares 12 3 9 3" xfId="4967" xr:uid="{AF67F1DE-2CE4-4BCB-A17D-4B89C8F56ABD}"/>
    <cellStyle name="Millares 12 3 9 3 2" xfId="6640" xr:uid="{6CC90D72-C34D-4D71-BA86-4344B5BECBD2}"/>
    <cellStyle name="Millares 12 3 9 3 3" xfId="8312" xr:uid="{5C9F907A-0B7F-40F3-A459-BB17B6B1DB4B}"/>
    <cellStyle name="Millares 12 3 9 4" xfId="5525" xr:uid="{C418E2A7-5A5C-4AD5-A0C2-17BC7C765C1B}"/>
    <cellStyle name="Millares 12 3 9 5" xfId="7197" xr:uid="{9FCC6CB0-C318-4E6F-B075-77F2EFF0EE86}"/>
    <cellStyle name="Millares 12 3 9 6" xfId="8869" xr:uid="{9C5978BB-A8F5-4A9F-86AB-4C1BC9F7697A}"/>
    <cellStyle name="Millares 12 4" xfId="3130" xr:uid="{490454C8-8D50-4F6D-9C2B-4C041DA1CBFB}"/>
    <cellStyle name="Millares 12 4 2" xfId="4411" xr:uid="{C1849652-0B53-4CE8-855E-FDD1B998437C}"/>
    <cellStyle name="Millares 12 4 2 2" xfId="6084" xr:uid="{FEE22923-ED00-417C-9CD6-8CB5B964A1CE}"/>
    <cellStyle name="Millares 12 4 2 3" xfId="7756" xr:uid="{4B546580-792E-48E3-9F17-D5E893458A2B}"/>
    <cellStyle name="Millares 12 4 3" xfId="4968" xr:uid="{D0B7AD47-11D3-4441-AEC2-2D056086F43C}"/>
    <cellStyle name="Millares 12 4 3 2" xfId="6641" xr:uid="{FDD47731-995E-4925-8C8C-DA39B922CAD6}"/>
    <cellStyle name="Millares 12 4 3 3" xfId="8313" xr:uid="{E5B6BE3E-518E-4E7F-B230-0B6C5B4B12DF}"/>
    <cellStyle name="Millares 12 4 4" xfId="5526" xr:uid="{F1380D6F-A03F-4511-8B3E-787838AD5CCA}"/>
    <cellStyle name="Millares 12 4 5" xfId="7198" xr:uid="{29F820B5-0A83-4343-B784-BC406203BB8C}"/>
    <cellStyle name="Millares 12 4 6" xfId="8870" xr:uid="{5134E3A7-90A5-4E3C-9E07-5E2EB3EB1634}"/>
    <cellStyle name="Millares 12 5" xfId="3131" xr:uid="{A59F2BE6-F042-4986-AA2B-F8988F4AC146}"/>
    <cellStyle name="Millares 12 5 2" xfId="4412" xr:uid="{9312DB12-84B9-405D-B5D5-A604B799E69C}"/>
    <cellStyle name="Millares 12 5 2 2" xfId="6085" xr:uid="{90E2F293-999B-4C4D-9049-4AA9A934BEC1}"/>
    <cellStyle name="Millares 12 5 2 3" xfId="7757" xr:uid="{46727072-755B-4B08-9094-41826DEE0265}"/>
    <cellStyle name="Millares 12 5 3" xfId="4969" xr:uid="{F8053955-0DEA-463A-B3D8-FD44F8E847EE}"/>
    <cellStyle name="Millares 12 5 3 2" xfId="6642" xr:uid="{2FA6B563-4A32-480A-A08C-ECF54C21F8CA}"/>
    <cellStyle name="Millares 12 5 3 3" xfId="8314" xr:uid="{98D21735-4999-47A0-B944-1EDD154C6623}"/>
    <cellStyle name="Millares 12 5 4" xfId="5527" xr:uid="{E54229E3-3D07-4BDA-8988-8A668BF068C3}"/>
    <cellStyle name="Millares 12 5 5" xfId="7199" xr:uid="{36774C39-03F0-491A-81C8-53478B1EFFB2}"/>
    <cellStyle name="Millares 12 5 6" xfId="8871" xr:uid="{8CDC2B97-473F-44FD-A845-9E14293ABDAC}"/>
    <cellStyle name="Millares 12 6" xfId="3132" xr:uid="{EBC5C519-3507-498C-A071-17A01302F6C9}"/>
    <cellStyle name="Millares 12 6 2" xfId="4413" xr:uid="{9A0D90E8-6232-403F-BAE3-1348F7592DF4}"/>
    <cellStyle name="Millares 12 6 2 2" xfId="6086" xr:uid="{BC26D978-3A6E-47F7-B019-B6D32B84D4EA}"/>
    <cellStyle name="Millares 12 6 2 3" xfId="7758" xr:uid="{82AF1F14-DC7D-4FB0-B885-A10B38A06138}"/>
    <cellStyle name="Millares 12 6 3" xfId="4970" xr:uid="{2A34BC0E-DBD0-4DDC-A162-903CA747BD82}"/>
    <cellStyle name="Millares 12 6 3 2" xfId="6643" xr:uid="{EE3C646C-9DD9-444C-8C4D-69F68B756400}"/>
    <cellStyle name="Millares 12 6 3 3" xfId="8315" xr:uid="{E8FA2F42-1C40-4000-AC5E-BBBF388EBCC2}"/>
    <cellStyle name="Millares 12 6 4" xfId="5528" xr:uid="{B6245B0B-A79B-45FC-A2DA-45C077D2B7DA}"/>
    <cellStyle name="Millares 12 6 5" xfId="7200" xr:uid="{B9A786C9-B911-45C7-B96E-A1E8CC8EF77E}"/>
    <cellStyle name="Millares 12 6 6" xfId="8872" xr:uid="{EB352880-6AD0-49C2-91B0-634CA4BFD87F}"/>
    <cellStyle name="Millares 12 7" xfId="3133" xr:uid="{9D7D32B1-F817-4B7C-9863-E14F5961F57A}"/>
    <cellStyle name="Millares 12 7 2" xfId="4414" xr:uid="{18C7855F-223D-400B-A5B7-0779B2B7E092}"/>
    <cellStyle name="Millares 12 7 2 2" xfId="6087" xr:uid="{826F3B3D-6C6D-4885-B378-0D053AFA5CDA}"/>
    <cellStyle name="Millares 12 7 2 3" xfId="7759" xr:uid="{A534A221-F0A1-4B6D-BAA1-99377D818A64}"/>
    <cellStyle name="Millares 12 7 3" xfId="4971" xr:uid="{3D5ADE45-D8A9-4B94-AF80-570D9A29E5CF}"/>
    <cellStyle name="Millares 12 7 3 2" xfId="6644" xr:uid="{47AB4EC4-5466-409D-B5CB-B208479FC537}"/>
    <cellStyle name="Millares 12 7 3 3" xfId="8316" xr:uid="{C3A7DCBA-7CC8-40C3-B4BB-73045EACD5DF}"/>
    <cellStyle name="Millares 12 7 4" xfId="5529" xr:uid="{1B38428E-AC41-4FFC-BDD9-FE0998457A66}"/>
    <cellStyle name="Millares 12 7 5" xfId="7201" xr:uid="{C163E668-243A-4221-A835-83922C5E0053}"/>
    <cellStyle name="Millares 12 7 6" xfId="8873" xr:uid="{1D2EAE9A-0E1F-4E42-8E32-069BD72941E8}"/>
    <cellStyle name="Millares 12 8" xfId="3134" xr:uid="{62DF022F-002B-4D42-BC81-82E30FB85903}"/>
    <cellStyle name="Millares 12 8 2" xfId="4415" xr:uid="{8217524A-AAE3-432D-9F8B-3B83257AD6C1}"/>
    <cellStyle name="Millares 12 8 2 2" xfId="6088" xr:uid="{C5158777-0B88-4429-AEDA-4B0B34BFD594}"/>
    <cellStyle name="Millares 12 8 2 3" xfId="7760" xr:uid="{DC396392-0EF7-4480-8107-0E4AF769227D}"/>
    <cellStyle name="Millares 12 8 3" xfId="4972" xr:uid="{BB808CAB-AF66-4B39-8FE0-B770AEFBAB81}"/>
    <cellStyle name="Millares 12 8 3 2" xfId="6645" xr:uid="{9F47C315-AAE1-4F32-806D-EB8D93A17A16}"/>
    <cellStyle name="Millares 12 8 3 3" xfId="8317" xr:uid="{55A17672-11B7-406F-9D2F-E761DBD22537}"/>
    <cellStyle name="Millares 12 8 4" xfId="5530" xr:uid="{81246DD8-6211-4C9C-A1C7-FF8D6320248D}"/>
    <cellStyle name="Millares 12 8 5" xfId="7202" xr:uid="{A0556AD5-007B-4C85-A633-0DFF9BD711B8}"/>
    <cellStyle name="Millares 12 8 6" xfId="8874" xr:uid="{56AC3626-266A-4B48-9103-F65A6E4C4AB9}"/>
    <cellStyle name="Millares 12 9" xfId="3135" xr:uid="{2FE1A94D-DFEB-45E6-9EB7-9F0809A9D7D5}"/>
    <cellStyle name="Millares 12 9 2" xfId="4416" xr:uid="{C80A5050-8A98-4BFA-807A-D5F93FA4E558}"/>
    <cellStyle name="Millares 12 9 2 2" xfId="6089" xr:uid="{1A731C8C-1BE3-4314-A5E0-9A3B3D03103E}"/>
    <cellStyle name="Millares 12 9 2 3" xfId="7761" xr:uid="{7361A7B3-49A1-4781-AD78-A7FA70B7617F}"/>
    <cellStyle name="Millares 12 9 3" xfId="4973" xr:uid="{F9F8DA10-2854-4CB7-B4BF-46D951C8C270}"/>
    <cellStyle name="Millares 12 9 3 2" xfId="6646" xr:uid="{900C68CE-98D8-472D-8C93-D40F2326DE74}"/>
    <cellStyle name="Millares 12 9 3 3" xfId="8318" xr:uid="{A93C7D50-1FB9-4257-A83B-4B567CDE6F76}"/>
    <cellStyle name="Millares 12 9 4" xfId="5531" xr:uid="{B967B01C-3757-4A20-947B-A86F88FA391D}"/>
    <cellStyle name="Millares 12 9 5" xfId="7203" xr:uid="{F493ED2C-BD3E-4728-9E4C-85E5E663D5D9}"/>
    <cellStyle name="Millares 12 9 6" xfId="8875" xr:uid="{65F4FE43-0FC7-4CEE-B0CD-732BFD00A973}"/>
    <cellStyle name="Millares 13" xfId="3136" xr:uid="{8B4EE7C4-CA83-4FB6-814E-B95AD4B151FA}"/>
    <cellStyle name="Millares 13 10" xfId="3137" xr:uid="{BC508210-8955-4612-A11E-B277E64269F9}"/>
    <cellStyle name="Millares 13 10 2" xfId="4418" xr:uid="{5FA79BF4-BC35-4B29-979B-2E02510F9993}"/>
    <cellStyle name="Millares 13 10 2 2" xfId="6091" xr:uid="{D07F8D23-641B-40B6-B47C-55DB14C0BFC0}"/>
    <cellStyle name="Millares 13 10 2 3" xfId="7763" xr:uid="{9791B04B-B975-45DF-8A97-3DD4ED58D9C8}"/>
    <cellStyle name="Millares 13 10 3" xfId="4975" xr:uid="{5A9F12F8-4F5F-45C9-8902-3929F6AE39F2}"/>
    <cellStyle name="Millares 13 10 3 2" xfId="6648" xr:uid="{D6794231-F1E9-4FA2-B688-13B930BFA002}"/>
    <cellStyle name="Millares 13 10 3 3" xfId="8320" xr:uid="{797C371B-7AC2-484E-9292-8555C37F16C3}"/>
    <cellStyle name="Millares 13 10 4" xfId="5533" xr:uid="{157FD715-55C9-4910-A808-A2006C5130C2}"/>
    <cellStyle name="Millares 13 10 5" xfId="7205" xr:uid="{8E9A7882-D7CA-4301-AF05-21DDE39467BF}"/>
    <cellStyle name="Millares 13 10 6" xfId="8877" xr:uid="{972B496D-F223-4CC9-97EE-2636AF5C3299}"/>
    <cellStyle name="Millares 13 11" xfId="3138" xr:uid="{9F368AC2-097F-4113-86B4-A73F01EE8FE1}"/>
    <cellStyle name="Millares 13 11 2" xfId="4419" xr:uid="{D68AF44F-35C6-4B43-A109-F6924943A164}"/>
    <cellStyle name="Millares 13 11 2 2" xfId="6092" xr:uid="{DB0010F0-7A8C-4C2B-8AB9-6F1E9DC25CEB}"/>
    <cellStyle name="Millares 13 11 2 3" xfId="7764" xr:uid="{F3C71E57-5301-4F2B-8518-AF516427EE62}"/>
    <cellStyle name="Millares 13 11 3" xfId="4976" xr:uid="{1AC9239F-1B77-401C-937D-4E6A1649D63F}"/>
    <cellStyle name="Millares 13 11 3 2" xfId="6649" xr:uid="{855ACA71-3621-4E83-9D5E-AD49F780A38A}"/>
    <cellStyle name="Millares 13 11 3 3" xfId="8321" xr:uid="{A116E097-EF67-4439-B652-026316EAA8E0}"/>
    <cellStyle name="Millares 13 11 4" xfId="5534" xr:uid="{D7811A84-C37C-428B-A247-BBD99EC8FBEF}"/>
    <cellStyle name="Millares 13 11 5" xfId="7206" xr:uid="{02DBF0F6-7B66-4BFC-B047-0C2F0D506A46}"/>
    <cellStyle name="Millares 13 11 6" xfId="8878" xr:uid="{675E967A-CDD7-4A2C-959A-1C6AE8D8411E}"/>
    <cellStyle name="Millares 13 12" xfId="3139" xr:uid="{EB81CB1E-5473-49FE-BB37-CCE08BBFCA95}"/>
    <cellStyle name="Millares 13 12 2" xfId="4420" xr:uid="{B34F67B5-7475-4843-88F6-53DFEA6593B8}"/>
    <cellStyle name="Millares 13 12 2 2" xfId="6093" xr:uid="{1EC3FB44-B0D6-4A33-88EB-41BDFA491D5C}"/>
    <cellStyle name="Millares 13 12 2 3" xfId="7765" xr:uid="{345BEA31-BF7D-4891-823A-B640FAC5CB5D}"/>
    <cellStyle name="Millares 13 12 3" xfId="4977" xr:uid="{DFF83E16-F5A2-44A5-BC44-C57254C9DCE8}"/>
    <cellStyle name="Millares 13 12 3 2" xfId="6650" xr:uid="{E1DFDE80-3464-4388-AF70-0DEA4996701A}"/>
    <cellStyle name="Millares 13 12 3 3" xfId="8322" xr:uid="{CABB561C-6F2B-427E-94B9-043C0CA8315D}"/>
    <cellStyle name="Millares 13 12 4" xfId="5535" xr:uid="{3FD102F9-C509-48F0-A998-F18B47E85370}"/>
    <cellStyle name="Millares 13 12 5" xfId="7207" xr:uid="{13CDF481-D982-4006-98B6-77E02C6080BD}"/>
    <cellStyle name="Millares 13 12 6" xfId="8879" xr:uid="{B32B6C4F-3A07-48CA-ADE5-ED83F68620C3}"/>
    <cellStyle name="Millares 13 13" xfId="4417" xr:uid="{C1207319-D963-4DE3-9DB1-9BC549AE9D50}"/>
    <cellStyle name="Millares 13 13 2" xfId="6090" xr:uid="{C6F6E458-5577-4A46-A62B-051D9C30F8BB}"/>
    <cellStyle name="Millares 13 13 3" xfId="7762" xr:uid="{E7C9F003-5E7F-4E51-B446-4A6CC5E2EA1A}"/>
    <cellStyle name="Millares 13 14" xfId="4974" xr:uid="{3B20501E-CC75-4275-95C7-C1C719FCCEFF}"/>
    <cellStyle name="Millares 13 14 2" xfId="6647" xr:uid="{0E1E6919-9F8F-4D9F-945C-283683F37935}"/>
    <cellStyle name="Millares 13 14 3" xfId="8319" xr:uid="{0AEF7CFE-A2B3-46CD-9073-1A8E7364FB36}"/>
    <cellStyle name="Millares 13 15" xfId="5532" xr:uid="{AC82DFA7-B582-41BC-8960-F6B6983020C9}"/>
    <cellStyle name="Millares 13 16" xfId="7204" xr:uid="{746BB0F8-6CE8-43A7-898C-74529C9A3509}"/>
    <cellStyle name="Millares 13 17" xfId="8876" xr:uid="{1E686E1C-4AC7-4127-A52C-F4641455BB71}"/>
    <cellStyle name="Millares 13 2" xfId="3140" xr:uid="{D152D272-2CAA-4711-89FA-4ED294B8860F}"/>
    <cellStyle name="Millares 13 2 10" xfId="3141" xr:uid="{FA942983-FB13-4442-95FC-253D77768EE7}"/>
    <cellStyle name="Millares 13 2 10 2" xfId="4422" xr:uid="{1666B1D9-7515-42E4-BF4F-80C29EE9D8A8}"/>
    <cellStyle name="Millares 13 2 10 2 2" xfId="6095" xr:uid="{8AC18752-0CD7-4DB3-8D46-C602FC3AF4D4}"/>
    <cellStyle name="Millares 13 2 10 2 3" xfId="7767" xr:uid="{72EE9BDE-BAE5-47BF-96E9-022A20630479}"/>
    <cellStyle name="Millares 13 2 10 3" xfId="4979" xr:uid="{D3438DCD-0851-4EC0-A75B-5673600029A8}"/>
    <cellStyle name="Millares 13 2 10 3 2" xfId="6652" xr:uid="{751F6FB0-3FC2-480A-9CD5-BC4659D7B2AF}"/>
    <cellStyle name="Millares 13 2 10 3 3" xfId="8324" xr:uid="{50AE7CF2-0EBF-4D31-8BB5-AC6965BBF4B0}"/>
    <cellStyle name="Millares 13 2 10 4" xfId="5537" xr:uid="{1634DC36-A6A1-40F3-A81E-81D6698A2526}"/>
    <cellStyle name="Millares 13 2 10 5" xfId="7209" xr:uid="{471A2FA8-5D4F-4218-A95E-A3ECE15DD898}"/>
    <cellStyle name="Millares 13 2 10 6" xfId="8881" xr:uid="{E218932D-E7FB-4BDA-B717-047909421A91}"/>
    <cellStyle name="Millares 13 2 11" xfId="4421" xr:uid="{6CCAD5C0-1F8B-45EF-99AF-CEF86C1AE63F}"/>
    <cellStyle name="Millares 13 2 11 2" xfId="6094" xr:uid="{8B4C9043-AB1D-4834-B886-0BB09AFAE18A}"/>
    <cellStyle name="Millares 13 2 11 3" xfId="7766" xr:uid="{22216328-5997-4726-BEA7-A2196D408CCD}"/>
    <cellStyle name="Millares 13 2 12" xfId="4978" xr:uid="{A6BC82D5-1898-4547-8C8F-0458F4B898D6}"/>
    <cellStyle name="Millares 13 2 12 2" xfId="6651" xr:uid="{60272325-7415-4A79-8BA5-EFD447D41EA3}"/>
    <cellStyle name="Millares 13 2 12 3" xfId="8323" xr:uid="{F54E8B2C-3C12-4FC3-BCD0-FA1F0F7FFDD4}"/>
    <cellStyle name="Millares 13 2 13" xfId="5536" xr:uid="{744779F0-870C-46FA-AA3D-25700ADDDEF3}"/>
    <cellStyle name="Millares 13 2 14" xfId="7208" xr:uid="{C8D32392-8C01-4146-95B8-F1B7A52B36AA}"/>
    <cellStyle name="Millares 13 2 15" xfId="8880" xr:uid="{7A6622A2-E1ED-4905-B6C1-E8B60021159A}"/>
    <cellStyle name="Millares 13 2 2" xfId="3142" xr:uid="{05FD122B-6520-4598-A16E-A112762AB0A2}"/>
    <cellStyle name="Millares 13 2 2 2" xfId="4423" xr:uid="{15F68E09-20F4-4ECE-8718-047D5C106809}"/>
    <cellStyle name="Millares 13 2 2 2 2" xfId="6096" xr:uid="{234D5DDF-FF17-49A1-ADA2-9D83593D72F9}"/>
    <cellStyle name="Millares 13 2 2 2 3" xfId="7768" xr:uid="{9DFFB29C-C6F7-4FA2-B645-F8CD1D232E07}"/>
    <cellStyle name="Millares 13 2 2 3" xfId="4980" xr:uid="{7797D3BE-88C9-4F8D-A94C-5E297688FF39}"/>
    <cellStyle name="Millares 13 2 2 3 2" xfId="6653" xr:uid="{A1CEE428-2D88-4DB0-AC4F-A57D6C37030B}"/>
    <cellStyle name="Millares 13 2 2 3 3" xfId="8325" xr:uid="{E54C9806-DA71-41C1-9C40-C79F09B0CE32}"/>
    <cellStyle name="Millares 13 2 2 4" xfId="5538" xr:uid="{7AC3FFD4-DE10-4076-BBE2-164DE884AD29}"/>
    <cellStyle name="Millares 13 2 2 5" xfId="7210" xr:uid="{7D16969A-C9FD-4FEE-B6A5-B7C7181EC0BA}"/>
    <cellStyle name="Millares 13 2 2 6" xfId="8882" xr:uid="{95293316-3DAF-48A2-9CE7-6A6C5F27E389}"/>
    <cellStyle name="Millares 13 2 3" xfId="3143" xr:uid="{A4D16345-68C2-4253-8AA4-20AC3C322A24}"/>
    <cellStyle name="Millares 13 2 3 2" xfId="4424" xr:uid="{2A9E1DCD-28D7-40F1-866A-02D234D51C1C}"/>
    <cellStyle name="Millares 13 2 3 2 2" xfId="6097" xr:uid="{CB899049-1369-46B1-92D3-D9D05F9CA957}"/>
    <cellStyle name="Millares 13 2 3 2 3" xfId="7769" xr:uid="{4A358B84-44DF-446D-8CBA-0F01B1C8972E}"/>
    <cellStyle name="Millares 13 2 3 3" xfId="4981" xr:uid="{617C5A6F-9153-41F7-BEFA-06175DF236AB}"/>
    <cellStyle name="Millares 13 2 3 3 2" xfId="6654" xr:uid="{2021CDD6-4D0C-4953-B410-343C16D823C6}"/>
    <cellStyle name="Millares 13 2 3 3 3" xfId="8326" xr:uid="{B609074D-497B-46E4-8D7E-A264B6EBF258}"/>
    <cellStyle name="Millares 13 2 3 4" xfId="5539" xr:uid="{4C86BB89-CDCA-4EE0-AFE1-7FBDE7EAB9EC}"/>
    <cellStyle name="Millares 13 2 3 5" xfId="7211" xr:uid="{7F080658-6D91-48AE-8428-4EEC1A6F123B}"/>
    <cellStyle name="Millares 13 2 3 6" xfId="8883" xr:uid="{8A847D13-05EB-4019-92C0-12B7E2605F43}"/>
    <cellStyle name="Millares 13 2 4" xfId="3144" xr:uid="{DF196D63-2566-4C8E-8370-599564D1BBD4}"/>
    <cellStyle name="Millares 13 2 4 2" xfId="4425" xr:uid="{BFB7C637-666A-4A3D-95E3-5994AE33B532}"/>
    <cellStyle name="Millares 13 2 4 2 2" xfId="6098" xr:uid="{5F35565C-7B70-44E6-A883-73C8AD6F49EC}"/>
    <cellStyle name="Millares 13 2 4 2 3" xfId="7770" xr:uid="{27FD339C-5E6A-42DE-9A24-2DF63BD23621}"/>
    <cellStyle name="Millares 13 2 4 3" xfId="4982" xr:uid="{ADAA0D82-646F-4F1C-9E42-10D870CED8D4}"/>
    <cellStyle name="Millares 13 2 4 3 2" xfId="6655" xr:uid="{CBF6B9DE-9401-4C4A-9360-3F14FC6655ED}"/>
    <cellStyle name="Millares 13 2 4 3 3" xfId="8327" xr:uid="{6BE33BF0-8126-47DB-804D-ADB8051AA448}"/>
    <cellStyle name="Millares 13 2 4 4" xfId="5540" xr:uid="{CCDDA5FE-56CF-4831-9BD0-C2477A784B1C}"/>
    <cellStyle name="Millares 13 2 4 5" xfId="7212" xr:uid="{1A539996-72F8-4FA5-B8F4-5AD78D4E70DB}"/>
    <cellStyle name="Millares 13 2 4 6" xfId="8884" xr:uid="{598359E0-0B3E-476F-B874-90C7E0BA8766}"/>
    <cellStyle name="Millares 13 2 5" xfId="3145" xr:uid="{1AF69579-CA5F-4BB8-8FB5-01103C3C9A3B}"/>
    <cellStyle name="Millares 13 2 5 2" xfId="4426" xr:uid="{7B41117B-94C4-4E07-BA27-12236FB5B622}"/>
    <cellStyle name="Millares 13 2 5 2 2" xfId="6099" xr:uid="{37BD3E7F-2292-4CA6-8B8A-8FE6074ED394}"/>
    <cellStyle name="Millares 13 2 5 2 3" xfId="7771" xr:uid="{A07F3DCA-2B95-40A8-A266-DFEA7AE04180}"/>
    <cellStyle name="Millares 13 2 5 3" xfId="4983" xr:uid="{879CCBD3-3360-4077-A8B6-C93ACCC5C7DF}"/>
    <cellStyle name="Millares 13 2 5 3 2" xfId="6656" xr:uid="{0653AE75-A19F-4675-A2D1-F27E61B3F61F}"/>
    <cellStyle name="Millares 13 2 5 3 3" xfId="8328" xr:uid="{EC8B163F-11E0-491D-B01B-ECC66B142311}"/>
    <cellStyle name="Millares 13 2 5 4" xfId="5541" xr:uid="{2FD2648E-BE50-461B-9E80-E28E57025A9B}"/>
    <cellStyle name="Millares 13 2 5 5" xfId="7213" xr:uid="{31747987-DDC7-4089-B333-F2DE64C4D5FB}"/>
    <cellStyle name="Millares 13 2 5 6" xfId="8885" xr:uid="{EEC3F5DE-6DC2-40F4-9D08-6D80D7E5243A}"/>
    <cellStyle name="Millares 13 2 6" xfId="3146" xr:uid="{7F9F22BB-87EC-4E67-AAFD-5B7605A19482}"/>
    <cellStyle name="Millares 13 2 6 2" xfId="4427" xr:uid="{B3A4096F-26D4-4388-A09A-76A8307961B1}"/>
    <cellStyle name="Millares 13 2 6 2 2" xfId="6100" xr:uid="{8D3BAB94-0ABC-4E61-B990-A30FD3C0FB3A}"/>
    <cellStyle name="Millares 13 2 6 2 3" xfId="7772" xr:uid="{47ACEB4A-B21D-413E-9A5C-949DD3D2C219}"/>
    <cellStyle name="Millares 13 2 6 3" xfId="4984" xr:uid="{BA8B8ED4-080A-4450-AD93-D06336A30ABD}"/>
    <cellStyle name="Millares 13 2 6 3 2" xfId="6657" xr:uid="{3C52CB90-FA23-45F6-95C6-16E3469D98A8}"/>
    <cellStyle name="Millares 13 2 6 3 3" xfId="8329" xr:uid="{3F742049-7317-4CD9-85CA-8A00C4167EB6}"/>
    <cellStyle name="Millares 13 2 6 4" xfId="5542" xr:uid="{0FC52F6D-12A7-44CD-897E-29DABCDE24DE}"/>
    <cellStyle name="Millares 13 2 6 5" xfId="7214" xr:uid="{6AAE8E33-1655-4C8F-9805-69718B74CFF9}"/>
    <cellStyle name="Millares 13 2 6 6" xfId="8886" xr:uid="{7DD36FBD-A7E5-4257-BDB2-2AB3B99EA85A}"/>
    <cellStyle name="Millares 13 2 7" xfId="3147" xr:uid="{253F4B60-E910-4454-9818-1532E038EEDA}"/>
    <cellStyle name="Millares 13 2 7 2" xfId="4428" xr:uid="{F7D757C5-6C3F-435F-9E92-E11B5C6D51FF}"/>
    <cellStyle name="Millares 13 2 7 2 2" xfId="6101" xr:uid="{C135FB6B-03C9-4D66-BD3B-BEAC0E7C376F}"/>
    <cellStyle name="Millares 13 2 7 2 3" xfId="7773" xr:uid="{6CF2B9AB-A068-448E-BFBA-1DC9421D7DF5}"/>
    <cellStyle name="Millares 13 2 7 3" xfId="4985" xr:uid="{220CA8C0-4211-4A79-BDE1-E9D9D42AFC1E}"/>
    <cellStyle name="Millares 13 2 7 3 2" xfId="6658" xr:uid="{B3357FAE-38F2-4DFB-B9E6-31D055B4E002}"/>
    <cellStyle name="Millares 13 2 7 3 3" xfId="8330" xr:uid="{3E2A1A62-4F90-462C-8E26-2240972CB4EF}"/>
    <cellStyle name="Millares 13 2 7 4" xfId="5543" xr:uid="{3AFCD204-C831-4933-B42C-11EAEA8DCD85}"/>
    <cellStyle name="Millares 13 2 7 5" xfId="7215" xr:uid="{D0563345-5103-4F4B-9350-CBB76AAAEAA5}"/>
    <cellStyle name="Millares 13 2 7 6" xfId="8887" xr:uid="{5D689ADE-D16A-410F-BA79-8426CB197394}"/>
    <cellStyle name="Millares 13 2 8" xfId="3148" xr:uid="{EF5C6AF5-8212-4A48-A0E9-EDBA13A63FB4}"/>
    <cellStyle name="Millares 13 2 8 2" xfId="4429" xr:uid="{F1B10FEA-0868-4D4E-B83A-39DD915678F5}"/>
    <cellStyle name="Millares 13 2 8 2 2" xfId="6102" xr:uid="{E796EC8A-7AAE-40FA-8884-F217C3B8E5F1}"/>
    <cellStyle name="Millares 13 2 8 2 3" xfId="7774" xr:uid="{DB1632E9-7F92-49FF-8A73-40A7115A21EB}"/>
    <cellStyle name="Millares 13 2 8 3" xfId="4986" xr:uid="{9E96F1DB-C065-4FB1-B7D1-D2C4933B17C4}"/>
    <cellStyle name="Millares 13 2 8 3 2" xfId="6659" xr:uid="{C4FE6E71-87E6-4661-A630-D1B29B9EED69}"/>
    <cellStyle name="Millares 13 2 8 3 3" xfId="8331" xr:uid="{AEFA1BEB-16C7-40A4-8ACB-A41487233310}"/>
    <cellStyle name="Millares 13 2 8 4" xfId="5544" xr:uid="{99993A91-7D20-4F99-BF88-0D2F96FD50D4}"/>
    <cellStyle name="Millares 13 2 8 5" xfId="7216" xr:uid="{95FF43E3-6876-4C80-8961-4026278AC41D}"/>
    <cellStyle name="Millares 13 2 8 6" xfId="8888" xr:uid="{C7E9CDE8-AC72-4682-BAFE-B3C3B7E86041}"/>
    <cellStyle name="Millares 13 2 9" xfId="3149" xr:uid="{AB1508C2-CE1B-40CE-8291-EFC5A260A241}"/>
    <cellStyle name="Millares 13 2 9 2" xfId="4430" xr:uid="{03B9FBA6-9CB9-42F9-8304-E3B60A459ACB}"/>
    <cellStyle name="Millares 13 2 9 2 2" xfId="6103" xr:uid="{D7364F59-82C0-49FB-924E-08026382F2C2}"/>
    <cellStyle name="Millares 13 2 9 2 3" xfId="7775" xr:uid="{D36103B6-CF46-42B3-B506-4200322C0550}"/>
    <cellStyle name="Millares 13 2 9 3" xfId="4987" xr:uid="{DC9F5CEB-056D-487E-927C-BA5C0486DDD7}"/>
    <cellStyle name="Millares 13 2 9 3 2" xfId="6660" xr:uid="{7E455931-298B-43E4-94D3-081F31FE2190}"/>
    <cellStyle name="Millares 13 2 9 3 3" xfId="8332" xr:uid="{6D2EE51E-3BD7-461F-9A2B-1C033C1D21AB}"/>
    <cellStyle name="Millares 13 2 9 4" xfId="5545" xr:uid="{7305DC62-7B5F-4630-BB8E-9B19BBBD542F}"/>
    <cellStyle name="Millares 13 2 9 5" xfId="7217" xr:uid="{99C0E911-393B-4E91-B423-29073C8E66D2}"/>
    <cellStyle name="Millares 13 2 9 6" xfId="8889" xr:uid="{CECA0B13-6775-471F-9A6D-AE0239AFAAF7}"/>
    <cellStyle name="Millares 13 3" xfId="3150" xr:uid="{DCE9C553-9291-459F-934B-A6001442E58D}"/>
    <cellStyle name="Millares 13 3 10" xfId="3151" xr:uid="{3A1D802B-BB05-4D7D-A324-7EA96C19ABBB}"/>
    <cellStyle name="Millares 13 3 10 2" xfId="4432" xr:uid="{6AAAE1F6-44AA-4F7F-B684-ADD0B003EA6C}"/>
    <cellStyle name="Millares 13 3 10 2 2" xfId="6105" xr:uid="{45B1F01E-03A4-4002-9C0F-A2DCBEA1BCB4}"/>
    <cellStyle name="Millares 13 3 10 2 3" xfId="7777" xr:uid="{B7385AB0-1E4A-4D1E-A5DC-DB62A54A0531}"/>
    <cellStyle name="Millares 13 3 10 3" xfId="4989" xr:uid="{A4EF5CA2-639E-410F-8176-030FA85C2626}"/>
    <cellStyle name="Millares 13 3 10 3 2" xfId="6662" xr:uid="{314848C4-D184-48A3-BB31-83B31063F42B}"/>
    <cellStyle name="Millares 13 3 10 3 3" xfId="8334" xr:uid="{8A16C2D5-1F8A-481D-9AD1-4E1751C3B97D}"/>
    <cellStyle name="Millares 13 3 10 4" xfId="5547" xr:uid="{E5DBE961-CB3E-496C-898C-1A3CF7F187C3}"/>
    <cellStyle name="Millares 13 3 10 5" xfId="7219" xr:uid="{BB62B48C-08A6-4A3D-932D-6CBB9BF52695}"/>
    <cellStyle name="Millares 13 3 10 6" xfId="8891" xr:uid="{E4CC388B-217B-472C-8B44-5AE75321875D}"/>
    <cellStyle name="Millares 13 3 11" xfId="4431" xr:uid="{D0E1A98C-BFA2-49C1-A8B6-E7A77671AC0A}"/>
    <cellStyle name="Millares 13 3 11 2" xfId="6104" xr:uid="{25BE7AC7-6127-450A-A2A5-374BA412489C}"/>
    <cellStyle name="Millares 13 3 11 3" xfId="7776" xr:uid="{BEC68DE8-4585-4340-B0A7-E879C4FFBA29}"/>
    <cellStyle name="Millares 13 3 12" xfId="4988" xr:uid="{F24FC18A-E73C-4DCF-9EAC-2BDD1CBCA1AB}"/>
    <cellStyle name="Millares 13 3 12 2" xfId="6661" xr:uid="{DA33FFF3-5039-4633-B411-7B73C4D6C577}"/>
    <cellStyle name="Millares 13 3 12 3" xfId="8333" xr:uid="{BEA6DF1E-5E48-44E3-B884-13061EB94217}"/>
    <cellStyle name="Millares 13 3 13" xfId="5546" xr:uid="{3E6B7DE9-6409-414E-9B2A-474BB70409EF}"/>
    <cellStyle name="Millares 13 3 14" xfId="7218" xr:uid="{A89435D9-108B-4E07-A182-9EFF25FCD3B8}"/>
    <cellStyle name="Millares 13 3 15" xfId="8890" xr:uid="{EC714B65-10FC-407A-87A5-7B4A246B8A89}"/>
    <cellStyle name="Millares 13 3 2" xfId="3152" xr:uid="{8C885289-55BD-4DF0-B94C-78FC03B51EAE}"/>
    <cellStyle name="Millares 13 3 2 2" xfId="4433" xr:uid="{7D12C90A-20AE-4DAD-AF05-77E00A756489}"/>
    <cellStyle name="Millares 13 3 2 2 2" xfId="6106" xr:uid="{C873CFF4-FA0F-48D5-A644-FAA72AD5DE37}"/>
    <cellStyle name="Millares 13 3 2 2 3" xfId="7778" xr:uid="{6B0BF97C-06CA-4655-A769-1402B01A2CEB}"/>
    <cellStyle name="Millares 13 3 2 3" xfId="4990" xr:uid="{D0306B2E-1346-4D80-B006-BB8D997A1F30}"/>
    <cellStyle name="Millares 13 3 2 3 2" xfId="6663" xr:uid="{D9305FD5-81EB-4CAB-9520-BED8D8B78141}"/>
    <cellStyle name="Millares 13 3 2 3 3" xfId="8335" xr:uid="{CFAACFF9-2B42-46F7-B972-13373A52F24D}"/>
    <cellStyle name="Millares 13 3 2 4" xfId="5548" xr:uid="{9F1AB7A3-39A2-484B-9C19-7DF63092CA20}"/>
    <cellStyle name="Millares 13 3 2 5" xfId="7220" xr:uid="{02CCDED5-34E1-400B-9B01-9EA37BD1D41C}"/>
    <cellStyle name="Millares 13 3 2 6" xfId="8892" xr:uid="{CF12CF65-F703-427D-9CC9-B7AFA8B6CEEF}"/>
    <cellStyle name="Millares 13 3 3" xfId="3153" xr:uid="{CEB8029A-3F72-4D94-8481-0355CC97F7D3}"/>
    <cellStyle name="Millares 13 3 3 2" xfId="4434" xr:uid="{32B90506-242E-4C84-8717-1774E23E119C}"/>
    <cellStyle name="Millares 13 3 3 2 2" xfId="6107" xr:uid="{D78F7625-666B-432D-9ED9-8DF13F4FDA2A}"/>
    <cellStyle name="Millares 13 3 3 2 3" xfId="7779" xr:uid="{1B2879E5-987F-478D-92C1-C1216EED79BE}"/>
    <cellStyle name="Millares 13 3 3 3" xfId="4991" xr:uid="{C1D75DFE-8C51-487D-9F2D-239805C6AD46}"/>
    <cellStyle name="Millares 13 3 3 3 2" xfId="6664" xr:uid="{C9B9E309-2A92-4930-90D9-EC2F2DEE00B0}"/>
    <cellStyle name="Millares 13 3 3 3 3" xfId="8336" xr:uid="{B5760A41-6602-4A7F-BD5B-E59D903052BA}"/>
    <cellStyle name="Millares 13 3 3 4" xfId="5549" xr:uid="{3CADDC68-B3DA-46A1-A2B5-3110CAB23C69}"/>
    <cellStyle name="Millares 13 3 3 5" xfId="7221" xr:uid="{9D5AA1FA-2A6D-4C44-BBF6-0477643DB239}"/>
    <cellStyle name="Millares 13 3 3 6" xfId="8893" xr:uid="{70E2FDFC-F9EA-4AD7-9C0D-0C7903802DDD}"/>
    <cellStyle name="Millares 13 3 4" xfId="3154" xr:uid="{D8CA9ECF-A130-4A08-A4BC-416A37895D58}"/>
    <cellStyle name="Millares 13 3 4 2" xfId="4435" xr:uid="{20B4604F-183B-4737-A411-89800D2C2016}"/>
    <cellStyle name="Millares 13 3 4 2 2" xfId="6108" xr:uid="{3E5BB65A-16D3-406F-A326-A3C2D75322D4}"/>
    <cellStyle name="Millares 13 3 4 2 3" xfId="7780" xr:uid="{C5F3E9C0-BDA1-4859-A55F-7C0D73BF8C98}"/>
    <cellStyle name="Millares 13 3 4 3" xfId="4992" xr:uid="{97ADEE39-5A2E-4616-9B59-6D46C5CE18D4}"/>
    <cellStyle name="Millares 13 3 4 3 2" xfId="6665" xr:uid="{FD25DA58-CFF5-4D35-9142-12A0FC435187}"/>
    <cellStyle name="Millares 13 3 4 3 3" xfId="8337" xr:uid="{55ED108C-E356-408E-A7A9-077445FE8B97}"/>
    <cellStyle name="Millares 13 3 4 4" xfId="5550" xr:uid="{BBB5E984-4DF6-4ECE-92CB-007D16DD7D32}"/>
    <cellStyle name="Millares 13 3 4 5" xfId="7222" xr:uid="{81148B49-5F3E-4638-9F1D-053B20C7B6B9}"/>
    <cellStyle name="Millares 13 3 4 6" xfId="8894" xr:uid="{FBE67A10-509D-4CBC-A97E-B4BA065660D5}"/>
    <cellStyle name="Millares 13 3 5" xfId="3155" xr:uid="{AF2AAE37-E5D3-4883-B52A-95D2E492E008}"/>
    <cellStyle name="Millares 13 3 5 2" xfId="4436" xr:uid="{03DCCB1A-4C92-4756-8C32-B1ABB4EB8FF4}"/>
    <cellStyle name="Millares 13 3 5 2 2" xfId="6109" xr:uid="{4027DD7F-4F05-4C69-AA9F-2A9F7F492AF8}"/>
    <cellStyle name="Millares 13 3 5 2 3" xfId="7781" xr:uid="{6CFE620A-325D-406D-A2F4-3CAC1F7D5634}"/>
    <cellStyle name="Millares 13 3 5 3" xfId="4993" xr:uid="{F52B5CBB-E1D2-4F26-AE72-0CB27CFDE6C7}"/>
    <cellStyle name="Millares 13 3 5 3 2" xfId="6666" xr:uid="{EF3E4AAB-D8B0-4F91-A5F6-50D60E1E0F76}"/>
    <cellStyle name="Millares 13 3 5 3 3" xfId="8338" xr:uid="{CDF45306-4C85-4989-B8FC-0F6968475884}"/>
    <cellStyle name="Millares 13 3 5 4" xfId="5551" xr:uid="{3AB9C8FC-A29F-42B9-AA55-2D37AB7E66E9}"/>
    <cellStyle name="Millares 13 3 5 5" xfId="7223" xr:uid="{13339F98-3751-44CC-B669-2C0F8F95349D}"/>
    <cellStyle name="Millares 13 3 5 6" xfId="8895" xr:uid="{8D46D8A7-8858-46C3-97A9-848956D9463A}"/>
    <cellStyle name="Millares 13 3 6" xfId="3156" xr:uid="{8D1E3663-FAD9-4C9C-A161-39196E44776F}"/>
    <cellStyle name="Millares 13 3 6 2" xfId="4437" xr:uid="{25EF8165-C2A3-4A62-8B98-6383BEB207DD}"/>
    <cellStyle name="Millares 13 3 6 2 2" xfId="6110" xr:uid="{00B68DE1-BE22-4D2A-8C56-0AD812812B37}"/>
    <cellStyle name="Millares 13 3 6 2 3" xfId="7782" xr:uid="{53C865F3-83A3-4BC2-9FD6-B16AF14DC78A}"/>
    <cellStyle name="Millares 13 3 6 3" xfId="4994" xr:uid="{8EC2C103-3250-4939-A4AC-2561CCB83213}"/>
    <cellStyle name="Millares 13 3 6 3 2" xfId="6667" xr:uid="{574D383D-229B-4FCF-821F-1B75C2B9C876}"/>
    <cellStyle name="Millares 13 3 6 3 3" xfId="8339" xr:uid="{BC72B4CD-0390-4763-BE0C-39724D527EB5}"/>
    <cellStyle name="Millares 13 3 6 4" xfId="5552" xr:uid="{63931A2B-65B6-4639-B5AA-DBB9C586428F}"/>
    <cellStyle name="Millares 13 3 6 5" xfId="7224" xr:uid="{DB71BBFE-6D11-4919-A781-A685B75A7486}"/>
    <cellStyle name="Millares 13 3 6 6" xfId="8896" xr:uid="{0FF46E76-2373-413D-9373-5450B338FD67}"/>
    <cellStyle name="Millares 13 3 7" xfId="3157" xr:uid="{E01E16D7-439C-4B89-9F7A-431C6FA56A2D}"/>
    <cellStyle name="Millares 13 3 7 2" xfId="4438" xr:uid="{CB135115-5C2E-4207-9C6F-45760D6B5808}"/>
    <cellStyle name="Millares 13 3 7 2 2" xfId="6111" xr:uid="{0B64DA60-8461-49C7-93C5-E6F1AF39A352}"/>
    <cellStyle name="Millares 13 3 7 2 3" xfId="7783" xr:uid="{3C36DE7A-1F1B-4F7E-84E3-B63A6337B4D1}"/>
    <cellStyle name="Millares 13 3 7 3" xfId="4995" xr:uid="{94430181-BBD6-40E2-ACB7-31A11406C1CC}"/>
    <cellStyle name="Millares 13 3 7 3 2" xfId="6668" xr:uid="{6F8702F1-851D-4BDA-BCF8-D192552FFF08}"/>
    <cellStyle name="Millares 13 3 7 3 3" xfId="8340" xr:uid="{2438C661-9D1A-41FD-BAC8-2855F5E3487E}"/>
    <cellStyle name="Millares 13 3 7 4" xfId="5553" xr:uid="{D4437CDA-FA51-40D2-B2EA-E20E5749D0FF}"/>
    <cellStyle name="Millares 13 3 7 5" xfId="7225" xr:uid="{06C5DA08-7C88-4893-881B-6126B2CFEB15}"/>
    <cellStyle name="Millares 13 3 7 6" xfId="8897" xr:uid="{D06AB847-62B4-49B5-8B32-CE18EB552F75}"/>
    <cellStyle name="Millares 13 3 8" xfId="3158" xr:uid="{0DF0CCEA-BB1A-47F3-84EB-4651E9E21D42}"/>
    <cellStyle name="Millares 13 3 8 2" xfId="4439" xr:uid="{B1BC2A68-ABBF-4097-94DC-D8CC0537FD6F}"/>
    <cellStyle name="Millares 13 3 8 2 2" xfId="6112" xr:uid="{17BE3BE0-6E7A-4257-B365-A5E7CD6ED715}"/>
    <cellStyle name="Millares 13 3 8 2 3" xfId="7784" xr:uid="{5E61693C-73EC-4E88-8499-EF802FB581E4}"/>
    <cellStyle name="Millares 13 3 8 3" xfId="4996" xr:uid="{CD1CEA12-BDCF-4CE9-915C-E8E15EF75BC3}"/>
    <cellStyle name="Millares 13 3 8 3 2" xfId="6669" xr:uid="{F8B34624-CBF1-408C-BF69-30B63FE96D67}"/>
    <cellStyle name="Millares 13 3 8 3 3" xfId="8341" xr:uid="{8F807A81-05C4-434E-B940-AC87F8B3DC2D}"/>
    <cellStyle name="Millares 13 3 8 4" xfId="5554" xr:uid="{6ABFF9CE-989D-4164-BBBC-932700D52F45}"/>
    <cellStyle name="Millares 13 3 8 5" xfId="7226" xr:uid="{4A9E0FAE-6496-4DBD-8AEA-79AB764E1B11}"/>
    <cellStyle name="Millares 13 3 8 6" xfId="8898" xr:uid="{7A70EE28-76BA-478E-AE2B-9C61401605EF}"/>
    <cellStyle name="Millares 13 3 9" xfId="3159" xr:uid="{328ADFD7-C392-4049-84E9-83C5F669398E}"/>
    <cellStyle name="Millares 13 3 9 2" xfId="4440" xr:uid="{70B5B06D-4659-44CC-B2F5-F94EE1182110}"/>
    <cellStyle name="Millares 13 3 9 2 2" xfId="6113" xr:uid="{0B22C369-420C-40CE-ADC1-BEB46F3344CC}"/>
    <cellStyle name="Millares 13 3 9 2 3" xfId="7785" xr:uid="{D1386065-42A2-4389-B4FE-1687D254528D}"/>
    <cellStyle name="Millares 13 3 9 3" xfId="4997" xr:uid="{24C1CD72-D5CE-4FDB-A68E-6945916C7211}"/>
    <cellStyle name="Millares 13 3 9 3 2" xfId="6670" xr:uid="{16B24BA0-F978-45F7-9258-F87161A04365}"/>
    <cellStyle name="Millares 13 3 9 3 3" xfId="8342" xr:uid="{99354D79-F7C3-4900-98D9-7BD5C7434D66}"/>
    <cellStyle name="Millares 13 3 9 4" xfId="5555" xr:uid="{9C209AA3-5C75-41F4-A164-7F7181EF6105}"/>
    <cellStyle name="Millares 13 3 9 5" xfId="7227" xr:uid="{E397FE5F-4AF1-470E-B519-83E54CF5B642}"/>
    <cellStyle name="Millares 13 3 9 6" xfId="8899" xr:uid="{47318245-4EAB-4364-A93B-55F535031E25}"/>
    <cellStyle name="Millares 13 4" xfId="3160" xr:uid="{FCEC8AF2-8687-48D5-BB89-BADC54624DD5}"/>
    <cellStyle name="Millares 13 4 2" xfId="4441" xr:uid="{D9311BA1-1449-4EA2-852A-9A93C91F91D7}"/>
    <cellStyle name="Millares 13 4 2 2" xfId="6114" xr:uid="{8E523A48-1284-4AA0-98F7-F60713A4C052}"/>
    <cellStyle name="Millares 13 4 2 3" xfId="7786" xr:uid="{C62EBA82-AA46-4340-B282-75832FBD2B32}"/>
    <cellStyle name="Millares 13 4 3" xfId="4998" xr:uid="{C0292F56-8EF9-4687-8203-90715CC8E3FC}"/>
    <cellStyle name="Millares 13 4 3 2" xfId="6671" xr:uid="{327DE962-588D-4698-B86D-FC02381DE343}"/>
    <cellStyle name="Millares 13 4 3 3" xfId="8343" xr:uid="{134E1A86-555D-4798-B72D-BED53209E607}"/>
    <cellStyle name="Millares 13 4 4" xfId="5556" xr:uid="{3E5721D7-DA10-4A36-ADF3-06F47AB56554}"/>
    <cellStyle name="Millares 13 4 5" xfId="7228" xr:uid="{ECF23DB2-B603-4F89-8DA6-0A950F87E72C}"/>
    <cellStyle name="Millares 13 4 6" xfId="8900" xr:uid="{1D499546-A354-4288-9EB5-5F1302F43A60}"/>
    <cellStyle name="Millares 13 5" xfId="3161" xr:uid="{7EE57C48-FD13-4EF2-A6FA-319E5C79163A}"/>
    <cellStyle name="Millares 13 5 2" xfId="4442" xr:uid="{ADB24EAF-0DAA-485E-815E-B8241B775CA1}"/>
    <cellStyle name="Millares 13 5 2 2" xfId="6115" xr:uid="{CB7E432F-5B4C-425A-B9AD-F0C3F7DDD832}"/>
    <cellStyle name="Millares 13 5 2 3" xfId="7787" xr:uid="{760F42A0-DAD7-4F99-A560-8229C154CAEE}"/>
    <cellStyle name="Millares 13 5 3" xfId="4999" xr:uid="{83535919-AC17-4435-B6FE-0B4DA0E9BAAA}"/>
    <cellStyle name="Millares 13 5 3 2" xfId="6672" xr:uid="{2A52A061-F3F6-408B-9D95-D0E35B6F6E37}"/>
    <cellStyle name="Millares 13 5 3 3" xfId="8344" xr:uid="{1013A986-4E72-40C0-AAB4-FB3A250E1E13}"/>
    <cellStyle name="Millares 13 5 4" xfId="5557" xr:uid="{F1EE4945-3684-4250-9621-8BAAD4BC7AFA}"/>
    <cellStyle name="Millares 13 5 5" xfId="7229" xr:uid="{10AB9BBF-7B58-4959-9491-0ED5E0221681}"/>
    <cellStyle name="Millares 13 5 6" xfId="8901" xr:uid="{D5E345DF-641B-4CF9-942D-0219C5C271EC}"/>
    <cellStyle name="Millares 13 6" xfId="3162" xr:uid="{141FDC59-C071-416C-AD16-E7C38414E492}"/>
    <cellStyle name="Millares 13 6 2" xfId="4443" xr:uid="{FCDF627C-045A-4302-8CAF-3AFC58615861}"/>
    <cellStyle name="Millares 13 6 2 2" xfId="6116" xr:uid="{A53C84DC-268E-4066-B2AC-9810805E9FAE}"/>
    <cellStyle name="Millares 13 6 2 3" xfId="7788" xr:uid="{26255FFF-8E19-4C47-A89A-05D3ADAC650D}"/>
    <cellStyle name="Millares 13 6 3" xfId="5000" xr:uid="{146F2406-5E9A-4C20-8FDA-FC01099F4997}"/>
    <cellStyle name="Millares 13 6 3 2" xfId="6673" xr:uid="{B1476EC0-2514-46E0-89FF-7108F13F6778}"/>
    <cellStyle name="Millares 13 6 3 3" xfId="8345" xr:uid="{CD2CD8A0-94B8-41A0-9C70-A8CC96823785}"/>
    <cellStyle name="Millares 13 6 4" xfId="5558" xr:uid="{3C8BF9A9-0E25-4DE3-A6D6-FDB1CC354BD5}"/>
    <cellStyle name="Millares 13 6 5" xfId="7230" xr:uid="{F04FEF5C-CCF2-4326-90BC-80F8BC117BD4}"/>
    <cellStyle name="Millares 13 6 6" xfId="8902" xr:uid="{CA109FB0-F138-4D64-BD9F-645453C0B0B1}"/>
    <cellStyle name="Millares 13 7" xfId="3163" xr:uid="{EA8FD783-3BFF-4309-BC87-EC9B661E5985}"/>
    <cellStyle name="Millares 13 7 2" xfId="4444" xr:uid="{57282E06-2D01-404A-AE2B-EC76068CCF74}"/>
    <cellStyle name="Millares 13 7 2 2" xfId="6117" xr:uid="{6D947160-FE17-4199-9748-AC8F21A098A9}"/>
    <cellStyle name="Millares 13 7 2 3" xfId="7789" xr:uid="{F5E56DFB-1A91-4641-8B8E-D486F38180B2}"/>
    <cellStyle name="Millares 13 7 3" xfId="5001" xr:uid="{FD8E606A-65C0-49D9-AAE8-FA4B3F14B9D7}"/>
    <cellStyle name="Millares 13 7 3 2" xfId="6674" xr:uid="{1D3C48C3-7828-45DE-BA5A-6B5B3564FEFB}"/>
    <cellStyle name="Millares 13 7 3 3" xfId="8346" xr:uid="{E7DB5AA7-09B5-43E6-A560-ADA986CC7C22}"/>
    <cellStyle name="Millares 13 7 4" xfId="5559" xr:uid="{1095EEAE-B42F-49AB-999C-FB5A8931E057}"/>
    <cellStyle name="Millares 13 7 5" xfId="7231" xr:uid="{971E136D-58D9-4D61-82C5-E668D0116190}"/>
    <cellStyle name="Millares 13 7 6" xfId="8903" xr:uid="{980F2485-69D9-4C8F-96C2-32DFE76886F9}"/>
    <cellStyle name="Millares 13 8" xfId="3164" xr:uid="{628DE488-D8A4-4990-B19A-1148F7F31406}"/>
    <cellStyle name="Millares 13 8 2" xfId="4445" xr:uid="{CD776D7F-CA96-4ECA-8B9A-4D4B023C9F5A}"/>
    <cellStyle name="Millares 13 8 2 2" xfId="6118" xr:uid="{562B1665-055A-4DC6-AD41-38665A65913A}"/>
    <cellStyle name="Millares 13 8 2 3" xfId="7790" xr:uid="{2AF0B100-7277-4C48-BC26-F1CB1316EED5}"/>
    <cellStyle name="Millares 13 8 3" xfId="5002" xr:uid="{812AF883-1EF2-4D2A-8A99-05EE3AE7D61B}"/>
    <cellStyle name="Millares 13 8 3 2" xfId="6675" xr:uid="{40433F58-75E7-43E8-BCE6-176E6A3F3E57}"/>
    <cellStyle name="Millares 13 8 3 3" xfId="8347" xr:uid="{80A1DCD0-9B79-4AA8-826F-4929E4331166}"/>
    <cellStyle name="Millares 13 8 4" xfId="5560" xr:uid="{44836B24-3945-4BAC-A204-FF9B755D5D74}"/>
    <cellStyle name="Millares 13 8 5" xfId="7232" xr:uid="{E1488AA9-29EE-49C7-B347-93738BCFD065}"/>
    <cellStyle name="Millares 13 8 6" xfId="8904" xr:uid="{C477432A-6948-4A6F-BA17-EA7B1B7E8B11}"/>
    <cellStyle name="Millares 13 9" xfId="3165" xr:uid="{9ED8DA8C-D9CB-4E62-BFF6-C8E2C87D9AD5}"/>
    <cellStyle name="Millares 13 9 2" xfId="4446" xr:uid="{C634D825-BBD7-4280-901B-DC4244BA705D}"/>
    <cellStyle name="Millares 13 9 2 2" xfId="6119" xr:uid="{542880EF-669B-48B2-9458-1052C8CF81D0}"/>
    <cellStyle name="Millares 13 9 2 3" xfId="7791" xr:uid="{A4B90869-BDA0-4EE9-A241-5587071D4E85}"/>
    <cellStyle name="Millares 13 9 3" xfId="5003" xr:uid="{529880C3-F8F5-4669-80DC-38AF9E65A309}"/>
    <cellStyle name="Millares 13 9 3 2" xfId="6676" xr:uid="{36F48B50-A4DF-492A-B07F-AAC1C8A6BEBB}"/>
    <cellStyle name="Millares 13 9 3 3" xfId="8348" xr:uid="{747D1BE9-15ED-4C86-81CA-11B295583254}"/>
    <cellStyle name="Millares 13 9 4" xfId="5561" xr:uid="{0578ABB4-6A88-4EF6-99DB-7DAF74879264}"/>
    <cellStyle name="Millares 13 9 5" xfId="7233" xr:uid="{36AADE0B-0DA3-4AAC-9711-A73E6E9183C1}"/>
    <cellStyle name="Millares 13 9 6" xfId="8905" xr:uid="{B667DD84-BF42-4AE1-8135-E29DF7667571}"/>
    <cellStyle name="Millares 14" xfId="3166" xr:uid="{3F01348E-C2D0-43EA-A757-87288F5C6B9E}"/>
    <cellStyle name="Millares 14 10" xfId="3167" xr:uid="{DF00163E-DE4E-4B7F-9C5E-CE703933C594}"/>
    <cellStyle name="Millares 14 10 2" xfId="4448" xr:uid="{5FE62819-C704-40E4-986F-4421F77146EC}"/>
    <cellStyle name="Millares 14 10 2 2" xfId="6121" xr:uid="{7B60DE87-922A-4F0E-A918-AFFE7FDD8486}"/>
    <cellStyle name="Millares 14 10 2 3" xfId="7793" xr:uid="{E09F38F3-453F-4B1C-A2C0-27A509CE49A7}"/>
    <cellStyle name="Millares 14 10 3" xfId="5005" xr:uid="{D68B398B-8158-4C3F-9598-ADBE875AFD1B}"/>
    <cellStyle name="Millares 14 10 3 2" xfId="6678" xr:uid="{ADBFB2F3-19C2-4C19-96FB-0589FA84DCB8}"/>
    <cellStyle name="Millares 14 10 3 3" xfId="8350" xr:uid="{50E49FF6-7AD6-4258-876D-48D4A80E89BA}"/>
    <cellStyle name="Millares 14 10 4" xfId="5563" xr:uid="{088DEEF4-7847-41CC-A6E4-92FF56FCB212}"/>
    <cellStyle name="Millares 14 10 5" xfId="7235" xr:uid="{5A78BA0D-5497-4C3C-AB9D-AD378E0F972C}"/>
    <cellStyle name="Millares 14 10 6" xfId="8907" xr:uid="{FD46CE62-1642-4E78-AEEC-A80183B24713}"/>
    <cellStyle name="Millares 14 11" xfId="3168" xr:uid="{98430D7B-D911-47EA-A078-FA1D2DA63A2A}"/>
    <cellStyle name="Millares 14 11 2" xfId="4449" xr:uid="{264B1F50-0EC9-450D-84C0-7AB6077FAC2A}"/>
    <cellStyle name="Millares 14 11 2 2" xfId="6122" xr:uid="{7A4269A4-7356-4DE1-9998-2FBF3F107619}"/>
    <cellStyle name="Millares 14 11 2 3" xfId="7794" xr:uid="{6E0B0223-2A4D-41E6-AE67-18C6B96E29B4}"/>
    <cellStyle name="Millares 14 11 3" xfId="5006" xr:uid="{18B69124-3249-46EE-BCB2-3D3116D444DF}"/>
    <cellStyle name="Millares 14 11 3 2" xfId="6679" xr:uid="{352D8EEE-F20B-4F9F-BFA1-602D58E341DB}"/>
    <cellStyle name="Millares 14 11 3 3" xfId="8351" xr:uid="{4621A086-EEFF-4ED4-9053-D5D2B3B277AA}"/>
    <cellStyle name="Millares 14 11 4" xfId="5564" xr:uid="{7DF9FC5C-B9ED-4F6F-80F6-C97F4F46B35F}"/>
    <cellStyle name="Millares 14 11 5" xfId="7236" xr:uid="{0F5BE8D1-4C9E-4760-A48B-F44040D05D74}"/>
    <cellStyle name="Millares 14 11 6" xfId="8908" xr:uid="{640280A6-F5D8-4A66-B035-B771064701D9}"/>
    <cellStyle name="Millares 14 12" xfId="3169" xr:uid="{5C7EBF0B-072F-42C9-9496-F1B4853D9DF7}"/>
    <cellStyle name="Millares 14 12 2" xfId="4450" xr:uid="{2758B696-4314-4327-A5DE-C7009F3E4BA1}"/>
    <cellStyle name="Millares 14 12 2 2" xfId="6123" xr:uid="{DF7EEBE6-8ADA-4525-B4A8-5FD66AB5D74A}"/>
    <cellStyle name="Millares 14 12 2 3" xfId="7795" xr:uid="{1224C98F-6BAA-4562-B488-D3C7699FE119}"/>
    <cellStyle name="Millares 14 12 3" xfId="5007" xr:uid="{7B5F1B3E-2BEB-4AD6-9961-F57A9F9E978B}"/>
    <cellStyle name="Millares 14 12 3 2" xfId="6680" xr:uid="{764C30F2-A1BB-42CC-8E40-1F3E29B5B778}"/>
    <cellStyle name="Millares 14 12 3 3" xfId="8352" xr:uid="{39C374A3-639E-4A2B-8A5D-88B64EB774C1}"/>
    <cellStyle name="Millares 14 12 4" xfId="5565" xr:uid="{36518855-7EBE-44A5-91DC-5A1E5EE31F23}"/>
    <cellStyle name="Millares 14 12 5" xfId="7237" xr:uid="{04B9CAF6-ED30-420F-96D0-50ABBC500AC5}"/>
    <cellStyle name="Millares 14 12 6" xfId="8909" xr:uid="{62A2B7BF-50C1-4B84-99F6-6D4F76EAD776}"/>
    <cellStyle name="Millares 14 13" xfId="4447" xr:uid="{65062DC9-B1C7-4E12-9F88-41D294EA5957}"/>
    <cellStyle name="Millares 14 13 2" xfId="6120" xr:uid="{6F38DC8C-ECF9-4EFB-9418-74382836E922}"/>
    <cellStyle name="Millares 14 13 3" xfId="7792" xr:uid="{D42F90FA-B990-4CC4-9422-D894D1C23C52}"/>
    <cellStyle name="Millares 14 14" xfId="5004" xr:uid="{05FB828E-4845-4284-A83F-ABEA9942AF3C}"/>
    <cellStyle name="Millares 14 14 2" xfId="6677" xr:uid="{62E5C22C-9C8D-4031-A132-8C529545CA1F}"/>
    <cellStyle name="Millares 14 14 3" xfId="8349" xr:uid="{75E809F3-933F-4760-801A-F794B9A51203}"/>
    <cellStyle name="Millares 14 15" xfId="5562" xr:uid="{BD6C6259-361B-4119-8B99-54CC88E9AE3C}"/>
    <cellStyle name="Millares 14 16" xfId="7234" xr:uid="{89B6DB9E-01BE-4E56-B3B6-5D0F00303C35}"/>
    <cellStyle name="Millares 14 17" xfId="8906" xr:uid="{CCBCC1D4-98DE-42D5-83CF-0035ED0D1B32}"/>
    <cellStyle name="Millares 14 2" xfId="3170" xr:uid="{35568603-3C47-40F7-A78E-4C61A6550B92}"/>
    <cellStyle name="Millares 14 2 10" xfId="3171" xr:uid="{FBCEF099-3FA9-4A65-A937-0937B0E4977E}"/>
    <cellStyle name="Millares 14 2 10 2" xfId="4452" xr:uid="{CEAAE2ED-324B-4DD6-A486-C2455C994996}"/>
    <cellStyle name="Millares 14 2 10 2 2" xfId="6125" xr:uid="{168D22F2-0E68-4C85-9FA8-98037C17D01E}"/>
    <cellStyle name="Millares 14 2 10 2 3" xfId="7797" xr:uid="{CD3FAD50-E552-4C86-8C95-CAA7693F1715}"/>
    <cellStyle name="Millares 14 2 10 3" xfId="5009" xr:uid="{0EEBD8AD-46A3-415C-9D95-3B77CFA9225F}"/>
    <cellStyle name="Millares 14 2 10 3 2" xfId="6682" xr:uid="{57B0C378-BEAC-4F44-A515-74D7B12477F6}"/>
    <cellStyle name="Millares 14 2 10 3 3" xfId="8354" xr:uid="{50224941-79C2-42CE-8A40-801DEF94EAEF}"/>
    <cellStyle name="Millares 14 2 10 4" xfId="5567" xr:uid="{BD070750-0AED-47AC-A352-5F0400E41BB3}"/>
    <cellStyle name="Millares 14 2 10 5" xfId="7239" xr:uid="{3A2B607A-59F4-464E-A7B4-F804FEADA148}"/>
    <cellStyle name="Millares 14 2 10 6" xfId="8911" xr:uid="{BC12A81B-7435-4BB3-8088-76A5DC0EBAFE}"/>
    <cellStyle name="Millares 14 2 11" xfId="4451" xr:uid="{5C1A9CE1-9CCA-49C7-A39C-3D5B1C456154}"/>
    <cellStyle name="Millares 14 2 11 2" xfId="6124" xr:uid="{DC946FCB-F409-4A9C-BAC0-6445F3D88678}"/>
    <cellStyle name="Millares 14 2 11 3" xfId="7796" xr:uid="{6A1DC4A9-3B45-40F3-BEE9-1BE9F6D1060D}"/>
    <cellStyle name="Millares 14 2 12" xfId="5008" xr:uid="{DAF2BEF1-69F4-4A66-A78D-7A3CF51EA1F6}"/>
    <cellStyle name="Millares 14 2 12 2" xfId="6681" xr:uid="{912B9C2C-EC54-4CC3-B98B-8C87287A2510}"/>
    <cellStyle name="Millares 14 2 12 3" xfId="8353" xr:uid="{FDE4EC29-B869-4999-A0E7-75B8E449913D}"/>
    <cellStyle name="Millares 14 2 13" xfId="5566" xr:uid="{4BDFF30F-A836-46E1-84A9-687B59841B49}"/>
    <cellStyle name="Millares 14 2 14" xfId="7238" xr:uid="{C54CDCDF-A66C-4368-8EC8-34E4BAD01257}"/>
    <cellStyle name="Millares 14 2 15" xfId="8910" xr:uid="{FF4CF259-9FAE-4968-800C-38F28F0BFEFE}"/>
    <cellStyle name="Millares 14 2 2" xfId="3172" xr:uid="{C522AD3A-9B38-4515-BD69-6CC925CCD72D}"/>
    <cellStyle name="Millares 14 2 2 2" xfId="4453" xr:uid="{33781362-AAFD-42FF-8D3D-22218FC68798}"/>
    <cellStyle name="Millares 14 2 2 2 2" xfId="6126" xr:uid="{66AEB6C6-5CA9-4BA4-B044-D08421707DB7}"/>
    <cellStyle name="Millares 14 2 2 2 3" xfId="7798" xr:uid="{1A2CD842-D146-4FF2-A1F4-DAF6256CA6EC}"/>
    <cellStyle name="Millares 14 2 2 3" xfId="5010" xr:uid="{B03ED4F5-C821-4945-9020-0E7FA1A0EDCA}"/>
    <cellStyle name="Millares 14 2 2 3 2" xfId="6683" xr:uid="{3363CE64-4B37-434E-940E-1DC76C0F3F8E}"/>
    <cellStyle name="Millares 14 2 2 3 3" xfId="8355" xr:uid="{AFB3AC51-11A8-4A30-973A-16F8ECABDE02}"/>
    <cellStyle name="Millares 14 2 2 4" xfId="5568" xr:uid="{669190EE-E92F-4710-B7B8-8C2791236E6F}"/>
    <cellStyle name="Millares 14 2 2 5" xfId="7240" xr:uid="{ECACCB5D-20F6-4CB1-88E4-F62FD1075223}"/>
    <cellStyle name="Millares 14 2 2 6" xfId="8912" xr:uid="{952B096F-46BB-4EA7-852B-2F196CC83AB0}"/>
    <cellStyle name="Millares 14 2 3" xfId="3173" xr:uid="{B87AD782-E630-4A07-83EE-333A50EA1328}"/>
    <cellStyle name="Millares 14 2 3 2" xfId="4454" xr:uid="{1109D904-115A-4CBA-A396-8E0D373177DA}"/>
    <cellStyle name="Millares 14 2 3 2 2" xfId="6127" xr:uid="{6A8E6265-D8D1-44C1-B7C1-AD50088E3B3F}"/>
    <cellStyle name="Millares 14 2 3 2 3" xfId="7799" xr:uid="{FC0308EF-8126-4D1B-9360-91D0A7FF15A4}"/>
    <cellStyle name="Millares 14 2 3 3" xfId="5011" xr:uid="{3546C008-4D8E-463B-880E-25C6184F31D6}"/>
    <cellStyle name="Millares 14 2 3 3 2" xfId="6684" xr:uid="{5D0FA87F-BBAE-4128-9E59-95FA76F49EA1}"/>
    <cellStyle name="Millares 14 2 3 3 3" xfId="8356" xr:uid="{FBCBAA51-0AA9-4ABD-AD8E-165D40CC79FD}"/>
    <cellStyle name="Millares 14 2 3 4" xfId="5569" xr:uid="{8FB4E01E-D770-4843-865D-339C1170DB41}"/>
    <cellStyle name="Millares 14 2 3 5" xfId="7241" xr:uid="{CA48FCD2-53C0-45FA-B94E-03133D8793A9}"/>
    <cellStyle name="Millares 14 2 3 6" xfId="8913" xr:uid="{20CECF53-5156-4126-A690-406DCC3DA05C}"/>
    <cellStyle name="Millares 14 2 4" xfId="3174" xr:uid="{3EBD1F41-F757-46FF-8002-B08974E5B14F}"/>
    <cellStyle name="Millares 14 2 4 2" xfId="4455" xr:uid="{2BEA7AB8-450E-4F01-9E8A-76BE1E756F78}"/>
    <cellStyle name="Millares 14 2 4 2 2" xfId="6128" xr:uid="{40E24473-4189-4A5B-870B-9541C51EAE25}"/>
    <cellStyle name="Millares 14 2 4 2 3" xfId="7800" xr:uid="{F4934A6E-F3A5-4D66-B28F-E36C0503768B}"/>
    <cellStyle name="Millares 14 2 4 3" xfId="5012" xr:uid="{E8FE348F-564A-490D-9E28-C4DB13CF14A8}"/>
    <cellStyle name="Millares 14 2 4 3 2" xfId="6685" xr:uid="{064FA943-E465-4B9E-88D7-B5FD50ADD856}"/>
    <cellStyle name="Millares 14 2 4 3 3" xfId="8357" xr:uid="{CE32613D-E2F6-40C7-8C68-F87E39F2848A}"/>
    <cellStyle name="Millares 14 2 4 4" xfId="5570" xr:uid="{DE986927-757F-4E2A-8144-DED30CABBE1B}"/>
    <cellStyle name="Millares 14 2 4 5" xfId="7242" xr:uid="{7CD01959-B474-49BF-92FC-C223BF23F3A8}"/>
    <cellStyle name="Millares 14 2 4 6" xfId="8914" xr:uid="{FB6F0F9F-FE3A-4AE6-9A33-007E61E87F11}"/>
    <cellStyle name="Millares 14 2 5" xfId="3175" xr:uid="{026DFBE4-FAA6-4794-A7A4-EF0FC9EBB182}"/>
    <cellStyle name="Millares 14 2 5 2" xfId="4456" xr:uid="{262B14EE-29AC-4937-936F-8CF2BBA22F96}"/>
    <cellStyle name="Millares 14 2 5 2 2" xfId="6129" xr:uid="{1BBE6D18-35D5-4AA0-B509-F47A516CA1C8}"/>
    <cellStyle name="Millares 14 2 5 2 3" xfId="7801" xr:uid="{8D5AB830-0983-45A5-9510-C8517DACC9B8}"/>
    <cellStyle name="Millares 14 2 5 3" xfId="5013" xr:uid="{D57015C6-3283-4AC4-9B67-094ECC6C458F}"/>
    <cellStyle name="Millares 14 2 5 3 2" xfId="6686" xr:uid="{18E3658E-3B03-4656-9F22-24D5EBD0C693}"/>
    <cellStyle name="Millares 14 2 5 3 3" xfId="8358" xr:uid="{DD5A31DB-5841-4920-9167-B931255BD204}"/>
    <cellStyle name="Millares 14 2 5 4" xfId="5571" xr:uid="{A4950F7D-2F0A-4AD3-B6E7-C0CB2EF8789A}"/>
    <cellStyle name="Millares 14 2 5 5" xfId="7243" xr:uid="{97E0E925-77A4-4834-88F6-D140492FF3CE}"/>
    <cellStyle name="Millares 14 2 5 6" xfId="8915" xr:uid="{2253229D-BF58-402E-BB89-9245D3D98471}"/>
    <cellStyle name="Millares 14 2 6" xfId="3176" xr:uid="{4A5B7FE5-3BA3-450C-A8F1-CC266E2601F5}"/>
    <cellStyle name="Millares 14 2 6 2" xfId="4457" xr:uid="{47C73961-752B-4825-BB7D-6CA2A14DD7DB}"/>
    <cellStyle name="Millares 14 2 6 2 2" xfId="6130" xr:uid="{2982A56F-4547-42FB-B319-65F7D2F36952}"/>
    <cellStyle name="Millares 14 2 6 2 3" xfId="7802" xr:uid="{51811DFD-A9C5-4363-B20A-F294BDD2F1B1}"/>
    <cellStyle name="Millares 14 2 6 3" xfId="5014" xr:uid="{B48DA061-00D2-4C75-820B-73B31C9917EC}"/>
    <cellStyle name="Millares 14 2 6 3 2" xfId="6687" xr:uid="{92C7716F-1DE2-4AA3-BF22-2013FE133984}"/>
    <cellStyle name="Millares 14 2 6 3 3" xfId="8359" xr:uid="{BB7D7B6C-E0D3-4A1C-87CF-EE4013CE6312}"/>
    <cellStyle name="Millares 14 2 6 4" xfId="5572" xr:uid="{3767138B-A39F-41E4-AFEC-454EA7E026A0}"/>
    <cellStyle name="Millares 14 2 6 5" xfId="7244" xr:uid="{F97B2C2C-5787-455D-A46D-C8AA2F8C932A}"/>
    <cellStyle name="Millares 14 2 6 6" xfId="8916" xr:uid="{6AE3C7FA-0F43-4994-B246-B6C47A59C3D6}"/>
    <cellStyle name="Millares 14 2 7" xfId="3177" xr:uid="{006E2A97-9699-4886-9DBB-D58E9FD8DF03}"/>
    <cellStyle name="Millares 14 2 7 2" xfId="4458" xr:uid="{12B32A15-E71D-467C-B986-F89F8C4EFAFA}"/>
    <cellStyle name="Millares 14 2 7 2 2" xfId="6131" xr:uid="{43770347-9E7E-4687-BA44-5FF50F114E57}"/>
    <cellStyle name="Millares 14 2 7 2 3" xfId="7803" xr:uid="{F638A121-2031-469A-B6BA-010A80ECD38E}"/>
    <cellStyle name="Millares 14 2 7 3" xfId="5015" xr:uid="{65BB2FB9-065C-4B76-8F12-64A930669D46}"/>
    <cellStyle name="Millares 14 2 7 3 2" xfId="6688" xr:uid="{7D0682BE-6272-4132-BA3B-EAB026FCF8B0}"/>
    <cellStyle name="Millares 14 2 7 3 3" xfId="8360" xr:uid="{3CC340D2-A0A9-4DA6-8087-1034DC6763E0}"/>
    <cellStyle name="Millares 14 2 7 4" xfId="5573" xr:uid="{2F5092FF-7A52-41F1-AE79-7C9F69184E85}"/>
    <cellStyle name="Millares 14 2 7 5" xfId="7245" xr:uid="{EB941286-D190-4E6D-8B3F-87B469DB14E0}"/>
    <cellStyle name="Millares 14 2 7 6" xfId="8917" xr:uid="{26EC82E5-D611-4DD1-A544-12E1E9A0F2AC}"/>
    <cellStyle name="Millares 14 2 8" xfId="3178" xr:uid="{8D2D3B7C-1AA5-4D96-AFAE-00CE38B12207}"/>
    <cellStyle name="Millares 14 2 8 2" xfId="4459" xr:uid="{B73AF71D-C24E-4A18-B332-BA369696F6DE}"/>
    <cellStyle name="Millares 14 2 8 2 2" xfId="6132" xr:uid="{85983195-FA1F-46B2-B3B3-BDDE9ABBF56A}"/>
    <cellStyle name="Millares 14 2 8 2 3" xfId="7804" xr:uid="{AE7AD4EE-8A75-4509-924B-BBB5E547AD02}"/>
    <cellStyle name="Millares 14 2 8 3" xfId="5016" xr:uid="{49F22EA4-1A0E-48CE-BF37-005B0BC4BF35}"/>
    <cellStyle name="Millares 14 2 8 3 2" xfId="6689" xr:uid="{FB99A08C-F15C-443E-BFAC-A77516839C18}"/>
    <cellStyle name="Millares 14 2 8 3 3" xfId="8361" xr:uid="{76558FE8-4F45-47CB-BA6F-43FD5E177BD8}"/>
    <cellStyle name="Millares 14 2 8 4" xfId="5574" xr:uid="{7B0DE776-55DC-40C1-8DFB-6F7B0AD366D7}"/>
    <cellStyle name="Millares 14 2 8 5" xfId="7246" xr:uid="{F361F1AC-BA4F-4E57-9E56-D3DDD76F7ADA}"/>
    <cellStyle name="Millares 14 2 8 6" xfId="8918" xr:uid="{728B68B8-D2EC-426F-AFC1-BD296BA25B70}"/>
    <cellStyle name="Millares 14 2 9" xfId="3179" xr:uid="{08583BA8-5070-4CA8-BE56-B2642185D45E}"/>
    <cellStyle name="Millares 14 2 9 2" xfId="4460" xr:uid="{2FCBA7AB-87D7-493A-BBEB-9587E4C04C8E}"/>
    <cellStyle name="Millares 14 2 9 2 2" xfId="6133" xr:uid="{082B7B34-EC06-4D75-948E-54CF0C4F2DE8}"/>
    <cellStyle name="Millares 14 2 9 2 3" xfId="7805" xr:uid="{294DF3A9-4D52-4CEB-96A7-C947B8A19561}"/>
    <cellStyle name="Millares 14 2 9 3" xfId="5017" xr:uid="{462586F3-DC9C-40A4-9BDB-E82D9EE67ED7}"/>
    <cellStyle name="Millares 14 2 9 3 2" xfId="6690" xr:uid="{2A35F847-8A2D-4CF0-99A3-CDDA6954D96D}"/>
    <cellStyle name="Millares 14 2 9 3 3" xfId="8362" xr:uid="{0286568B-6845-4929-A949-B5A8C32EC552}"/>
    <cellStyle name="Millares 14 2 9 4" xfId="5575" xr:uid="{2AEEA701-7EA9-4398-BE55-DA4A80F4372C}"/>
    <cellStyle name="Millares 14 2 9 5" xfId="7247" xr:uid="{DC3B0AA2-3C9B-4A9A-98CB-B9B7E7A433B0}"/>
    <cellStyle name="Millares 14 2 9 6" xfId="8919" xr:uid="{417D725A-FE40-4778-9686-BC51F0338696}"/>
    <cellStyle name="Millares 14 3" xfId="3180" xr:uid="{4550FA1F-0194-48A3-9D5D-4BB640DDB252}"/>
    <cellStyle name="Millares 14 3 10" xfId="3181" xr:uid="{8F1AD6B7-E4A3-4A43-BC99-544A1BAC7B1A}"/>
    <cellStyle name="Millares 14 3 10 2" xfId="4462" xr:uid="{8BFDAA7F-19E8-43BE-ABFA-A676AAF4350E}"/>
    <cellStyle name="Millares 14 3 10 2 2" xfId="6135" xr:uid="{FF896BC0-A561-489F-907D-D382241BD31C}"/>
    <cellStyle name="Millares 14 3 10 2 3" xfId="7807" xr:uid="{6A700485-B5EE-4566-8B15-2D6806BF77DF}"/>
    <cellStyle name="Millares 14 3 10 3" xfId="5019" xr:uid="{08783D71-8A29-4141-AFCC-8BAC9E34C7A5}"/>
    <cellStyle name="Millares 14 3 10 3 2" xfId="6692" xr:uid="{45DB8A7E-2F7F-4B9C-A330-08D92D801EF4}"/>
    <cellStyle name="Millares 14 3 10 3 3" xfId="8364" xr:uid="{B5CA8940-1D56-4BA5-BDF3-F6A55843E850}"/>
    <cellStyle name="Millares 14 3 10 4" xfId="5577" xr:uid="{C06E9368-EF6C-46E0-9A5E-2C7E26D2CC4D}"/>
    <cellStyle name="Millares 14 3 10 5" xfId="7249" xr:uid="{D2C84104-1996-4BFD-B171-136EF3F8B0C8}"/>
    <cellStyle name="Millares 14 3 10 6" xfId="8921" xr:uid="{033842F8-10A5-4D98-9AE5-A22609EF345E}"/>
    <cellStyle name="Millares 14 3 11" xfId="4461" xr:uid="{F0DC1A78-2DF9-4C6C-B6E2-447FC98D638A}"/>
    <cellStyle name="Millares 14 3 11 2" xfId="6134" xr:uid="{8E9C2F78-70A0-48BA-B7FF-9EBA0841ED17}"/>
    <cellStyle name="Millares 14 3 11 3" xfId="7806" xr:uid="{0E6116F2-4B11-4798-82F6-9EACD4DA591A}"/>
    <cellStyle name="Millares 14 3 12" xfId="5018" xr:uid="{1EC69800-4857-407E-89C3-7D4FF71199EB}"/>
    <cellStyle name="Millares 14 3 12 2" xfId="6691" xr:uid="{D4B2AEC1-6C3B-440E-8705-C168104CE8ED}"/>
    <cellStyle name="Millares 14 3 12 3" xfId="8363" xr:uid="{21F3E43E-F634-4BF1-B581-9576CD5D47F5}"/>
    <cellStyle name="Millares 14 3 13" xfId="5576" xr:uid="{1B6BB850-2AE5-4B3F-82B7-FCA8EF804C44}"/>
    <cellStyle name="Millares 14 3 14" xfId="7248" xr:uid="{1B061FA4-01EF-450B-9E0A-5E064A06BE32}"/>
    <cellStyle name="Millares 14 3 15" xfId="8920" xr:uid="{D26747E6-BB6B-4ED8-9A29-00982125C478}"/>
    <cellStyle name="Millares 14 3 2" xfId="3182" xr:uid="{4A0F5656-914C-4102-A2CE-87D2B10F1DFE}"/>
    <cellStyle name="Millares 14 3 2 2" xfId="4463" xr:uid="{998FEAB4-2B4F-4F11-B72A-2CA8EDFD8EA9}"/>
    <cellStyle name="Millares 14 3 2 2 2" xfId="6136" xr:uid="{8545B124-46AF-4E76-B714-AFEB251ACA1E}"/>
    <cellStyle name="Millares 14 3 2 2 3" xfId="7808" xr:uid="{2F1BA7A1-747E-47E5-A9E5-9CE7F7AAA5FF}"/>
    <cellStyle name="Millares 14 3 2 3" xfId="5020" xr:uid="{1544BC53-C017-4E76-B1FD-4D6DCC729FEA}"/>
    <cellStyle name="Millares 14 3 2 3 2" xfId="6693" xr:uid="{FB8EE556-32A9-46E0-8FFE-197B31B1B7C7}"/>
    <cellStyle name="Millares 14 3 2 3 3" xfId="8365" xr:uid="{9AB80EBD-EF27-43EA-BE50-7D43EBA6B75E}"/>
    <cellStyle name="Millares 14 3 2 4" xfId="5578" xr:uid="{16DE9756-EB1B-4411-ACA0-E29F6DA6D226}"/>
    <cellStyle name="Millares 14 3 2 5" xfId="7250" xr:uid="{D172C74F-AD69-42B5-92C2-2A90EB544A40}"/>
    <cellStyle name="Millares 14 3 2 6" xfId="8922" xr:uid="{ECD8B0BC-D9D0-48F7-A39A-A0DFB2E9DF0A}"/>
    <cellStyle name="Millares 14 3 3" xfId="3183" xr:uid="{CFADA99A-5173-45E2-951C-1983882AEE30}"/>
    <cellStyle name="Millares 14 3 3 2" xfId="4464" xr:uid="{EE301C47-1F72-45AD-B687-ABC804A2017B}"/>
    <cellStyle name="Millares 14 3 3 2 2" xfId="6137" xr:uid="{55637F9F-6954-46E4-BE8A-EDA8B6910463}"/>
    <cellStyle name="Millares 14 3 3 2 3" xfId="7809" xr:uid="{CC08C304-D809-44C8-AD7F-CAB285799B7A}"/>
    <cellStyle name="Millares 14 3 3 3" xfId="5021" xr:uid="{052AD729-9642-4B0B-8834-ACA9FBBF7B12}"/>
    <cellStyle name="Millares 14 3 3 3 2" xfId="6694" xr:uid="{5D4CFEBF-E6EE-42D5-A837-9E89914A7627}"/>
    <cellStyle name="Millares 14 3 3 3 3" xfId="8366" xr:uid="{5493B883-7485-47E6-8007-3447759BDC72}"/>
    <cellStyle name="Millares 14 3 3 4" xfId="5579" xr:uid="{B019F795-D7E2-43CF-AFFA-96E518CB47ED}"/>
    <cellStyle name="Millares 14 3 3 5" xfId="7251" xr:uid="{41CE5C2B-18E8-4172-A98C-EA4A855BB6FB}"/>
    <cellStyle name="Millares 14 3 3 6" xfId="8923" xr:uid="{FA568FBB-A25C-4C2C-8461-AD9C353D8A2A}"/>
    <cellStyle name="Millares 14 3 4" xfId="3184" xr:uid="{3D4D0D28-46D3-46EE-9B8E-7E3EDB203C92}"/>
    <cellStyle name="Millares 14 3 4 2" xfId="4465" xr:uid="{9FC1C101-1ABE-49D5-9E8F-33B3E3EA87B2}"/>
    <cellStyle name="Millares 14 3 4 2 2" xfId="6138" xr:uid="{01921323-4B7A-4C4A-909E-764692B44CFC}"/>
    <cellStyle name="Millares 14 3 4 2 3" xfId="7810" xr:uid="{7092DF53-E167-4234-A17B-92CA9E3E45ED}"/>
    <cellStyle name="Millares 14 3 4 3" xfId="5022" xr:uid="{6688E0E4-1149-4E34-AF2E-F573795DFD75}"/>
    <cellStyle name="Millares 14 3 4 3 2" xfId="6695" xr:uid="{8B17C0CB-2DD0-4E82-AE0F-B31E083257F7}"/>
    <cellStyle name="Millares 14 3 4 3 3" xfId="8367" xr:uid="{75128DC1-B16D-4216-B967-91BDD4BFEE62}"/>
    <cellStyle name="Millares 14 3 4 4" xfId="5580" xr:uid="{6E80A121-8D24-47A3-8F67-9D6B8067CE52}"/>
    <cellStyle name="Millares 14 3 4 5" xfId="7252" xr:uid="{13223C74-53B9-4668-B509-11B761957856}"/>
    <cellStyle name="Millares 14 3 4 6" xfId="8924" xr:uid="{C6532ADA-E687-4F58-97A3-B8A11686103C}"/>
    <cellStyle name="Millares 14 3 5" xfId="3185" xr:uid="{BC1BB7A2-6BC9-4D5F-99EC-5B16805A1A98}"/>
    <cellStyle name="Millares 14 3 5 2" xfId="4466" xr:uid="{CD29773E-683C-47A5-9B98-B30871426B23}"/>
    <cellStyle name="Millares 14 3 5 2 2" xfId="6139" xr:uid="{E8A0A92C-5BBD-4519-AB46-502EDC8681E1}"/>
    <cellStyle name="Millares 14 3 5 2 3" xfId="7811" xr:uid="{181AD739-1DD0-42F7-8C4E-9AC0662B509D}"/>
    <cellStyle name="Millares 14 3 5 3" xfId="5023" xr:uid="{61F33E4E-9822-4B33-A798-78DB3A352E34}"/>
    <cellStyle name="Millares 14 3 5 3 2" xfId="6696" xr:uid="{3F87F268-E042-4DAE-8EF6-3BBCF11BEAA4}"/>
    <cellStyle name="Millares 14 3 5 3 3" xfId="8368" xr:uid="{BA4A300D-EF11-4D39-8B9D-5726696FD430}"/>
    <cellStyle name="Millares 14 3 5 4" xfId="5581" xr:uid="{96360A01-13C9-4A96-AB26-EE28106307C9}"/>
    <cellStyle name="Millares 14 3 5 5" xfId="7253" xr:uid="{9BA2725D-4E0E-4579-B794-5081A09D596C}"/>
    <cellStyle name="Millares 14 3 5 6" xfId="8925" xr:uid="{1B8ABAAE-554C-4D20-B8C2-E96EC7916390}"/>
    <cellStyle name="Millares 14 3 6" xfId="3186" xr:uid="{7CD00EC6-B635-4CD0-8D2E-A988AC60513C}"/>
    <cellStyle name="Millares 14 3 6 2" xfId="4467" xr:uid="{40DE3B28-E5FF-4198-9EB8-88A1A42EFFA7}"/>
    <cellStyle name="Millares 14 3 6 2 2" xfId="6140" xr:uid="{DC289E20-BA4E-4067-80CD-AF8AFA97EB31}"/>
    <cellStyle name="Millares 14 3 6 2 3" xfId="7812" xr:uid="{FEBAEAD5-0FDF-4874-9BEC-7027337A868C}"/>
    <cellStyle name="Millares 14 3 6 3" xfId="5024" xr:uid="{5245B6DE-D477-4E91-B89E-07425413AAE7}"/>
    <cellStyle name="Millares 14 3 6 3 2" xfId="6697" xr:uid="{6000C535-A02F-4D8A-865D-8C10A65BED59}"/>
    <cellStyle name="Millares 14 3 6 3 3" xfId="8369" xr:uid="{3852859E-40F6-4E75-851B-AD5ECFBFF242}"/>
    <cellStyle name="Millares 14 3 6 4" xfId="5582" xr:uid="{3A28F591-CF69-4F9F-AEA4-69D59FFDC332}"/>
    <cellStyle name="Millares 14 3 6 5" xfId="7254" xr:uid="{251E6F24-5E6A-48EB-80B9-A62D5513298E}"/>
    <cellStyle name="Millares 14 3 6 6" xfId="8926" xr:uid="{50A60B92-B6DC-474B-B881-A99FC5BF8143}"/>
    <cellStyle name="Millares 14 3 7" xfId="3187" xr:uid="{5B941F07-D8A5-4737-A737-F25CAD2E3139}"/>
    <cellStyle name="Millares 14 3 7 2" xfId="4468" xr:uid="{4B4A7E75-FD74-4828-9CE0-83E7CE4448FC}"/>
    <cellStyle name="Millares 14 3 7 2 2" xfId="6141" xr:uid="{ABDEDD49-A75E-4C05-B701-B4670995C518}"/>
    <cellStyle name="Millares 14 3 7 2 3" xfId="7813" xr:uid="{0D6E808C-F22D-4C80-BE1A-B4C8EF9B1249}"/>
    <cellStyle name="Millares 14 3 7 3" xfId="5025" xr:uid="{29B102FC-4CE3-4345-BC30-18AA26AEAC99}"/>
    <cellStyle name="Millares 14 3 7 3 2" xfId="6698" xr:uid="{85F6E01D-961E-457D-B3AA-3A99CCA2F5FE}"/>
    <cellStyle name="Millares 14 3 7 3 3" xfId="8370" xr:uid="{E3935828-B9C9-4F16-AA3E-08F95FC24AA0}"/>
    <cellStyle name="Millares 14 3 7 4" xfId="5583" xr:uid="{71E88AE9-9CBD-49AC-A6E8-DAA7BD91101F}"/>
    <cellStyle name="Millares 14 3 7 5" xfId="7255" xr:uid="{BADAB8CC-4595-4FBC-904F-4FB7651B2B0F}"/>
    <cellStyle name="Millares 14 3 7 6" xfId="8927" xr:uid="{B3697DFE-1775-463D-8407-ACD8420AFFE5}"/>
    <cellStyle name="Millares 14 3 8" xfId="3188" xr:uid="{50D359CB-F00B-4080-9C09-5C723BC58D63}"/>
    <cellStyle name="Millares 14 3 8 2" xfId="4469" xr:uid="{036D5BDE-03FC-4574-8EF6-73B6E520E253}"/>
    <cellStyle name="Millares 14 3 8 2 2" xfId="6142" xr:uid="{3C2D6336-6160-48CF-B1F9-0E9935775A99}"/>
    <cellStyle name="Millares 14 3 8 2 3" xfId="7814" xr:uid="{B031EFF7-E7B1-4BAA-BB8B-42A3FE85C1AF}"/>
    <cellStyle name="Millares 14 3 8 3" xfId="5026" xr:uid="{30E46B2D-0548-4B76-84F4-C79DC7E0C843}"/>
    <cellStyle name="Millares 14 3 8 3 2" xfId="6699" xr:uid="{8EAB9D75-BB52-4A0C-BD40-F74B6B9D2758}"/>
    <cellStyle name="Millares 14 3 8 3 3" xfId="8371" xr:uid="{7AA52B45-80DD-4463-B049-71C344ED73CF}"/>
    <cellStyle name="Millares 14 3 8 4" xfId="5584" xr:uid="{6F22AA9B-5F7A-443C-BE70-8571FCABB678}"/>
    <cellStyle name="Millares 14 3 8 5" xfId="7256" xr:uid="{2023879E-6819-471B-B7CC-F20B02BD2CF6}"/>
    <cellStyle name="Millares 14 3 8 6" xfId="8928" xr:uid="{09B9A644-1152-43BE-9C0D-DA5AC8606ED0}"/>
    <cellStyle name="Millares 14 3 9" xfId="3189" xr:uid="{3E0CD0BA-4ACD-4B5A-A27F-5E013C32D479}"/>
    <cellStyle name="Millares 14 3 9 2" xfId="4470" xr:uid="{8BC7EB4E-344D-414A-A840-EAED46A22E84}"/>
    <cellStyle name="Millares 14 3 9 2 2" xfId="6143" xr:uid="{911DE48A-AA31-4518-9543-9BA2385B4053}"/>
    <cellStyle name="Millares 14 3 9 2 3" xfId="7815" xr:uid="{F3FC674D-E4C4-4EEB-ACDA-0C562E9FF146}"/>
    <cellStyle name="Millares 14 3 9 3" xfId="5027" xr:uid="{AC3B0542-4C4D-48B6-BF2B-160E6D1551D0}"/>
    <cellStyle name="Millares 14 3 9 3 2" xfId="6700" xr:uid="{B68A777C-8C52-4AFF-98F6-7A60996497A1}"/>
    <cellStyle name="Millares 14 3 9 3 3" xfId="8372" xr:uid="{DBE2EA22-C902-41B4-A4E3-E27C18DFD0D7}"/>
    <cellStyle name="Millares 14 3 9 4" xfId="5585" xr:uid="{D4DD421A-D9B7-4252-81F9-318D9765E1DC}"/>
    <cellStyle name="Millares 14 3 9 5" xfId="7257" xr:uid="{D4E99179-CA1C-4C9F-B201-D58C3CB3D8F5}"/>
    <cellStyle name="Millares 14 3 9 6" xfId="8929" xr:uid="{E5A04879-AAC2-4A48-82C5-2A0E2F0EA8E4}"/>
    <cellStyle name="Millares 14 4" xfId="3190" xr:uid="{7C1CA7E6-10B8-4180-B3DE-60FD261ED808}"/>
    <cellStyle name="Millares 14 4 2" xfId="4471" xr:uid="{51942C02-A7D5-450A-A470-94AEA415F146}"/>
    <cellStyle name="Millares 14 4 2 2" xfId="6144" xr:uid="{D962C5E0-7EB8-4E8F-B28C-0517B24DBFCB}"/>
    <cellStyle name="Millares 14 4 2 3" xfId="7816" xr:uid="{584E4539-D972-4E89-BED0-596AF6B280E6}"/>
    <cellStyle name="Millares 14 4 3" xfId="5028" xr:uid="{E4180E63-5DF3-4130-9C12-3A031FA17E59}"/>
    <cellStyle name="Millares 14 4 3 2" xfId="6701" xr:uid="{5A58632E-8D65-4913-8A09-AF0791F0A2D4}"/>
    <cellStyle name="Millares 14 4 3 3" xfId="8373" xr:uid="{828821BB-DA6D-47EE-ACB9-8C6C349E6FF4}"/>
    <cellStyle name="Millares 14 4 4" xfId="5586" xr:uid="{A02B4E3D-A34A-4048-B75D-4120A1381760}"/>
    <cellStyle name="Millares 14 4 5" xfId="7258" xr:uid="{5C9E8ED3-1EC3-48C3-BAE6-33010ABB8748}"/>
    <cellStyle name="Millares 14 4 6" xfId="8930" xr:uid="{79777C57-95D0-4602-9E64-549BDE781EA4}"/>
    <cellStyle name="Millares 14 5" xfId="3191" xr:uid="{5953FF24-F93E-45AB-BF70-28774F651929}"/>
    <cellStyle name="Millares 14 5 2" xfId="4472" xr:uid="{A18D091E-61C8-43F6-ADF3-543345F5B02C}"/>
    <cellStyle name="Millares 14 5 2 2" xfId="6145" xr:uid="{5A2A576E-90CD-48B8-9226-B31F923FCD57}"/>
    <cellStyle name="Millares 14 5 2 3" xfId="7817" xr:uid="{5E54CDD1-4BFD-4147-8455-DC711EDAA352}"/>
    <cellStyle name="Millares 14 5 3" xfId="5029" xr:uid="{7BD6A62B-4B21-412B-9B63-04F5B64BD59E}"/>
    <cellStyle name="Millares 14 5 3 2" xfId="6702" xr:uid="{BA5123B6-5EDD-40FF-B79A-17F19391C096}"/>
    <cellStyle name="Millares 14 5 3 3" xfId="8374" xr:uid="{1B7F394B-0D24-4B01-8870-602EDEFF6E7A}"/>
    <cellStyle name="Millares 14 5 4" xfId="5587" xr:uid="{67A2E495-5D94-4682-BCD9-9BC3D27099A8}"/>
    <cellStyle name="Millares 14 5 5" xfId="7259" xr:uid="{3AD207EA-2197-4D8C-AE9C-AD42CB0A209A}"/>
    <cellStyle name="Millares 14 5 6" xfId="8931" xr:uid="{6C6C1823-46FE-418C-A2A2-CF4341A83689}"/>
    <cellStyle name="Millares 14 6" xfId="3192" xr:uid="{FC023F90-7C3D-45B2-86EF-73A2B58D82FA}"/>
    <cellStyle name="Millares 14 6 2" xfId="4473" xr:uid="{70757717-96CA-4326-8214-9921554D08AF}"/>
    <cellStyle name="Millares 14 6 2 2" xfId="6146" xr:uid="{46EF9276-2C4B-4B02-84AF-5164C301C613}"/>
    <cellStyle name="Millares 14 6 2 3" xfId="7818" xr:uid="{E75E132C-7712-43D3-AD27-ABD888C99737}"/>
    <cellStyle name="Millares 14 6 3" xfId="5030" xr:uid="{E123B7BE-37D3-4B23-BEDE-04A33924D522}"/>
    <cellStyle name="Millares 14 6 3 2" xfId="6703" xr:uid="{DE4E340F-9090-4C15-B109-238CF1A62347}"/>
    <cellStyle name="Millares 14 6 3 3" xfId="8375" xr:uid="{70A48136-5260-45BD-B92A-B12E9EC80AB1}"/>
    <cellStyle name="Millares 14 6 4" xfId="5588" xr:uid="{9529CFA1-6948-4CDE-9577-6E5D63FEACED}"/>
    <cellStyle name="Millares 14 6 5" xfId="7260" xr:uid="{F94D5489-3AF5-43C8-B087-A93305909280}"/>
    <cellStyle name="Millares 14 6 6" xfId="8932" xr:uid="{56259F7A-9D84-4B03-8907-0F85E2C9C4A8}"/>
    <cellStyle name="Millares 14 7" xfId="3193" xr:uid="{63F6699B-2979-4897-B7B7-68C35E6ABC24}"/>
    <cellStyle name="Millares 14 7 2" xfId="4474" xr:uid="{2049838E-DE36-4D1B-801B-310285C4AC01}"/>
    <cellStyle name="Millares 14 7 2 2" xfId="6147" xr:uid="{8CA50752-F418-4CF6-A8B4-C180EE66A125}"/>
    <cellStyle name="Millares 14 7 2 3" xfId="7819" xr:uid="{74F1CF96-8E1E-4211-8B0E-267E71BD7C68}"/>
    <cellStyle name="Millares 14 7 3" xfId="5031" xr:uid="{A1A17E94-2E27-4866-A87A-4BA04C5ADCEC}"/>
    <cellStyle name="Millares 14 7 3 2" xfId="6704" xr:uid="{1A7E7003-92BA-4A09-A0FF-27FD8FBDDEEE}"/>
    <cellStyle name="Millares 14 7 3 3" xfId="8376" xr:uid="{41DB35B5-8034-46B2-B34D-FC479B225052}"/>
    <cellStyle name="Millares 14 7 4" xfId="5589" xr:uid="{5827E1ED-CD5E-4064-9D48-CFCDD7AB2485}"/>
    <cellStyle name="Millares 14 7 5" xfId="7261" xr:uid="{5F17BC1D-8ECE-4748-9372-13AC765F0316}"/>
    <cellStyle name="Millares 14 7 6" xfId="8933" xr:uid="{9C43CF67-AA3D-44C0-928B-9ED85E7AAB6F}"/>
    <cellStyle name="Millares 14 8" xfId="3194" xr:uid="{7F722577-99A1-4A8D-A786-D4E95D1C3A1E}"/>
    <cellStyle name="Millares 14 8 2" xfId="4475" xr:uid="{EE39F1BF-8EAA-4386-8114-2B4D62B0B1EA}"/>
    <cellStyle name="Millares 14 8 2 2" xfId="6148" xr:uid="{6BD30FD8-70EC-4747-96D7-BE2D981A2F5B}"/>
    <cellStyle name="Millares 14 8 2 3" xfId="7820" xr:uid="{88A7FC62-AF06-43D1-B7B2-42C24647E15B}"/>
    <cellStyle name="Millares 14 8 3" xfId="5032" xr:uid="{42472F86-1162-4B3D-A2C9-427E90997DBA}"/>
    <cellStyle name="Millares 14 8 3 2" xfId="6705" xr:uid="{596AAEA3-9BDE-4195-AB0A-2EB64F4EECD1}"/>
    <cellStyle name="Millares 14 8 3 3" xfId="8377" xr:uid="{D23E8D63-C186-46B6-91BA-9B04961DBB14}"/>
    <cellStyle name="Millares 14 8 4" xfId="5590" xr:uid="{287EC49A-E8B1-4798-AE8F-BDBCB469F55D}"/>
    <cellStyle name="Millares 14 8 5" xfId="7262" xr:uid="{F9CA9B40-EDF6-40A0-83E5-1AEA70A45CEB}"/>
    <cellStyle name="Millares 14 8 6" xfId="8934" xr:uid="{1C2F7B30-040F-4C06-8F70-FE26828F7B64}"/>
    <cellStyle name="Millares 14 9" xfId="3195" xr:uid="{E77A385F-BC71-4B57-9CB4-DBD4D9DA128F}"/>
    <cellStyle name="Millares 14 9 2" xfId="4476" xr:uid="{7164D5CE-1A3F-438F-A821-C6BBD47CA0AF}"/>
    <cellStyle name="Millares 14 9 2 2" xfId="6149" xr:uid="{5B518004-B1BB-4063-B852-03EB07510C4D}"/>
    <cellStyle name="Millares 14 9 2 3" xfId="7821" xr:uid="{96E88271-C1FC-4FB7-9A24-0BCAA26B5D1B}"/>
    <cellStyle name="Millares 14 9 3" xfId="5033" xr:uid="{2B3208B4-7408-4FC7-851D-F89B95518EF8}"/>
    <cellStyle name="Millares 14 9 3 2" xfId="6706" xr:uid="{71EAFB6D-6743-43A3-8B36-242E9F73E952}"/>
    <cellStyle name="Millares 14 9 3 3" xfId="8378" xr:uid="{B5C91193-00FB-4A7C-BDCA-6D62974CF7F6}"/>
    <cellStyle name="Millares 14 9 4" xfId="5591" xr:uid="{638E8ED2-9159-4445-9976-2AECE2E98268}"/>
    <cellStyle name="Millares 14 9 5" xfId="7263" xr:uid="{42EBC2D1-5C13-4B90-AA03-727DCCB5BB93}"/>
    <cellStyle name="Millares 14 9 6" xfId="8935" xr:uid="{8FCCF428-943F-409F-BF64-E06EF3B7F6E5}"/>
    <cellStyle name="Millares 15" xfId="3196" xr:uid="{7D8184D6-4C21-4983-8CF9-71D0789400F0}"/>
    <cellStyle name="Millares 15 10" xfId="3197" xr:uid="{0C828BC4-790A-464D-A555-A9531F635610}"/>
    <cellStyle name="Millares 15 10 2" xfId="4478" xr:uid="{D461B9D5-3EA8-4C09-BC83-279CC1E10D42}"/>
    <cellStyle name="Millares 15 10 2 2" xfId="6151" xr:uid="{7B7D52F4-E6F8-494D-9DFF-0B8945B28103}"/>
    <cellStyle name="Millares 15 10 2 3" xfId="7823" xr:uid="{5EFBAFAE-F222-4395-B866-1A068A5A4014}"/>
    <cellStyle name="Millares 15 10 3" xfId="5035" xr:uid="{7158DC1C-65BB-439E-9F5F-34D30A7DAB0A}"/>
    <cellStyle name="Millares 15 10 3 2" xfId="6708" xr:uid="{C29AC4B5-ED7A-4E77-8009-389999F6E06E}"/>
    <cellStyle name="Millares 15 10 3 3" xfId="8380" xr:uid="{95226920-AC0F-40A8-AE92-6559FACEFE4C}"/>
    <cellStyle name="Millares 15 10 4" xfId="5593" xr:uid="{65A5E222-1F34-4BB5-9AF6-FAD51C3D4B8C}"/>
    <cellStyle name="Millares 15 10 5" xfId="7265" xr:uid="{0A982E81-6763-4677-AEC9-9F888A8A108B}"/>
    <cellStyle name="Millares 15 10 6" xfId="8937" xr:uid="{C50C677A-F28F-424D-A779-5104405D1C82}"/>
    <cellStyle name="Millares 15 11" xfId="3198" xr:uid="{CBE5AD7E-C400-41DC-B5DA-F2F749F7A079}"/>
    <cellStyle name="Millares 15 11 2" xfId="4479" xr:uid="{A9EB9AEF-A30F-472C-9DA4-66C12A9DECD6}"/>
    <cellStyle name="Millares 15 11 2 2" xfId="6152" xr:uid="{8CA48580-F285-43F3-B345-0032DF1D7B89}"/>
    <cellStyle name="Millares 15 11 2 3" xfId="7824" xr:uid="{8C109A5F-4634-4E6A-B3D4-C20646402671}"/>
    <cellStyle name="Millares 15 11 3" xfId="5036" xr:uid="{7660B1B4-7165-477C-A005-ED3BD403E13E}"/>
    <cellStyle name="Millares 15 11 3 2" xfId="6709" xr:uid="{A235AA87-261C-4C0C-924B-2107E5C93BD4}"/>
    <cellStyle name="Millares 15 11 3 3" xfId="8381" xr:uid="{3EAD3F8A-1585-40BF-B18B-50C3FB7715D9}"/>
    <cellStyle name="Millares 15 11 4" xfId="5594" xr:uid="{DB0A176A-4429-4E6E-8F3C-403F92BF3BF8}"/>
    <cellStyle name="Millares 15 11 5" xfId="7266" xr:uid="{CBA90E81-1D39-4075-B73D-048F418D7A75}"/>
    <cellStyle name="Millares 15 11 6" xfId="8938" xr:uid="{1AA84B54-50CC-4FC2-B118-FC46A0B5D981}"/>
    <cellStyle name="Millares 15 12" xfId="3199" xr:uid="{601F725A-D8D7-4AC2-B5BB-511F8CB671D6}"/>
    <cellStyle name="Millares 15 12 2" xfId="4480" xr:uid="{311FFFC1-41CF-4256-B209-FB723BF68682}"/>
    <cellStyle name="Millares 15 12 2 2" xfId="6153" xr:uid="{A1B7605D-569E-4002-A868-684791D5F97F}"/>
    <cellStyle name="Millares 15 12 2 3" xfId="7825" xr:uid="{B1F4ED85-FE83-43FD-92AA-8597F4E2C4EF}"/>
    <cellStyle name="Millares 15 12 3" xfId="5037" xr:uid="{BE609F54-E471-4BE6-B00F-D7639BD67A7C}"/>
    <cellStyle name="Millares 15 12 3 2" xfId="6710" xr:uid="{AB01E132-7186-48AE-9EB1-634B98F7893A}"/>
    <cellStyle name="Millares 15 12 3 3" xfId="8382" xr:uid="{BEACD339-EF8C-4946-B6ED-65773EAA2FC9}"/>
    <cellStyle name="Millares 15 12 4" xfId="5595" xr:uid="{7DC448A8-7E49-4699-B546-21B9B8ECEED3}"/>
    <cellStyle name="Millares 15 12 5" xfId="7267" xr:uid="{D53F995F-3CF1-4B90-808D-EE195EC76457}"/>
    <cellStyle name="Millares 15 12 6" xfId="8939" xr:uid="{6BBAD658-8E2E-417E-9116-62BF3ACB5E7E}"/>
    <cellStyle name="Millares 15 13" xfId="4477" xr:uid="{6D80C68C-F890-4A7F-82ED-E896CA2DD350}"/>
    <cellStyle name="Millares 15 13 2" xfId="6150" xr:uid="{F4565BE1-C054-4A66-B939-BF8F1FBA9D17}"/>
    <cellStyle name="Millares 15 13 3" xfId="7822" xr:uid="{BA40ACB6-EBB4-42BA-9C2C-60D73E568FC1}"/>
    <cellStyle name="Millares 15 14" xfId="5034" xr:uid="{07EE95B4-343D-486D-A9A5-728FA57BBE77}"/>
    <cellStyle name="Millares 15 14 2" xfId="6707" xr:uid="{86420BDD-1E7D-470C-8E71-B1AE54C09355}"/>
    <cellStyle name="Millares 15 14 3" xfId="8379" xr:uid="{016D9583-4081-407A-A366-2F9205A5FE41}"/>
    <cellStyle name="Millares 15 15" xfId="5592" xr:uid="{4E106879-1E63-462E-B093-4D9BACD3CB67}"/>
    <cellStyle name="Millares 15 16" xfId="7264" xr:uid="{A41CFE66-EE7F-44FC-94F1-DE0211187AE5}"/>
    <cellStyle name="Millares 15 17" xfId="8936" xr:uid="{DE95ECEC-976C-4AA8-B2E5-28B8D68D2076}"/>
    <cellStyle name="Millares 15 2" xfId="3200" xr:uid="{AFAE2AEC-A95B-443F-B1D2-2A2D73F962A5}"/>
    <cellStyle name="Millares 15 2 10" xfId="3201" xr:uid="{941F9153-5653-4CC8-90D4-11AC266327E4}"/>
    <cellStyle name="Millares 15 2 10 2" xfId="4482" xr:uid="{CA0A2DE7-B804-4F06-AFF3-9980EBF39645}"/>
    <cellStyle name="Millares 15 2 10 2 2" xfId="6155" xr:uid="{B78E4186-1A72-4839-8C4A-76D0EFAEF655}"/>
    <cellStyle name="Millares 15 2 10 2 3" xfId="7827" xr:uid="{C7F03CC2-7A90-4177-ADAC-0DCD2DE86AB2}"/>
    <cellStyle name="Millares 15 2 10 3" xfId="5039" xr:uid="{866BA0D1-577E-4122-8850-CB24F1E9025E}"/>
    <cellStyle name="Millares 15 2 10 3 2" xfId="6712" xr:uid="{E0DEBDC9-6C1B-40AF-94E4-16079CF8C169}"/>
    <cellStyle name="Millares 15 2 10 3 3" xfId="8384" xr:uid="{A58FE714-2A28-4D2D-8F5A-90728DF33F22}"/>
    <cellStyle name="Millares 15 2 10 4" xfId="5597" xr:uid="{235AF8DA-3C1D-4FD8-83EF-44EF4D2ABEF0}"/>
    <cellStyle name="Millares 15 2 10 5" xfId="7269" xr:uid="{2DD432D4-BE98-41FA-B0B5-72FAA1DB92D0}"/>
    <cellStyle name="Millares 15 2 10 6" xfId="8941" xr:uid="{705D547C-193C-418C-AF46-4ABD88FBB1FE}"/>
    <cellStyle name="Millares 15 2 11" xfId="4481" xr:uid="{1A859E09-3394-4F23-989E-20218270ED38}"/>
    <cellStyle name="Millares 15 2 11 2" xfId="6154" xr:uid="{01669D3D-6CB8-447D-9079-F83F6630305E}"/>
    <cellStyle name="Millares 15 2 11 3" xfId="7826" xr:uid="{1F7583EC-28FF-44FC-9718-55450F8667F3}"/>
    <cellStyle name="Millares 15 2 12" xfId="5038" xr:uid="{C2ABF194-15A1-4FE0-8B9C-7B2B5C6F58C8}"/>
    <cellStyle name="Millares 15 2 12 2" xfId="6711" xr:uid="{03021119-E546-460F-8720-26765020A338}"/>
    <cellStyle name="Millares 15 2 12 3" xfId="8383" xr:uid="{457B7868-F21A-4113-B018-A0C4A4D409E2}"/>
    <cellStyle name="Millares 15 2 13" xfId="5596" xr:uid="{69B965B6-6D58-4FD4-9E45-1E1ADE310D10}"/>
    <cellStyle name="Millares 15 2 14" xfId="7268" xr:uid="{52CE0389-0428-442F-8FFA-C9F5E86E487E}"/>
    <cellStyle name="Millares 15 2 15" xfId="8940" xr:uid="{CDDDC98C-482E-41F8-8476-3BB1DABB82FF}"/>
    <cellStyle name="Millares 15 2 2" xfId="3202" xr:uid="{6C77C64B-D4F6-4168-920E-B5491ED3CC96}"/>
    <cellStyle name="Millares 15 2 2 2" xfId="4483" xr:uid="{4D7CBD0E-F995-4653-8536-5F083932EFD7}"/>
    <cellStyle name="Millares 15 2 2 2 2" xfId="6156" xr:uid="{563242CF-8704-4F55-896B-03CF6DF29C67}"/>
    <cellStyle name="Millares 15 2 2 2 3" xfId="7828" xr:uid="{76A3D6F5-2AF6-4153-88F3-8F79A5EB6132}"/>
    <cellStyle name="Millares 15 2 2 3" xfId="5040" xr:uid="{4BA9AC16-13D6-4F46-BAE6-C597CF88A67D}"/>
    <cellStyle name="Millares 15 2 2 3 2" xfId="6713" xr:uid="{5538F997-B656-4F97-BA94-6131BE1CE7C1}"/>
    <cellStyle name="Millares 15 2 2 3 3" xfId="8385" xr:uid="{7D90230C-EBED-41A6-A05A-7E945D42E81D}"/>
    <cellStyle name="Millares 15 2 2 4" xfId="5598" xr:uid="{7C83AE84-D3E1-4C4F-9E19-3DA5B7CD3705}"/>
    <cellStyle name="Millares 15 2 2 5" xfId="7270" xr:uid="{138544D6-88B2-4669-9384-DC7B3866811E}"/>
    <cellStyle name="Millares 15 2 2 6" xfId="8942" xr:uid="{3CDAE903-06A9-46B3-8761-539242445DAF}"/>
    <cellStyle name="Millares 15 2 3" xfId="3203" xr:uid="{D5D934BE-6F02-483A-A013-D06E7ED2E3AA}"/>
    <cellStyle name="Millares 15 2 3 2" xfId="4484" xr:uid="{80247692-4AF4-46F8-AC8C-38ADBBFE379F}"/>
    <cellStyle name="Millares 15 2 3 2 2" xfId="6157" xr:uid="{DBE74F73-4E9B-4AAA-9F99-9DD46489277F}"/>
    <cellStyle name="Millares 15 2 3 2 3" xfId="7829" xr:uid="{15E95267-C5DA-4603-B5E1-B1EA0D1839A3}"/>
    <cellStyle name="Millares 15 2 3 3" xfId="5041" xr:uid="{71167ADC-6D2D-4379-8080-F647A8FB12FB}"/>
    <cellStyle name="Millares 15 2 3 3 2" xfId="6714" xr:uid="{F13BA523-EAA5-4AF9-87B2-2F99DC405E35}"/>
    <cellStyle name="Millares 15 2 3 3 3" xfId="8386" xr:uid="{4DA6D75C-EED0-4AD0-A222-7175756E66D1}"/>
    <cellStyle name="Millares 15 2 3 4" xfId="5599" xr:uid="{4583B15A-28E1-4CCB-952F-67DD3296C201}"/>
    <cellStyle name="Millares 15 2 3 5" xfId="7271" xr:uid="{613D9FB3-1108-421A-BD3B-610308855444}"/>
    <cellStyle name="Millares 15 2 3 6" xfId="8943" xr:uid="{4495D796-B6F3-4497-B7E8-F070B5DB6DDD}"/>
    <cellStyle name="Millares 15 2 4" xfId="3204" xr:uid="{4D9870CD-F551-4BDD-86E3-D9AE26D26BA3}"/>
    <cellStyle name="Millares 15 2 4 2" xfId="4485" xr:uid="{AB787912-2F4F-4F90-8070-86C23992022F}"/>
    <cellStyle name="Millares 15 2 4 2 2" xfId="6158" xr:uid="{D2AC3D8F-205F-448C-93E8-78E3D248E84C}"/>
    <cellStyle name="Millares 15 2 4 2 3" xfId="7830" xr:uid="{21028C2F-D615-42E1-ABEF-E3EDEA87BD12}"/>
    <cellStyle name="Millares 15 2 4 3" xfId="5042" xr:uid="{187B29C3-774D-42C6-83E2-CA0C5DE40E7B}"/>
    <cellStyle name="Millares 15 2 4 3 2" xfId="6715" xr:uid="{EE87AE4A-CA97-4FCA-B1A2-4F27B1E64EAB}"/>
    <cellStyle name="Millares 15 2 4 3 3" xfId="8387" xr:uid="{7061A67C-2BA2-45C3-905F-78060FF9E1F9}"/>
    <cellStyle name="Millares 15 2 4 4" xfId="5600" xr:uid="{BFB04A72-61ED-4E8D-97CC-17AF942CAC03}"/>
    <cellStyle name="Millares 15 2 4 5" xfId="7272" xr:uid="{5528744B-6BDA-4EE7-BE66-BD9C8654FEB9}"/>
    <cellStyle name="Millares 15 2 4 6" xfId="8944" xr:uid="{3FA44005-E2F5-48BF-9C82-E84C63EAD696}"/>
    <cellStyle name="Millares 15 2 5" xfId="3205" xr:uid="{CD2E9DCE-CD3F-44F5-ABF8-C29791ADBCD2}"/>
    <cellStyle name="Millares 15 2 5 2" xfId="4486" xr:uid="{8B9C07AB-E7A2-4D91-9E31-437662EC80DA}"/>
    <cellStyle name="Millares 15 2 5 2 2" xfId="6159" xr:uid="{55B4BB89-D760-44B2-A736-FC432C0865DC}"/>
    <cellStyle name="Millares 15 2 5 2 3" xfId="7831" xr:uid="{DE69AD1B-FF13-4E1D-B57E-E2290C0E1B5B}"/>
    <cellStyle name="Millares 15 2 5 3" xfId="5043" xr:uid="{A2337F45-20C4-4E29-975F-7A02E5044641}"/>
    <cellStyle name="Millares 15 2 5 3 2" xfId="6716" xr:uid="{E9453CFF-C445-4F11-AD0D-32B094DC432E}"/>
    <cellStyle name="Millares 15 2 5 3 3" xfId="8388" xr:uid="{194B50A1-7DC5-42A9-A385-BAED512688B7}"/>
    <cellStyle name="Millares 15 2 5 4" xfId="5601" xr:uid="{7043CD64-C687-4B61-930E-CF3BA8197822}"/>
    <cellStyle name="Millares 15 2 5 5" xfId="7273" xr:uid="{49B1E74E-AEC9-4867-BDAC-614EF64AA23D}"/>
    <cellStyle name="Millares 15 2 5 6" xfId="8945" xr:uid="{D73DCF1D-1FBF-4027-8447-6E7A31DF19AD}"/>
    <cellStyle name="Millares 15 2 6" xfId="3206" xr:uid="{F7BB381E-5F1D-41FA-BAB7-1104716DBDD4}"/>
    <cellStyle name="Millares 15 2 6 2" xfId="4487" xr:uid="{1E6BB5B7-6C4D-41EF-A425-45369E199913}"/>
    <cellStyle name="Millares 15 2 6 2 2" xfId="6160" xr:uid="{440F0B82-BCBD-4326-B483-004FBA715A7E}"/>
    <cellStyle name="Millares 15 2 6 2 3" xfId="7832" xr:uid="{E6658143-028A-49B2-9D85-CAAC2AA0DF5E}"/>
    <cellStyle name="Millares 15 2 6 3" xfId="5044" xr:uid="{838ADB22-A9EE-4EE1-8723-8FCDC242DA72}"/>
    <cellStyle name="Millares 15 2 6 3 2" xfId="6717" xr:uid="{66AF1DC0-BB6D-414B-8F88-32828926C1CC}"/>
    <cellStyle name="Millares 15 2 6 3 3" xfId="8389" xr:uid="{CF03D101-4BDB-415B-AD8C-4836286FE274}"/>
    <cellStyle name="Millares 15 2 6 4" xfId="5602" xr:uid="{A695B568-B479-4C66-91B1-FA6E5C4DA296}"/>
    <cellStyle name="Millares 15 2 6 5" xfId="7274" xr:uid="{BDE8EBE8-B1B1-430A-8588-C999BD6B15B8}"/>
    <cellStyle name="Millares 15 2 6 6" xfId="8946" xr:uid="{F29A7597-8267-48DB-9FF8-8F4996671362}"/>
    <cellStyle name="Millares 15 2 7" xfId="3207" xr:uid="{53F8EB81-5FC1-4D2C-94EB-FD323E0569D2}"/>
    <cellStyle name="Millares 15 2 7 2" xfId="4488" xr:uid="{764CDDCA-34C9-408F-B37B-63D35C608DBF}"/>
    <cellStyle name="Millares 15 2 7 2 2" xfId="6161" xr:uid="{0712D8D6-DC7C-42D2-9F0C-78F65DB6D1B9}"/>
    <cellStyle name="Millares 15 2 7 2 3" xfId="7833" xr:uid="{29D47B10-C4AE-49EF-BAB5-9052688C8D3D}"/>
    <cellStyle name="Millares 15 2 7 3" xfId="5045" xr:uid="{01AF06A1-BB98-412B-BD7D-1F2A36BC90CC}"/>
    <cellStyle name="Millares 15 2 7 3 2" xfId="6718" xr:uid="{1AFF59EB-8BE8-44FC-8F7B-B776E22723EA}"/>
    <cellStyle name="Millares 15 2 7 3 3" xfId="8390" xr:uid="{C72EBE5C-C265-4D8F-BB33-0B2B580F0229}"/>
    <cellStyle name="Millares 15 2 7 4" xfId="5603" xr:uid="{B5823A3A-6245-44D1-BC2B-972E68FA19C4}"/>
    <cellStyle name="Millares 15 2 7 5" xfId="7275" xr:uid="{0B24C2B4-6F9F-44C8-AEA8-533F74D70027}"/>
    <cellStyle name="Millares 15 2 7 6" xfId="8947" xr:uid="{24DF001A-3471-4FA4-9CA1-9436A2B0A771}"/>
    <cellStyle name="Millares 15 2 8" xfId="3208" xr:uid="{8C180FEF-427A-42ED-AD54-79DB257BEA59}"/>
    <cellStyle name="Millares 15 2 8 2" xfId="4489" xr:uid="{F4DBE217-B8EC-4C00-967C-B5E322688ACD}"/>
    <cellStyle name="Millares 15 2 8 2 2" xfId="6162" xr:uid="{433D597A-62D9-4295-AB06-F62D1F455B78}"/>
    <cellStyle name="Millares 15 2 8 2 3" xfId="7834" xr:uid="{06FEE0A0-B6B4-48B7-A10E-90E93C36736E}"/>
    <cellStyle name="Millares 15 2 8 3" xfId="5046" xr:uid="{3A774CF0-EF06-458B-87E6-94ABD16EE90E}"/>
    <cellStyle name="Millares 15 2 8 3 2" xfId="6719" xr:uid="{BE110C65-E380-428A-ADF0-6137558CC53C}"/>
    <cellStyle name="Millares 15 2 8 3 3" xfId="8391" xr:uid="{06A9D151-2765-4709-BD4E-058D0415492A}"/>
    <cellStyle name="Millares 15 2 8 4" xfId="5604" xr:uid="{5FEE70C9-27F2-49D0-A7C9-57E8C4BBA1A6}"/>
    <cellStyle name="Millares 15 2 8 5" xfId="7276" xr:uid="{7788D97F-17A9-4594-9CEB-593D6D7AAA71}"/>
    <cellStyle name="Millares 15 2 8 6" xfId="8948" xr:uid="{1092FBB4-521C-49AA-83D5-43351D6A5A94}"/>
    <cellStyle name="Millares 15 2 9" xfId="3209" xr:uid="{1D597F4A-EB80-4DE0-9ABD-3043CDEF0CBF}"/>
    <cellStyle name="Millares 15 2 9 2" xfId="4490" xr:uid="{6139BDEA-D77D-4767-A089-870818D0E689}"/>
    <cellStyle name="Millares 15 2 9 2 2" xfId="6163" xr:uid="{9F5DB22C-1BEF-4808-837E-50FAC2307C26}"/>
    <cellStyle name="Millares 15 2 9 2 3" xfId="7835" xr:uid="{9590C2EA-8C79-4014-BCE3-721825345DFC}"/>
    <cellStyle name="Millares 15 2 9 3" xfId="5047" xr:uid="{9C4A70C2-B2C8-4DBF-92A4-470CA6F16119}"/>
    <cellStyle name="Millares 15 2 9 3 2" xfId="6720" xr:uid="{5AF03C24-5C07-4C33-91AD-1DB2E5EFF780}"/>
    <cellStyle name="Millares 15 2 9 3 3" xfId="8392" xr:uid="{6383A582-C91D-4D60-945D-440C4B3A4252}"/>
    <cellStyle name="Millares 15 2 9 4" xfId="5605" xr:uid="{4E837658-4ABB-44FF-90C8-5C2EDD520F2B}"/>
    <cellStyle name="Millares 15 2 9 5" xfId="7277" xr:uid="{944BFC24-2DA2-4277-BCA6-1EE012A05020}"/>
    <cellStyle name="Millares 15 2 9 6" xfId="8949" xr:uid="{E84522CD-40E3-4BCA-8002-BE8A270E6392}"/>
    <cellStyle name="Millares 15 3" xfId="3210" xr:uid="{5D62DE5E-6436-4EBB-BC40-19D5B1BCCFA8}"/>
    <cellStyle name="Millares 15 3 10" xfId="3211" xr:uid="{C817AB21-8A4A-4A31-B4DA-26D0969EF1A4}"/>
    <cellStyle name="Millares 15 3 10 2" xfId="4492" xr:uid="{084505E7-5806-438E-98F3-60ECC43DA4A4}"/>
    <cellStyle name="Millares 15 3 10 2 2" xfId="6165" xr:uid="{3CACBECF-1632-48CB-8EF7-7F9AC9681A68}"/>
    <cellStyle name="Millares 15 3 10 2 3" xfId="7837" xr:uid="{FF8F4F33-A671-4A40-8CD3-A4FB8A91C7A7}"/>
    <cellStyle name="Millares 15 3 10 3" xfId="5049" xr:uid="{8C99586A-061D-4D95-B385-AB0EB0F00291}"/>
    <cellStyle name="Millares 15 3 10 3 2" xfId="6722" xr:uid="{1A78E263-408B-4065-8EDB-9836407C6767}"/>
    <cellStyle name="Millares 15 3 10 3 3" xfId="8394" xr:uid="{D561D524-FB23-401F-A1F8-8259272D7155}"/>
    <cellStyle name="Millares 15 3 10 4" xfId="5607" xr:uid="{BAB1B471-8842-4A72-A275-978296F27CBD}"/>
    <cellStyle name="Millares 15 3 10 5" xfId="7279" xr:uid="{936125E5-9E65-4CE1-8204-6A3CC73BDA63}"/>
    <cellStyle name="Millares 15 3 10 6" xfId="8951" xr:uid="{F0898B41-CA2B-4921-BF40-4269B2E6B404}"/>
    <cellStyle name="Millares 15 3 11" xfId="4491" xr:uid="{44F868BC-B7F1-4B62-B9FB-618D35F8858E}"/>
    <cellStyle name="Millares 15 3 11 2" xfId="6164" xr:uid="{BD54EEF4-6CC4-475D-9296-0FF2053FAC52}"/>
    <cellStyle name="Millares 15 3 11 3" xfId="7836" xr:uid="{0E167AB0-AC92-498E-A90B-9EF247F236A9}"/>
    <cellStyle name="Millares 15 3 12" xfId="5048" xr:uid="{DFF6D4FE-3694-42AD-972B-9674B069FF4C}"/>
    <cellStyle name="Millares 15 3 12 2" xfId="6721" xr:uid="{CDED983C-51EB-44E2-A720-BF80F6BCAE96}"/>
    <cellStyle name="Millares 15 3 12 3" xfId="8393" xr:uid="{018D736B-C981-45AF-B9BF-53BDAA5B6A18}"/>
    <cellStyle name="Millares 15 3 13" xfId="5606" xr:uid="{89983372-9B73-433A-B188-D4630AAD1A5D}"/>
    <cellStyle name="Millares 15 3 14" xfId="7278" xr:uid="{D6100253-989A-40FA-8DB8-4B8153CDE3A6}"/>
    <cellStyle name="Millares 15 3 15" xfId="8950" xr:uid="{7845E4F5-7B08-495A-A9F5-159433FD56BA}"/>
    <cellStyle name="Millares 15 3 2" xfId="3212" xr:uid="{060F639E-5321-420C-969B-38DD67CE4B95}"/>
    <cellStyle name="Millares 15 3 2 2" xfId="4493" xr:uid="{5ABF2868-00E1-4466-8EC1-F8AAE879EED5}"/>
    <cellStyle name="Millares 15 3 2 2 2" xfId="6166" xr:uid="{D6D6A7FA-6C7C-4569-B5B5-71D4830E3725}"/>
    <cellStyle name="Millares 15 3 2 2 3" xfId="7838" xr:uid="{41E670CE-325C-4AA0-8E8A-01D051D78AA6}"/>
    <cellStyle name="Millares 15 3 2 3" xfId="5050" xr:uid="{08C34F4F-34C3-40AF-9F4A-E83BDE46A122}"/>
    <cellStyle name="Millares 15 3 2 3 2" xfId="6723" xr:uid="{4FC35D25-E982-45DE-92E1-A13A306FB74C}"/>
    <cellStyle name="Millares 15 3 2 3 3" xfId="8395" xr:uid="{0121E171-95B1-4ADA-9970-1286F7512A98}"/>
    <cellStyle name="Millares 15 3 2 4" xfId="5608" xr:uid="{1C705270-8193-44CC-8178-23C9B1DA6106}"/>
    <cellStyle name="Millares 15 3 2 5" xfId="7280" xr:uid="{A615AE20-3228-49C4-9AD6-040048F303BB}"/>
    <cellStyle name="Millares 15 3 2 6" xfId="8952" xr:uid="{0ACEEEAA-F1E5-4689-B316-B9D9105A7A99}"/>
    <cellStyle name="Millares 15 3 3" xfId="3213" xr:uid="{65AF3063-D0DA-4937-ACF8-3710CB9C7D96}"/>
    <cellStyle name="Millares 15 3 3 2" xfId="4494" xr:uid="{E34880B2-A6AF-4971-A3E8-4D42B2377F0B}"/>
    <cellStyle name="Millares 15 3 3 2 2" xfId="6167" xr:uid="{C09168F2-F136-4133-A4C8-0A03F8C07CED}"/>
    <cellStyle name="Millares 15 3 3 2 3" xfId="7839" xr:uid="{6154D401-47D4-4BA5-AB3C-0AAD5455B929}"/>
    <cellStyle name="Millares 15 3 3 3" xfId="5051" xr:uid="{FAFDB178-3753-422C-8D12-8BF8854D620C}"/>
    <cellStyle name="Millares 15 3 3 3 2" xfId="6724" xr:uid="{5B71594A-F5DA-4637-9173-7D28F630B281}"/>
    <cellStyle name="Millares 15 3 3 3 3" xfId="8396" xr:uid="{954CF62F-2B5A-42D3-B989-58F2D80701FA}"/>
    <cellStyle name="Millares 15 3 3 4" xfId="5609" xr:uid="{EE9162EA-2275-437A-9B9B-BB50E89523AE}"/>
    <cellStyle name="Millares 15 3 3 5" xfId="7281" xr:uid="{95044E97-C840-48FD-B730-816DEB06D78B}"/>
    <cellStyle name="Millares 15 3 3 6" xfId="8953" xr:uid="{15E17D43-218D-4E14-9E02-E1C01EABD4B1}"/>
    <cellStyle name="Millares 15 3 4" xfId="3214" xr:uid="{7D5F1279-70CA-466A-8645-EA113914D291}"/>
    <cellStyle name="Millares 15 3 4 2" xfId="4495" xr:uid="{E7B435F1-C6FE-4D6A-921B-3AE80CD78679}"/>
    <cellStyle name="Millares 15 3 4 2 2" xfId="6168" xr:uid="{EB72D72D-85C2-408C-9FB1-3743D53A750B}"/>
    <cellStyle name="Millares 15 3 4 2 3" xfId="7840" xr:uid="{A56B1EBC-8DDB-42AF-92A0-9F91EF66E56A}"/>
    <cellStyle name="Millares 15 3 4 3" xfId="5052" xr:uid="{2D3922F7-3B89-49F4-B3F9-014C6371B2A9}"/>
    <cellStyle name="Millares 15 3 4 3 2" xfId="6725" xr:uid="{5DE5B1F3-81B1-4026-8291-57152A8747ED}"/>
    <cellStyle name="Millares 15 3 4 3 3" xfId="8397" xr:uid="{CF302037-93AC-4D55-9819-C36A2337B821}"/>
    <cellStyle name="Millares 15 3 4 4" xfId="5610" xr:uid="{3C4C6C32-E909-4A92-B09F-2608940A364D}"/>
    <cellStyle name="Millares 15 3 4 5" xfId="7282" xr:uid="{EA58780A-B631-43F8-9CF2-2D8EB8ACDD2B}"/>
    <cellStyle name="Millares 15 3 4 6" xfId="8954" xr:uid="{12E8712F-6968-46FC-AF22-47A1ED3CDBDE}"/>
    <cellStyle name="Millares 15 3 5" xfId="3215" xr:uid="{BA7E4B86-B175-4513-8D16-4FC655A494FB}"/>
    <cellStyle name="Millares 15 3 5 2" xfId="4496" xr:uid="{5413E3B1-DB98-4A2F-9131-9A08AD3F8447}"/>
    <cellStyle name="Millares 15 3 5 2 2" xfId="6169" xr:uid="{FA1A261B-FB2B-42C7-B50C-ECE2BC3B033B}"/>
    <cellStyle name="Millares 15 3 5 2 3" xfId="7841" xr:uid="{A254F0B2-CD0A-425F-8FF3-D385491BF3C3}"/>
    <cellStyle name="Millares 15 3 5 3" xfId="5053" xr:uid="{5EEAA582-FDEC-45F5-8C46-1934E11AA0B3}"/>
    <cellStyle name="Millares 15 3 5 3 2" xfId="6726" xr:uid="{EDC8B29E-ABA4-4C0E-9E37-C7C0AF1D8BEC}"/>
    <cellStyle name="Millares 15 3 5 3 3" xfId="8398" xr:uid="{1592D4C3-454F-41E6-A919-8F48D4139BBF}"/>
    <cellStyle name="Millares 15 3 5 4" xfId="5611" xr:uid="{AB9BE595-76C4-4423-8FF8-D48F9487DC32}"/>
    <cellStyle name="Millares 15 3 5 5" xfId="7283" xr:uid="{949722C6-3B13-4F6F-A467-2C4AD1F0441A}"/>
    <cellStyle name="Millares 15 3 5 6" xfId="8955" xr:uid="{20C3CDA9-32AA-444D-9857-F6631C1E9799}"/>
    <cellStyle name="Millares 15 3 6" xfId="3216" xr:uid="{72B8CA37-1B1B-4D75-A1E6-53E9668A96BA}"/>
    <cellStyle name="Millares 15 3 6 2" xfId="4497" xr:uid="{3585C60A-2F93-4CFE-8830-BC2D0C2F7C5E}"/>
    <cellStyle name="Millares 15 3 6 2 2" xfId="6170" xr:uid="{CDA0C525-EB57-40AE-A4D5-CB6125A04C16}"/>
    <cellStyle name="Millares 15 3 6 2 3" xfId="7842" xr:uid="{51DE0745-9CD0-41A9-BD39-E795885711A1}"/>
    <cellStyle name="Millares 15 3 6 3" xfId="5054" xr:uid="{8B423AF1-050E-4F31-8592-F3B9AF2434B2}"/>
    <cellStyle name="Millares 15 3 6 3 2" xfId="6727" xr:uid="{4FAF952D-7E03-474F-80F8-D0D184944929}"/>
    <cellStyle name="Millares 15 3 6 3 3" xfId="8399" xr:uid="{3A20A53C-5183-4373-BF5D-5DCFBB9147B3}"/>
    <cellStyle name="Millares 15 3 6 4" xfId="5612" xr:uid="{53CF6D83-A76E-4EAD-BA62-8758E46AAC07}"/>
    <cellStyle name="Millares 15 3 6 5" xfId="7284" xr:uid="{7AA562BF-8427-4769-A34E-52C310BD9EA2}"/>
    <cellStyle name="Millares 15 3 6 6" xfId="8956" xr:uid="{F2326F2A-7943-4127-9B18-86B0EE99BAA5}"/>
    <cellStyle name="Millares 15 3 7" xfId="3217" xr:uid="{C9702BB7-8BA7-4E2D-9E6F-8D0DD7C58177}"/>
    <cellStyle name="Millares 15 3 7 2" xfId="4498" xr:uid="{9529A8E0-24FF-4896-A2E8-58A38D1CAAAB}"/>
    <cellStyle name="Millares 15 3 7 2 2" xfId="6171" xr:uid="{0BAA9E06-09CE-4184-8287-3D99C6F1E990}"/>
    <cellStyle name="Millares 15 3 7 2 3" xfId="7843" xr:uid="{E8147BA9-48F7-4D97-9EB9-84D01FBA6F63}"/>
    <cellStyle name="Millares 15 3 7 3" xfId="5055" xr:uid="{3D8BC988-26A4-4ADA-96FB-4AFB01116D87}"/>
    <cellStyle name="Millares 15 3 7 3 2" xfId="6728" xr:uid="{1757E902-D28C-4155-A234-0E374AD82C9B}"/>
    <cellStyle name="Millares 15 3 7 3 3" xfId="8400" xr:uid="{A0D893BD-305C-4C62-8A83-5EFC0B21C9CE}"/>
    <cellStyle name="Millares 15 3 7 4" xfId="5613" xr:uid="{2F47B8D0-5ACB-4FBA-9AD7-8288A8D7D166}"/>
    <cellStyle name="Millares 15 3 7 5" xfId="7285" xr:uid="{277C5AA9-3638-4E7C-B78B-2F0642432B55}"/>
    <cellStyle name="Millares 15 3 7 6" xfId="8957" xr:uid="{9AF888BC-5CDD-46CA-A7C9-D1DBCD3EF1BF}"/>
    <cellStyle name="Millares 15 3 8" xfId="3218" xr:uid="{3ECED187-B794-4208-A32C-54EAE26582BF}"/>
    <cellStyle name="Millares 15 3 8 2" xfId="4499" xr:uid="{4898B137-90D4-42C3-B6D2-BA0BDCC903C1}"/>
    <cellStyle name="Millares 15 3 8 2 2" xfId="6172" xr:uid="{1E77FBEB-3C09-482E-B1C8-0BDF7C116C0B}"/>
    <cellStyle name="Millares 15 3 8 2 3" xfId="7844" xr:uid="{EB0B40C7-C059-42E9-9BC2-6D65ADC17900}"/>
    <cellStyle name="Millares 15 3 8 3" xfId="5056" xr:uid="{B84C7942-C237-40FC-A208-6350922C994E}"/>
    <cellStyle name="Millares 15 3 8 3 2" xfId="6729" xr:uid="{3D49314D-7E28-4ABA-90AA-84BAB8F0A761}"/>
    <cellStyle name="Millares 15 3 8 3 3" xfId="8401" xr:uid="{1756A624-0D05-4CA3-8B37-B5BC0A7156A3}"/>
    <cellStyle name="Millares 15 3 8 4" xfId="5614" xr:uid="{240601F1-6DFE-49EF-8E39-57FB28EE6435}"/>
    <cellStyle name="Millares 15 3 8 5" xfId="7286" xr:uid="{F3B02095-44C2-4884-A99C-3EAAFB6F2AD6}"/>
    <cellStyle name="Millares 15 3 8 6" xfId="8958" xr:uid="{234C2642-7E72-4055-87F3-1184EC0FA963}"/>
    <cellStyle name="Millares 15 3 9" xfId="3219" xr:uid="{55C2C971-DD67-4CB3-9D48-9CCBF43CC672}"/>
    <cellStyle name="Millares 15 3 9 2" xfId="4500" xr:uid="{FF8CFC0E-0EA1-4CF6-BE11-46F567CECF74}"/>
    <cellStyle name="Millares 15 3 9 2 2" xfId="6173" xr:uid="{969B0C2E-575D-447D-8A62-1F16D07C69BE}"/>
    <cellStyle name="Millares 15 3 9 2 3" xfId="7845" xr:uid="{D7040168-E65A-4813-BAF5-F53EA7DFB316}"/>
    <cellStyle name="Millares 15 3 9 3" xfId="5057" xr:uid="{0EC4937C-8132-4436-90EE-5A5AE3F7D9BA}"/>
    <cellStyle name="Millares 15 3 9 3 2" xfId="6730" xr:uid="{9CA879F5-D594-4D89-88A2-28A33DDDCC74}"/>
    <cellStyle name="Millares 15 3 9 3 3" xfId="8402" xr:uid="{B55C484E-1717-4DC7-A1FE-48A3E7A1832D}"/>
    <cellStyle name="Millares 15 3 9 4" xfId="5615" xr:uid="{0F67BE11-9EA5-4DE1-B703-4AE83F0FB218}"/>
    <cellStyle name="Millares 15 3 9 5" xfId="7287" xr:uid="{23676F27-61CC-45A1-B54B-FAF2A37EEF03}"/>
    <cellStyle name="Millares 15 3 9 6" xfId="8959" xr:uid="{6EC5A37D-DB86-4EF9-BBF1-7FBD00C6E0D0}"/>
    <cellStyle name="Millares 15 4" xfId="3220" xr:uid="{F2D1A798-5818-4CD0-BE57-2BCDF8FEB97D}"/>
    <cellStyle name="Millares 15 4 2" xfId="4501" xr:uid="{FA378D98-90BE-4711-B834-C58F7698C76D}"/>
    <cellStyle name="Millares 15 4 2 2" xfId="6174" xr:uid="{7B396FCD-4A05-4295-B62D-92FC20DA2D56}"/>
    <cellStyle name="Millares 15 4 2 3" xfId="7846" xr:uid="{C2E95C66-0F25-4D20-99FD-A99D0DC3467A}"/>
    <cellStyle name="Millares 15 4 3" xfId="5058" xr:uid="{08D4893E-E6A1-4C3C-B559-76211361DB50}"/>
    <cellStyle name="Millares 15 4 3 2" xfId="6731" xr:uid="{68ECA3DF-3DB8-46DF-9E24-7A1B252E939A}"/>
    <cellStyle name="Millares 15 4 3 3" xfId="8403" xr:uid="{131E2770-32C4-41CA-BCF2-0656DE07AB1D}"/>
    <cellStyle name="Millares 15 4 4" xfId="5616" xr:uid="{EC5F1B4E-DEC0-40BE-9184-8791E70A2C2A}"/>
    <cellStyle name="Millares 15 4 5" xfId="7288" xr:uid="{0A8F717C-CA85-44F7-8533-E2B58F9ECBC7}"/>
    <cellStyle name="Millares 15 4 6" xfId="8960" xr:uid="{7253A6EC-FCDC-4DB8-8948-BDF1AECA4432}"/>
    <cellStyle name="Millares 15 5" xfId="3221" xr:uid="{68362A56-B6A5-4BFF-9115-B864F76AE85E}"/>
    <cellStyle name="Millares 15 5 2" xfId="4502" xr:uid="{0F79A3F9-3CBF-4270-8230-361804C59CE0}"/>
    <cellStyle name="Millares 15 5 2 2" xfId="6175" xr:uid="{F9B96845-A633-4E91-BCCA-96B3C38BDCDE}"/>
    <cellStyle name="Millares 15 5 2 3" xfId="7847" xr:uid="{0F743A52-BD33-48F7-BD29-8C0F26B90C9E}"/>
    <cellStyle name="Millares 15 5 3" xfId="5059" xr:uid="{07BC4581-5D0B-41D0-A2F2-CB81C89ACD95}"/>
    <cellStyle name="Millares 15 5 3 2" xfId="6732" xr:uid="{AE65EAE2-5291-47AF-ADA7-19E335EEB726}"/>
    <cellStyle name="Millares 15 5 3 3" xfId="8404" xr:uid="{EEDF3645-AF99-4BE6-B83D-13C7E9CE13D9}"/>
    <cellStyle name="Millares 15 5 4" xfId="5617" xr:uid="{9C8E9203-3DD7-415B-B6C7-8BA22FF58C61}"/>
    <cellStyle name="Millares 15 5 5" xfId="7289" xr:uid="{3E462E84-88E8-46C8-8662-72487B67C205}"/>
    <cellStyle name="Millares 15 5 6" xfId="8961" xr:uid="{092568D5-5181-492C-9950-9C72ECA0A14C}"/>
    <cellStyle name="Millares 15 6" xfId="3222" xr:uid="{12914889-7361-4A88-B14B-CB1CB4D31B8F}"/>
    <cellStyle name="Millares 15 6 2" xfId="4503" xr:uid="{0031354E-E9B9-4F9F-9B35-D2C68BEFCF1F}"/>
    <cellStyle name="Millares 15 6 2 2" xfId="6176" xr:uid="{89B07B2C-D75F-43B0-ABE8-B29819FA3440}"/>
    <cellStyle name="Millares 15 6 2 3" xfId="7848" xr:uid="{1A21C9EA-90BE-471D-8AD5-B44EA55F9D5F}"/>
    <cellStyle name="Millares 15 6 3" xfId="5060" xr:uid="{9D13F6A5-B00B-4FFD-B3E9-82B86A44A2F2}"/>
    <cellStyle name="Millares 15 6 3 2" xfId="6733" xr:uid="{C4B4F679-58CB-4D99-970D-BB93F967A1A9}"/>
    <cellStyle name="Millares 15 6 3 3" xfId="8405" xr:uid="{542A434A-34F9-4AD1-94E1-087158C43FD7}"/>
    <cellStyle name="Millares 15 6 4" xfId="5618" xr:uid="{091EE7F8-05DE-40B9-8394-9D63E3496633}"/>
    <cellStyle name="Millares 15 6 5" xfId="7290" xr:uid="{9EFC8B51-32E1-42EA-8BDD-CFEB6F643166}"/>
    <cellStyle name="Millares 15 6 6" xfId="8962" xr:uid="{3932402D-3D8A-4C76-9A19-258EC727C9FC}"/>
    <cellStyle name="Millares 15 7" xfId="3223" xr:uid="{00983BA3-FF62-4028-A00C-611C2D35331F}"/>
    <cellStyle name="Millares 15 7 2" xfId="4504" xr:uid="{D161896E-43C1-457A-ABB6-DEEB1A2A11DB}"/>
    <cellStyle name="Millares 15 7 2 2" xfId="6177" xr:uid="{B14E27CB-8696-4554-8E7C-4873EC13565F}"/>
    <cellStyle name="Millares 15 7 2 3" xfId="7849" xr:uid="{428506CE-E005-4603-9596-51D94E3DEF51}"/>
    <cellStyle name="Millares 15 7 3" xfId="5061" xr:uid="{5950F414-28ED-4805-A0AE-2735A9C4DB75}"/>
    <cellStyle name="Millares 15 7 3 2" xfId="6734" xr:uid="{17677618-9BBA-482C-AAEC-E5CC7FDEDB94}"/>
    <cellStyle name="Millares 15 7 3 3" xfId="8406" xr:uid="{9BCF65BC-A5CF-48E9-ABB8-293D6287D805}"/>
    <cellStyle name="Millares 15 7 4" xfId="5619" xr:uid="{7F218D49-64AC-4B19-894C-C30E44B1F9B3}"/>
    <cellStyle name="Millares 15 7 5" xfId="7291" xr:uid="{065DB3F0-7D45-441C-8D5B-B54F467D1BBB}"/>
    <cellStyle name="Millares 15 7 6" xfId="8963" xr:uid="{52C2B092-5F53-412C-89CB-506D818084B2}"/>
    <cellStyle name="Millares 15 8" xfId="3224" xr:uid="{1BDDAB26-0D9D-499A-90AF-04A97FBF735F}"/>
    <cellStyle name="Millares 15 8 2" xfId="4505" xr:uid="{B7BF7A14-23A9-4E5C-89A4-42CB69ED886E}"/>
    <cellStyle name="Millares 15 8 2 2" xfId="6178" xr:uid="{620EF1B8-3B9D-4D88-A53C-548CD66DBAE5}"/>
    <cellStyle name="Millares 15 8 2 3" xfId="7850" xr:uid="{A1A19E9C-6818-43DA-AF74-966BCD577A8B}"/>
    <cellStyle name="Millares 15 8 3" xfId="5062" xr:uid="{670987AD-F372-4265-92CE-C59F46F98F28}"/>
    <cellStyle name="Millares 15 8 3 2" xfId="6735" xr:uid="{625D9348-C82F-43FE-8979-762E770256A3}"/>
    <cellStyle name="Millares 15 8 3 3" xfId="8407" xr:uid="{1D4C2CE0-E523-4CFD-9503-EE3AE7409F6C}"/>
    <cellStyle name="Millares 15 8 4" xfId="5620" xr:uid="{B17B5DCE-11D6-4ECC-B10D-9927655D5034}"/>
    <cellStyle name="Millares 15 8 5" xfId="7292" xr:uid="{B1F0A724-AC6B-4B50-82EA-B41F2265A4C7}"/>
    <cellStyle name="Millares 15 8 6" xfId="8964" xr:uid="{A571D7E9-7071-4C2A-B5D2-6975134CCE79}"/>
    <cellStyle name="Millares 15 9" xfId="3225" xr:uid="{C9D514AD-33C8-4D62-B11F-1FC1B86FE8EC}"/>
    <cellStyle name="Millares 15 9 2" xfId="4506" xr:uid="{F9D22312-4305-4944-A70A-EDE8EC2B6DD4}"/>
    <cellStyle name="Millares 15 9 2 2" xfId="6179" xr:uid="{0641FDF4-C8F9-4745-8BDF-0634EBDF5FBC}"/>
    <cellStyle name="Millares 15 9 2 3" xfId="7851" xr:uid="{5679E8FD-21F1-46B7-BB93-9D004A335160}"/>
    <cellStyle name="Millares 15 9 3" xfId="5063" xr:uid="{1A50018B-713D-403C-B74D-0F7C5945A64A}"/>
    <cellStyle name="Millares 15 9 3 2" xfId="6736" xr:uid="{87713201-B818-447E-8C1C-84E5A884D556}"/>
    <cellStyle name="Millares 15 9 3 3" xfId="8408" xr:uid="{8593FF37-61F3-452F-94A2-80731FA83D19}"/>
    <cellStyle name="Millares 15 9 4" xfId="5621" xr:uid="{95DC910F-1215-4DC7-A5C9-F027FB233ECE}"/>
    <cellStyle name="Millares 15 9 5" xfId="7293" xr:uid="{154DDB75-A312-409B-B343-65847210FA73}"/>
    <cellStyle name="Millares 15 9 6" xfId="8965" xr:uid="{881502DB-11EF-4DA3-ACA1-50F28CB2A47A}"/>
    <cellStyle name="Millares 16" xfId="3226" xr:uid="{995B0797-E9B7-40FF-992B-2799DB1318AE}"/>
    <cellStyle name="Millares 16 10" xfId="3227" xr:uid="{2E3563BB-B464-4ECC-8D81-20F6F6181C77}"/>
    <cellStyle name="Millares 16 10 2" xfId="4508" xr:uid="{EA388B9C-0B25-43FA-82F7-5C8FDA46A1E7}"/>
    <cellStyle name="Millares 16 10 2 2" xfId="6181" xr:uid="{66760F73-FCAD-4D4B-BAC3-3CB9CC1EDCA1}"/>
    <cellStyle name="Millares 16 10 2 3" xfId="7853" xr:uid="{766D4549-F4C2-4176-B8F9-7826D3A6EE90}"/>
    <cellStyle name="Millares 16 10 3" xfId="5065" xr:uid="{57BE796D-1D0E-4106-8B43-2A4E2066D6EC}"/>
    <cellStyle name="Millares 16 10 3 2" xfId="6738" xr:uid="{F3CCD7E5-F40E-4931-94DD-9D119E9C1F15}"/>
    <cellStyle name="Millares 16 10 3 3" xfId="8410" xr:uid="{357B48F3-FFC6-42B2-9918-7E828F4972DB}"/>
    <cellStyle name="Millares 16 10 4" xfId="5623" xr:uid="{07098FF4-066E-4933-90AC-6340112D4735}"/>
    <cellStyle name="Millares 16 10 5" xfId="7295" xr:uid="{B9DC4786-0471-413A-8043-6E6A86321AB3}"/>
    <cellStyle name="Millares 16 10 6" xfId="8967" xr:uid="{93ED9D68-67E7-49B5-B157-94486AF827CB}"/>
    <cellStyle name="Millares 16 11" xfId="3228" xr:uid="{C5D4F855-B111-44E3-B4F6-9CEC7DDE9B87}"/>
    <cellStyle name="Millares 16 11 2" xfId="4509" xr:uid="{A17A0245-6B05-450F-9DD0-E037A95A4D15}"/>
    <cellStyle name="Millares 16 11 2 2" xfId="6182" xr:uid="{5D031A8E-724B-4B4A-AC3C-11A1D25577D2}"/>
    <cellStyle name="Millares 16 11 2 3" xfId="7854" xr:uid="{39604647-41D9-4E63-8284-2214797EF36A}"/>
    <cellStyle name="Millares 16 11 3" xfId="5066" xr:uid="{3E45FC07-8AF5-4E72-A72D-315E17E49051}"/>
    <cellStyle name="Millares 16 11 3 2" xfId="6739" xr:uid="{4D1C9530-620B-4127-A369-EBB5266ABB48}"/>
    <cellStyle name="Millares 16 11 3 3" xfId="8411" xr:uid="{2EABA48D-05D1-4E97-9255-0BF399827040}"/>
    <cellStyle name="Millares 16 11 4" xfId="5624" xr:uid="{FF5AA0AD-9204-46FA-8745-ECF1BC251635}"/>
    <cellStyle name="Millares 16 11 5" xfId="7296" xr:uid="{77463139-7E4F-40F3-9122-A81B881772F7}"/>
    <cellStyle name="Millares 16 11 6" xfId="8968" xr:uid="{0F493E01-759B-40FC-A752-31F2309A1196}"/>
    <cellStyle name="Millares 16 12" xfId="3229" xr:uid="{AF3CE6B4-3E2D-4457-AC28-F62F25E6871E}"/>
    <cellStyle name="Millares 16 12 2" xfId="4510" xr:uid="{472F0AF1-A32D-475A-AF33-74D1F3F24F7D}"/>
    <cellStyle name="Millares 16 12 2 2" xfId="6183" xr:uid="{2FCACEAB-60B8-4CE2-AC35-CAA204BBB1B0}"/>
    <cellStyle name="Millares 16 12 2 3" xfId="7855" xr:uid="{57A3D747-4B00-4399-80F4-8B94061278C7}"/>
    <cellStyle name="Millares 16 12 3" xfId="5067" xr:uid="{7E70B72D-3C47-48C5-8980-D845FCC9C0C2}"/>
    <cellStyle name="Millares 16 12 3 2" xfId="6740" xr:uid="{04781B36-0FD9-4C52-A545-596D23308656}"/>
    <cellStyle name="Millares 16 12 3 3" xfId="8412" xr:uid="{3346E239-78A7-48B6-974C-25D4D41058AB}"/>
    <cellStyle name="Millares 16 12 4" xfId="5625" xr:uid="{9336E082-296F-4FF3-933C-045C7B018D6B}"/>
    <cellStyle name="Millares 16 12 5" xfId="7297" xr:uid="{ACE90DA8-33C6-4C68-92C3-66C81EDDC26A}"/>
    <cellStyle name="Millares 16 12 6" xfId="8969" xr:uid="{951655EF-723C-413D-8859-5B4CD68C0EB4}"/>
    <cellStyle name="Millares 16 13" xfId="4507" xr:uid="{9468FB66-369F-45A3-A855-FFC5859807A0}"/>
    <cellStyle name="Millares 16 13 2" xfId="6180" xr:uid="{62A5FC62-61F4-4F4E-9415-620AF9199660}"/>
    <cellStyle name="Millares 16 13 3" xfId="7852" xr:uid="{2ADFE2D2-32EB-43A6-9A6D-D190B2F6CFA2}"/>
    <cellStyle name="Millares 16 14" xfId="5064" xr:uid="{ED4C46EC-333B-4FFF-8C61-7D47F1B6C838}"/>
    <cellStyle name="Millares 16 14 2" xfId="6737" xr:uid="{B5BB9047-BE09-42FB-9CD7-79F5DB1E45FD}"/>
    <cellStyle name="Millares 16 14 3" xfId="8409" xr:uid="{D5497E14-4285-4CB3-9826-EE4D8B977A94}"/>
    <cellStyle name="Millares 16 15" xfId="5622" xr:uid="{55FAA4B2-B45D-4467-84E3-A7314837921B}"/>
    <cellStyle name="Millares 16 16" xfId="7294" xr:uid="{05C3890D-B93D-4853-A92B-AEB96BB5ABAF}"/>
    <cellStyle name="Millares 16 17" xfId="8966" xr:uid="{E4947CF3-DB63-4457-9194-08EAAF86BF60}"/>
    <cellStyle name="Millares 16 2" xfId="3230" xr:uid="{636894A9-6ED7-4376-A8BA-A291E1F73A8F}"/>
    <cellStyle name="Millares 16 2 10" xfId="3231" xr:uid="{399F30D5-4A47-4FBA-809F-D25A01290FB9}"/>
    <cellStyle name="Millares 16 2 10 2" xfId="4512" xr:uid="{1EB41707-C67B-4CD2-B2A7-1151EF212757}"/>
    <cellStyle name="Millares 16 2 10 2 2" xfId="6185" xr:uid="{15C4D98C-64BF-4A26-A8A6-E198CE21B418}"/>
    <cellStyle name="Millares 16 2 10 2 3" xfId="7857" xr:uid="{9D3720A0-BE89-4F34-9352-6B880ABC97B6}"/>
    <cellStyle name="Millares 16 2 10 3" xfId="5069" xr:uid="{6E8BF19E-4853-4659-9793-00ED13D5337D}"/>
    <cellStyle name="Millares 16 2 10 3 2" xfId="6742" xr:uid="{F44AF6F9-E012-4527-97C8-432E65F43DEF}"/>
    <cellStyle name="Millares 16 2 10 3 3" xfId="8414" xr:uid="{9B2D68EC-9F75-4975-A433-6BF2C5E0C421}"/>
    <cellStyle name="Millares 16 2 10 4" xfId="5627" xr:uid="{DD7CA562-D4F1-4BA2-8F9D-E813B41A073F}"/>
    <cellStyle name="Millares 16 2 10 5" xfId="7299" xr:uid="{48237EB8-F42D-4ECF-9E88-08460EC7D0F4}"/>
    <cellStyle name="Millares 16 2 10 6" xfId="8971" xr:uid="{23A2D518-9D59-4064-92A3-DFF9C3602545}"/>
    <cellStyle name="Millares 16 2 11" xfId="4511" xr:uid="{EAF92EE8-3EAC-4823-8DA1-283216EDC548}"/>
    <cellStyle name="Millares 16 2 11 2" xfId="6184" xr:uid="{71421E18-D075-47BF-BAFB-66C240F035A2}"/>
    <cellStyle name="Millares 16 2 11 3" xfId="7856" xr:uid="{50772B52-3AD5-446E-88BC-DDD9E6AE352A}"/>
    <cellStyle name="Millares 16 2 12" xfId="5068" xr:uid="{46FB988D-8228-405F-8879-6FE6FA56180D}"/>
    <cellStyle name="Millares 16 2 12 2" xfId="6741" xr:uid="{2FBCD02B-4FC8-4C46-84CD-2A1F4D5136DA}"/>
    <cellStyle name="Millares 16 2 12 3" xfId="8413" xr:uid="{7D1F2B10-50A2-443A-A94D-4980B654FA01}"/>
    <cellStyle name="Millares 16 2 13" xfId="5626" xr:uid="{C4C4C307-A300-442F-BF04-9FABF8B3A033}"/>
    <cellStyle name="Millares 16 2 14" xfId="7298" xr:uid="{DC4E240E-2254-40BB-B514-8191E4CEF4FF}"/>
    <cellStyle name="Millares 16 2 15" xfId="8970" xr:uid="{2F06420F-F8BC-4F6A-9771-FD70FADD1F22}"/>
    <cellStyle name="Millares 16 2 2" xfId="3232" xr:uid="{4DA72346-98DE-433B-A08B-2B9874A5D170}"/>
    <cellStyle name="Millares 16 2 2 2" xfId="4513" xr:uid="{B12DE79E-510C-4989-83A1-AE6603618AC2}"/>
    <cellStyle name="Millares 16 2 2 2 2" xfId="6186" xr:uid="{B8E70280-703A-4526-8364-9AAFEFE93E36}"/>
    <cellStyle name="Millares 16 2 2 2 3" xfId="7858" xr:uid="{ED67521A-37E0-4833-A93B-2AA419DC16FB}"/>
    <cellStyle name="Millares 16 2 2 3" xfId="5070" xr:uid="{DC71521D-CD31-4FEE-B7CD-B18E1799EA98}"/>
    <cellStyle name="Millares 16 2 2 3 2" xfId="6743" xr:uid="{692C089A-3FED-4B94-9CE3-8D4B586ACEB2}"/>
    <cellStyle name="Millares 16 2 2 3 3" xfId="8415" xr:uid="{2349836C-4A7F-48BE-9950-80B81E8F6850}"/>
    <cellStyle name="Millares 16 2 2 4" xfId="5628" xr:uid="{7FCE7728-E804-4EEF-A364-E650A73551EE}"/>
    <cellStyle name="Millares 16 2 2 5" xfId="7300" xr:uid="{7BA56884-FC85-4A50-B72A-A8CA4591225E}"/>
    <cellStyle name="Millares 16 2 2 6" xfId="8972" xr:uid="{B517E9DC-879B-450C-9C24-104BB304888A}"/>
    <cellStyle name="Millares 16 2 3" xfId="3233" xr:uid="{F3098241-7EE6-4663-970E-50C50ECA78FB}"/>
    <cellStyle name="Millares 16 2 3 2" xfId="4514" xr:uid="{ABDD2AA2-337A-4135-B90D-31AAD00EFFD5}"/>
    <cellStyle name="Millares 16 2 3 2 2" xfId="6187" xr:uid="{7D152815-8634-49D5-B113-8BF3D6ADCAEC}"/>
    <cellStyle name="Millares 16 2 3 2 3" xfId="7859" xr:uid="{332CA1BF-497F-4C5D-9085-D88E0B85958C}"/>
    <cellStyle name="Millares 16 2 3 3" xfId="5071" xr:uid="{D9AA1C0C-C1D7-4E67-88F6-10B010E9700A}"/>
    <cellStyle name="Millares 16 2 3 3 2" xfId="6744" xr:uid="{D3C32251-002B-43D4-80A6-3D38DA08BA28}"/>
    <cellStyle name="Millares 16 2 3 3 3" xfId="8416" xr:uid="{4B052382-998C-4EA6-9AC7-C0FF8DE1F7C9}"/>
    <cellStyle name="Millares 16 2 3 4" xfId="5629" xr:uid="{729C8BD4-4CA5-42FC-BEE6-9C702CD6FA01}"/>
    <cellStyle name="Millares 16 2 3 5" xfId="7301" xr:uid="{AFA76A67-60E5-49F3-A18F-B30538FE26AA}"/>
    <cellStyle name="Millares 16 2 3 6" xfId="8973" xr:uid="{8A9EE951-CAF5-4C7E-AC98-2F8B1CB3494C}"/>
    <cellStyle name="Millares 16 2 4" xfId="3234" xr:uid="{13997487-A83E-4461-83A3-46DE10493460}"/>
    <cellStyle name="Millares 16 2 4 2" xfId="4515" xr:uid="{8F6D81EC-2C6B-4917-9712-2728ACD1FCC7}"/>
    <cellStyle name="Millares 16 2 4 2 2" xfId="6188" xr:uid="{7C577DCA-316F-4D71-A815-675936FCB238}"/>
    <cellStyle name="Millares 16 2 4 2 3" xfId="7860" xr:uid="{EA82DEE3-29AB-447E-823F-7A6565979F27}"/>
    <cellStyle name="Millares 16 2 4 3" xfId="5072" xr:uid="{E523092D-71B1-4978-90CB-53BAD9120E89}"/>
    <cellStyle name="Millares 16 2 4 3 2" xfId="6745" xr:uid="{810F4D9E-4149-4F07-8699-3C3B2FFD8F94}"/>
    <cellStyle name="Millares 16 2 4 3 3" xfId="8417" xr:uid="{43656762-5EA4-4B38-9263-E3007A8D83BC}"/>
    <cellStyle name="Millares 16 2 4 4" xfId="5630" xr:uid="{E244BF27-E7B4-4F9B-98E8-1ABDBB92CFC5}"/>
    <cellStyle name="Millares 16 2 4 5" xfId="7302" xr:uid="{6823356C-32CD-4A67-85E3-D63327A445CB}"/>
    <cellStyle name="Millares 16 2 4 6" xfId="8974" xr:uid="{0621E4D7-AC89-4DEC-86E1-0287B60F0149}"/>
    <cellStyle name="Millares 16 2 5" xfId="3235" xr:uid="{BE1E1DB8-C9C9-4783-A571-5D07462027D9}"/>
    <cellStyle name="Millares 16 2 5 2" xfId="4516" xr:uid="{0B151B60-4C78-46BA-87C3-07EE3E797E3F}"/>
    <cellStyle name="Millares 16 2 5 2 2" xfId="6189" xr:uid="{559D1801-2FB5-491D-9708-BF20389EEF4D}"/>
    <cellStyle name="Millares 16 2 5 2 3" xfId="7861" xr:uid="{1BBA789B-75FE-4760-AF05-6B012FC1BE24}"/>
    <cellStyle name="Millares 16 2 5 3" xfId="5073" xr:uid="{A10F1F4B-B88A-4419-A645-F23C55CBCE3E}"/>
    <cellStyle name="Millares 16 2 5 3 2" xfId="6746" xr:uid="{8D443B36-CD95-436B-8D09-BFFDC3B8D5A7}"/>
    <cellStyle name="Millares 16 2 5 3 3" xfId="8418" xr:uid="{B104C900-D302-484C-BF10-B5765AA7831E}"/>
    <cellStyle name="Millares 16 2 5 4" xfId="5631" xr:uid="{FCABA446-82BB-4365-87BF-60089E02EE5C}"/>
    <cellStyle name="Millares 16 2 5 5" xfId="7303" xr:uid="{693475F2-3AB2-413D-AD58-1AD6A76F2238}"/>
    <cellStyle name="Millares 16 2 5 6" xfId="8975" xr:uid="{66CD9FC9-563E-48F9-A598-05963B6A579F}"/>
    <cellStyle name="Millares 16 2 6" xfId="3236" xr:uid="{4875E102-2931-4B16-86A3-4142ACE698B2}"/>
    <cellStyle name="Millares 16 2 6 2" xfId="4517" xr:uid="{6890E909-04F8-420E-916C-2D8EBAAF6AB7}"/>
    <cellStyle name="Millares 16 2 6 2 2" xfId="6190" xr:uid="{7EA6F7BF-BCF2-469C-9FA0-25A5C3D02FDF}"/>
    <cellStyle name="Millares 16 2 6 2 3" xfId="7862" xr:uid="{F2EAE544-F204-46DF-81A9-564143192F6B}"/>
    <cellStyle name="Millares 16 2 6 3" xfId="5074" xr:uid="{2793617E-8305-44B1-9E94-67C8E4475515}"/>
    <cellStyle name="Millares 16 2 6 3 2" xfId="6747" xr:uid="{119AC227-407C-475E-ABCF-EEC4AB9C3249}"/>
    <cellStyle name="Millares 16 2 6 3 3" xfId="8419" xr:uid="{2C3FDF10-E76C-4542-8F6D-5AB0E535E25E}"/>
    <cellStyle name="Millares 16 2 6 4" xfId="5632" xr:uid="{A1CF9594-3DD7-4BC1-984E-27811CEE52DF}"/>
    <cellStyle name="Millares 16 2 6 5" xfId="7304" xr:uid="{1D446B38-95CF-4D48-955C-C07CA1356D36}"/>
    <cellStyle name="Millares 16 2 6 6" xfId="8976" xr:uid="{125F8EC2-0770-47A5-A0E0-B46B2EAD1B00}"/>
    <cellStyle name="Millares 16 2 7" xfId="3237" xr:uid="{ACDBED5E-ED52-44F2-8A7B-7919D3240955}"/>
    <cellStyle name="Millares 16 2 7 2" xfId="4518" xr:uid="{7FAB82F3-1F05-4555-9850-D88CB7AA2FED}"/>
    <cellStyle name="Millares 16 2 7 2 2" xfId="6191" xr:uid="{37FB3BBA-F1EC-4F34-B428-65AFD3CF28C8}"/>
    <cellStyle name="Millares 16 2 7 2 3" xfId="7863" xr:uid="{DB75924F-57CB-439D-9293-B89F0BB49D3B}"/>
    <cellStyle name="Millares 16 2 7 3" xfId="5075" xr:uid="{B54188DF-AB80-4D1D-9C22-96A05B8778A0}"/>
    <cellStyle name="Millares 16 2 7 3 2" xfId="6748" xr:uid="{F2F2F169-1EF2-4C5A-BBD3-0BCDDF97D825}"/>
    <cellStyle name="Millares 16 2 7 3 3" xfId="8420" xr:uid="{7835E643-4227-424F-8061-A5A5A3F39637}"/>
    <cellStyle name="Millares 16 2 7 4" xfId="5633" xr:uid="{9F72ADFF-F057-44A1-BD99-1E2EEB0FD2CE}"/>
    <cellStyle name="Millares 16 2 7 5" xfId="7305" xr:uid="{25293423-A446-4711-8B78-B337AC7D68C3}"/>
    <cellStyle name="Millares 16 2 7 6" xfId="8977" xr:uid="{F0AC02EA-D106-4408-8580-49FF6D6AFD89}"/>
    <cellStyle name="Millares 16 2 8" xfId="3238" xr:uid="{9C6DAE88-A7DC-4A76-813C-8351B3F9DCDE}"/>
    <cellStyle name="Millares 16 2 8 2" xfId="4519" xr:uid="{DD8B31D3-74AF-486B-99D7-396D14726E50}"/>
    <cellStyle name="Millares 16 2 8 2 2" xfId="6192" xr:uid="{2352DEC0-C484-4F95-9D0A-162386A61B32}"/>
    <cellStyle name="Millares 16 2 8 2 3" xfId="7864" xr:uid="{4D4D7FC2-567B-489C-8C3F-D474BB5E35DD}"/>
    <cellStyle name="Millares 16 2 8 3" xfId="5076" xr:uid="{76303251-5956-4A39-9896-B5A383F94360}"/>
    <cellStyle name="Millares 16 2 8 3 2" xfId="6749" xr:uid="{0B681BDD-3553-4D51-97A2-DD65DE31425C}"/>
    <cellStyle name="Millares 16 2 8 3 3" xfId="8421" xr:uid="{2ED271F0-339A-4FC8-A02C-774EBE44081F}"/>
    <cellStyle name="Millares 16 2 8 4" xfId="5634" xr:uid="{DABEFB62-B29E-42F4-A9DE-A5048A60A8FC}"/>
    <cellStyle name="Millares 16 2 8 5" xfId="7306" xr:uid="{F068F3DF-0CF1-4D42-9E93-F84F3FD5BA7F}"/>
    <cellStyle name="Millares 16 2 8 6" xfId="8978" xr:uid="{62D329B6-959D-4589-A121-6BD6732721DC}"/>
    <cellStyle name="Millares 16 2 9" xfId="3239" xr:uid="{7781E533-5025-4738-803A-E4CBE542406D}"/>
    <cellStyle name="Millares 16 2 9 2" xfId="4520" xr:uid="{AD389837-8A3A-4721-BA6D-7182E700724F}"/>
    <cellStyle name="Millares 16 2 9 2 2" xfId="6193" xr:uid="{D3267459-463E-4449-B159-57EEE81141E3}"/>
    <cellStyle name="Millares 16 2 9 2 3" xfId="7865" xr:uid="{CCBC8E7E-D780-494C-AD70-254DB8FAD308}"/>
    <cellStyle name="Millares 16 2 9 3" xfId="5077" xr:uid="{FBC97234-EC80-4269-9416-6297B564EA82}"/>
    <cellStyle name="Millares 16 2 9 3 2" xfId="6750" xr:uid="{ABE89BA2-1F0F-4AC2-93E1-F11A6082A310}"/>
    <cellStyle name="Millares 16 2 9 3 3" xfId="8422" xr:uid="{1EA60875-8FAE-4566-95CC-8D7AD28916A0}"/>
    <cellStyle name="Millares 16 2 9 4" xfId="5635" xr:uid="{F2345CD1-3235-4A0A-9017-166E25EA5D9A}"/>
    <cellStyle name="Millares 16 2 9 5" xfId="7307" xr:uid="{AD0F7711-AD1C-44DD-95CE-92C960C0E124}"/>
    <cellStyle name="Millares 16 2 9 6" xfId="8979" xr:uid="{DD521BC9-7B15-43F3-92F3-0DD43925104B}"/>
    <cellStyle name="Millares 16 3" xfId="3240" xr:uid="{1E40CB28-BF81-4FA5-84B9-C5AADDD13104}"/>
    <cellStyle name="Millares 16 3 10" xfId="3241" xr:uid="{456F2DED-2523-437C-8400-496FA98100E5}"/>
    <cellStyle name="Millares 16 3 10 2" xfId="4522" xr:uid="{0183C1DC-E85D-47B0-96B0-9EE09D45726C}"/>
    <cellStyle name="Millares 16 3 10 2 2" xfId="6195" xr:uid="{407F13BB-E0A8-46C7-B68B-EB88415A79FE}"/>
    <cellStyle name="Millares 16 3 10 2 3" xfId="7867" xr:uid="{BCB8EEF8-FC03-4399-A3F9-143C5942DCCA}"/>
    <cellStyle name="Millares 16 3 10 3" xfId="5079" xr:uid="{A0CE61F9-3CEF-46D4-913E-564048427158}"/>
    <cellStyle name="Millares 16 3 10 3 2" xfId="6752" xr:uid="{2E8CAC88-54DE-4F9D-BC56-F1B01A718249}"/>
    <cellStyle name="Millares 16 3 10 3 3" xfId="8424" xr:uid="{1D8982B8-A597-4614-8D86-40036424EB96}"/>
    <cellStyle name="Millares 16 3 10 4" xfId="5637" xr:uid="{9EC6DEF8-4F23-414E-AAFB-2C47ABA1AF9D}"/>
    <cellStyle name="Millares 16 3 10 5" xfId="7309" xr:uid="{379D4410-0F4C-44E9-8469-CF8B2D8C02C0}"/>
    <cellStyle name="Millares 16 3 10 6" xfId="8981" xr:uid="{9729BFC7-5530-41AE-B262-C65E33AAF5F2}"/>
    <cellStyle name="Millares 16 3 11" xfId="4521" xr:uid="{989B623F-DA2A-4251-9B3C-87FCEBCEC672}"/>
    <cellStyle name="Millares 16 3 11 2" xfId="6194" xr:uid="{505B557F-B1CD-445E-A637-EC45CFC91D44}"/>
    <cellStyle name="Millares 16 3 11 3" xfId="7866" xr:uid="{874BBC7B-E95B-4922-9952-EEEECE09E7B3}"/>
    <cellStyle name="Millares 16 3 12" xfId="5078" xr:uid="{3113738C-6B73-4BA8-91ED-35712B861935}"/>
    <cellStyle name="Millares 16 3 12 2" xfId="6751" xr:uid="{03006A6E-A656-49C6-ABC7-EFF800C3388E}"/>
    <cellStyle name="Millares 16 3 12 3" xfId="8423" xr:uid="{A8731B89-4C3C-4EC1-B479-BA1240FDFA5F}"/>
    <cellStyle name="Millares 16 3 13" xfId="5636" xr:uid="{DE49948F-3716-4D9C-8F89-59D46D2C59F7}"/>
    <cellStyle name="Millares 16 3 14" xfId="7308" xr:uid="{DAE5BEF0-1677-46CF-BCC8-70DC1EA56CAD}"/>
    <cellStyle name="Millares 16 3 15" xfId="8980" xr:uid="{40C8FE67-A4AD-4BDD-ACAA-2282D2E08411}"/>
    <cellStyle name="Millares 16 3 2" xfId="3242" xr:uid="{1A12F41D-02F4-42CF-833B-024D446EAF05}"/>
    <cellStyle name="Millares 16 3 2 2" xfId="4523" xr:uid="{B598E70D-CA25-4D10-B98F-8DD8644DD56F}"/>
    <cellStyle name="Millares 16 3 2 2 2" xfId="6196" xr:uid="{8713A681-97CC-45F1-87DF-167AE49CD194}"/>
    <cellStyle name="Millares 16 3 2 2 3" xfId="7868" xr:uid="{B819BB6E-EF4E-41C9-AF37-93D140B04EF1}"/>
    <cellStyle name="Millares 16 3 2 3" xfId="5080" xr:uid="{6B8E6A1C-EAD4-4998-87DC-EBA54578005B}"/>
    <cellStyle name="Millares 16 3 2 3 2" xfId="6753" xr:uid="{0ED53C8D-FAFA-4902-A8A9-4F601FE6F577}"/>
    <cellStyle name="Millares 16 3 2 3 3" xfId="8425" xr:uid="{90778DC9-8297-4C73-BED9-C914488E0F4F}"/>
    <cellStyle name="Millares 16 3 2 4" xfId="5638" xr:uid="{C5AB4A05-962B-40E6-8D3C-DA697839DBD9}"/>
    <cellStyle name="Millares 16 3 2 5" xfId="7310" xr:uid="{06F9ED39-D56F-4F66-9A59-8F2F0B0662A1}"/>
    <cellStyle name="Millares 16 3 2 6" xfId="8982" xr:uid="{7A5F0A84-50C2-4AF3-B6DF-C26C7814C229}"/>
    <cellStyle name="Millares 16 3 3" xfId="3243" xr:uid="{1B894A3E-8368-4C20-8B23-2B158434F856}"/>
    <cellStyle name="Millares 16 3 3 2" xfId="4524" xr:uid="{5A1EFAA8-239B-4ACD-A225-4494D59D6740}"/>
    <cellStyle name="Millares 16 3 3 2 2" xfId="6197" xr:uid="{24A88954-F53A-48B2-8A0F-E31CA57260D5}"/>
    <cellStyle name="Millares 16 3 3 2 3" xfId="7869" xr:uid="{3501BB4C-2509-4190-A78F-BC8E5B55B9E1}"/>
    <cellStyle name="Millares 16 3 3 3" xfId="5081" xr:uid="{A0B792A8-E1A7-4AA9-B6D3-106A6E531A61}"/>
    <cellStyle name="Millares 16 3 3 3 2" xfId="6754" xr:uid="{8ED2A964-2DDE-46E2-9E48-DA75AB0B832B}"/>
    <cellStyle name="Millares 16 3 3 3 3" xfId="8426" xr:uid="{D7D9FF3D-192B-43F3-8EB6-3746370BB6BB}"/>
    <cellStyle name="Millares 16 3 3 4" xfId="5639" xr:uid="{D20BD7C1-327F-4F20-A8B6-580841ABA7B9}"/>
    <cellStyle name="Millares 16 3 3 5" xfId="7311" xr:uid="{C76020E5-33CA-4DCE-A679-89E379D6E4BB}"/>
    <cellStyle name="Millares 16 3 3 6" xfId="8983" xr:uid="{310904F9-C79D-4895-AA87-230565BDB14D}"/>
    <cellStyle name="Millares 16 3 4" xfId="3244" xr:uid="{A8CE96A9-B3D5-4258-9652-82D94E1B72BD}"/>
    <cellStyle name="Millares 16 3 4 2" xfId="4525" xr:uid="{1B361AC4-B9DF-4B12-BB7E-C4E88953D5AF}"/>
    <cellStyle name="Millares 16 3 4 2 2" xfId="6198" xr:uid="{73EC59DF-FDFA-44CA-B5C2-EB7CEE7B6EC0}"/>
    <cellStyle name="Millares 16 3 4 2 3" xfId="7870" xr:uid="{CC63946A-7A2F-4F11-92F6-755365D30ADF}"/>
    <cellStyle name="Millares 16 3 4 3" xfId="5082" xr:uid="{55256F72-6F3C-4D29-826C-99F8A6E7208E}"/>
    <cellStyle name="Millares 16 3 4 3 2" xfId="6755" xr:uid="{A4B97A5A-7449-42FB-9112-996AA73B112A}"/>
    <cellStyle name="Millares 16 3 4 3 3" xfId="8427" xr:uid="{51E3C7EA-D975-4637-840E-940656319B50}"/>
    <cellStyle name="Millares 16 3 4 4" xfId="5640" xr:uid="{2D408424-6BC2-4A2E-B794-81FC0F71358E}"/>
    <cellStyle name="Millares 16 3 4 5" xfId="7312" xr:uid="{A7C9B3E4-46D7-4886-8537-1EEE8CB86CEE}"/>
    <cellStyle name="Millares 16 3 4 6" xfId="8984" xr:uid="{705A3333-F1F6-4FB6-81DA-C86111A98449}"/>
    <cellStyle name="Millares 16 3 5" xfId="3245" xr:uid="{4A393AA0-B857-43F7-9547-78B0F52CE0F4}"/>
    <cellStyle name="Millares 16 3 5 2" xfId="4526" xr:uid="{10C9A53E-F64B-4FC9-A302-5C842DACB517}"/>
    <cellStyle name="Millares 16 3 5 2 2" xfId="6199" xr:uid="{BBE237DB-E962-45D2-9EF7-D265E4F6AB14}"/>
    <cellStyle name="Millares 16 3 5 2 3" xfId="7871" xr:uid="{691A9F2D-24B9-437B-BD51-8FB537219091}"/>
    <cellStyle name="Millares 16 3 5 3" xfId="5083" xr:uid="{7FDE5EA4-C60A-4CE8-A3DD-758A5DEB1173}"/>
    <cellStyle name="Millares 16 3 5 3 2" xfId="6756" xr:uid="{0E6A3949-2BE3-4E0F-950C-CEF6D1C70169}"/>
    <cellStyle name="Millares 16 3 5 3 3" xfId="8428" xr:uid="{608F7603-C19C-4BEC-AA86-FD606658B79E}"/>
    <cellStyle name="Millares 16 3 5 4" xfId="5641" xr:uid="{60C1EF6E-7E53-4EBE-A46E-1E47D57C3DC0}"/>
    <cellStyle name="Millares 16 3 5 5" xfId="7313" xr:uid="{84137B47-799B-452C-8BC8-E82C70A80276}"/>
    <cellStyle name="Millares 16 3 5 6" xfId="8985" xr:uid="{0BD49C46-0600-4660-ADD5-D1487DD554BF}"/>
    <cellStyle name="Millares 16 3 6" xfId="3246" xr:uid="{C75E4EEE-3CEC-49DD-AEA9-636E2E90B3A0}"/>
    <cellStyle name="Millares 16 3 6 2" xfId="4527" xr:uid="{F6F3B616-91BF-4CDD-90E0-0F09E3641FAE}"/>
    <cellStyle name="Millares 16 3 6 2 2" xfId="6200" xr:uid="{856D30D7-8EFB-41C2-BD12-DBD35C54742E}"/>
    <cellStyle name="Millares 16 3 6 2 3" xfId="7872" xr:uid="{F8C3C797-C93B-4789-970A-B13656044E6E}"/>
    <cellStyle name="Millares 16 3 6 3" xfId="5084" xr:uid="{506C3CA2-1A64-440B-9B27-76A47E692A88}"/>
    <cellStyle name="Millares 16 3 6 3 2" xfId="6757" xr:uid="{7C400DF1-2BB8-4F7D-92FD-2F426EE03BC1}"/>
    <cellStyle name="Millares 16 3 6 3 3" xfId="8429" xr:uid="{54175B8B-805F-42C6-9013-6C0D6B6BCB2B}"/>
    <cellStyle name="Millares 16 3 6 4" xfId="5642" xr:uid="{079725C4-39C7-4870-93EA-E5E99FDAC2CB}"/>
    <cellStyle name="Millares 16 3 6 5" xfId="7314" xr:uid="{2AAC5D8D-2405-4B5A-B06C-872959A1C86F}"/>
    <cellStyle name="Millares 16 3 6 6" xfId="8986" xr:uid="{06F3ABFE-89B0-433D-868B-7EAF72264CBD}"/>
    <cellStyle name="Millares 16 3 7" xfId="3247" xr:uid="{641FEA59-0717-4286-A8C5-561C06416481}"/>
    <cellStyle name="Millares 16 3 7 2" xfId="4528" xr:uid="{3E6D7C90-2B88-4331-8208-E06B9451DDC0}"/>
    <cellStyle name="Millares 16 3 7 2 2" xfId="6201" xr:uid="{96DBB587-BBF7-4A68-8FCC-8AD8C1F63C3E}"/>
    <cellStyle name="Millares 16 3 7 2 3" xfId="7873" xr:uid="{9C8B362D-5A9D-4834-808E-CC21173A9737}"/>
    <cellStyle name="Millares 16 3 7 3" xfId="5085" xr:uid="{B8D3D768-5645-4A19-984F-E7A5E44D620B}"/>
    <cellStyle name="Millares 16 3 7 3 2" xfId="6758" xr:uid="{80490453-F685-4C24-B42B-907802652AF4}"/>
    <cellStyle name="Millares 16 3 7 3 3" xfId="8430" xr:uid="{386E7FC1-7C96-44C3-BC2F-AF7F5251364F}"/>
    <cellStyle name="Millares 16 3 7 4" xfId="5643" xr:uid="{38D43971-4832-4314-831B-17580D55A55C}"/>
    <cellStyle name="Millares 16 3 7 5" xfId="7315" xr:uid="{83337FC4-E27B-42C8-AFF5-E32EC9821BD8}"/>
    <cellStyle name="Millares 16 3 7 6" xfId="8987" xr:uid="{13A71505-80B7-4984-B227-674960053171}"/>
    <cellStyle name="Millares 16 3 8" xfId="3248" xr:uid="{99C59E7E-6DDB-4741-96BC-A29266D3097A}"/>
    <cellStyle name="Millares 16 3 8 2" xfId="4529" xr:uid="{73DF8FC6-89C8-43DD-986A-4B10702CD703}"/>
    <cellStyle name="Millares 16 3 8 2 2" xfId="6202" xr:uid="{19D62D1C-A11A-42A1-9218-825323D9474A}"/>
    <cellStyle name="Millares 16 3 8 2 3" xfId="7874" xr:uid="{CB78AAD4-3FEB-4BE1-8EE9-80C18EED878B}"/>
    <cellStyle name="Millares 16 3 8 3" xfId="5086" xr:uid="{4CF9039A-CCB1-4FCA-A2F1-2E5672B2101D}"/>
    <cellStyle name="Millares 16 3 8 3 2" xfId="6759" xr:uid="{EA2F5B37-1993-4F75-B7A5-586CCAEF44FC}"/>
    <cellStyle name="Millares 16 3 8 3 3" xfId="8431" xr:uid="{BA9BB011-FA52-49D8-BA8B-0FF766DD66A5}"/>
    <cellStyle name="Millares 16 3 8 4" xfId="5644" xr:uid="{A0CD2E38-1D5E-49A5-BDEB-41735EF2DA6C}"/>
    <cellStyle name="Millares 16 3 8 5" xfId="7316" xr:uid="{D3F4D006-9689-4B52-BF15-5F684B19295B}"/>
    <cellStyle name="Millares 16 3 8 6" xfId="8988" xr:uid="{B051C681-B407-49B1-BECB-34DAAC8883F2}"/>
    <cellStyle name="Millares 16 3 9" xfId="3249" xr:uid="{913CFAC7-2581-435D-9487-BD842A22E9D2}"/>
    <cellStyle name="Millares 16 3 9 2" xfId="4530" xr:uid="{644CD838-51BE-48B6-8EDA-EC7134A7C54D}"/>
    <cellStyle name="Millares 16 3 9 2 2" xfId="6203" xr:uid="{78E05C44-0FBA-4729-B848-0965F918EC0B}"/>
    <cellStyle name="Millares 16 3 9 2 3" xfId="7875" xr:uid="{5D9525ED-05A7-4075-907B-E865611D6B02}"/>
    <cellStyle name="Millares 16 3 9 3" xfId="5087" xr:uid="{49B993BD-E43F-43D2-9199-8959C2C2CCFE}"/>
    <cellStyle name="Millares 16 3 9 3 2" xfId="6760" xr:uid="{2D811D49-1E0A-497B-9784-BD00E515697B}"/>
    <cellStyle name="Millares 16 3 9 3 3" xfId="8432" xr:uid="{94633896-ECEF-4A76-861F-6F9515EDF82A}"/>
    <cellStyle name="Millares 16 3 9 4" xfId="5645" xr:uid="{DFC73259-69A7-428D-8AC1-D2A38DE29DC3}"/>
    <cellStyle name="Millares 16 3 9 5" xfId="7317" xr:uid="{11523507-3295-405F-85B3-CEBF5A482A36}"/>
    <cellStyle name="Millares 16 3 9 6" xfId="8989" xr:uid="{A43C78F2-C2FC-4DDA-812D-7298E3C64BEB}"/>
    <cellStyle name="Millares 16 4" xfId="3250" xr:uid="{4EE1D2BB-CD6B-4635-BC3A-B175780C355A}"/>
    <cellStyle name="Millares 16 4 2" xfId="4531" xr:uid="{4487F883-EC84-440C-8750-F5A5DD34DCDA}"/>
    <cellStyle name="Millares 16 4 2 2" xfId="6204" xr:uid="{2FC732E9-54E0-4E03-9E85-B9F37E8C5192}"/>
    <cellStyle name="Millares 16 4 2 3" xfId="7876" xr:uid="{F6B99855-9D11-4C80-8433-66B8A00BE9B3}"/>
    <cellStyle name="Millares 16 4 3" xfId="5088" xr:uid="{3835EE27-0F9E-43DC-BEEE-3DBA85D55890}"/>
    <cellStyle name="Millares 16 4 3 2" xfId="6761" xr:uid="{2A7280D5-FFB2-4846-9521-71ED14D0D61B}"/>
    <cellStyle name="Millares 16 4 3 3" xfId="8433" xr:uid="{35FE80D5-6471-469F-84F2-71F66802831E}"/>
    <cellStyle name="Millares 16 4 4" xfId="5646" xr:uid="{5C9449BC-EFAD-4F82-9CF0-17A3E98C3B07}"/>
    <cellStyle name="Millares 16 4 5" xfId="7318" xr:uid="{634DCBBE-71DF-47D0-9E14-649E34BACE6E}"/>
    <cellStyle name="Millares 16 4 6" xfId="8990" xr:uid="{DEDF4E6E-5EB1-480C-A3DE-E723BBD7F5C6}"/>
    <cellStyle name="Millares 16 5" xfId="3251" xr:uid="{A2134523-00E3-418D-9F3B-20C042B62FE2}"/>
    <cellStyle name="Millares 16 5 2" xfId="4532" xr:uid="{CA1DC275-DD4A-4D24-9232-A84FDBD039A1}"/>
    <cellStyle name="Millares 16 5 2 2" xfId="6205" xr:uid="{6FE5B615-3A53-41F7-BBE3-1E866182F774}"/>
    <cellStyle name="Millares 16 5 2 3" xfId="7877" xr:uid="{992ED000-26E4-464C-9428-6D1730AEF7C6}"/>
    <cellStyle name="Millares 16 5 3" xfId="5089" xr:uid="{CBB5C94B-4141-40CD-A076-F4337C87219F}"/>
    <cellStyle name="Millares 16 5 3 2" xfId="6762" xr:uid="{866097A2-BEBF-4F71-B04C-F0C61677F57F}"/>
    <cellStyle name="Millares 16 5 3 3" xfId="8434" xr:uid="{60CD83A5-C065-4152-B2F5-EFC4B6ECF4F2}"/>
    <cellStyle name="Millares 16 5 4" xfId="5647" xr:uid="{46BA836E-BB21-451A-9907-EE65F62DB6C6}"/>
    <cellStyle name="Millares 16 5 5" xfId="7319" xr:uid="{FA8E53E0-BAB9-408A-A7F5-A076E9D6F065}"/>
    <cellStyle name="Millares 16 5 6" xfId="8991" xr:uid="{7EFBDA17-11A8-41C4-8DEE-BB6F7A0EE345}"/>
    <cellStyle name="Millares 16 6" xfId="3252" xr:uid="{CE27FED9-A136-4607-AFE6-06281C37509F}"/>
    <cellStyle name="Millares 16 6 2" xfId="4533" xr:uid="{3BD7507F-BC57-416A-9A5B-7C576087BC6D}"/>
    <cellStyle name="Millares 16 6 2 2" xfId="6206" xr:uid="{23363038-EDE3-4544-8CCC-51F4761F3212}"/>
    <cellStyle name="Millares 16 6 2 3" xfId="7878" xr:uid="{0494D100-22BF-4EA5-8F27-DF8DD944CD46}"/>
    <cellStyle name="Millares 16 6 3" xfId="5090" xr:uid="{F48387FD-FAE7-44CD-A472-0C7B7F4812BE}"/>
    <cellStyle name="Millares 16 6 3 2" xfId="6763" xr:uid="{2571BD7A-DA4B-4F87-817B-28270D1F6792}"/>
    <cellStyle name="Millares 16 6 3 3" xfId="8435" xr:uid="{0F706045-3A7D-4E75-9755-DAC3445F8D52}"/>
    <cellStyle name="Millares 16 6 4" xfId="5648" xr:uid="{8A6E1A18-0E30-4053-8370-8DAFEAC47C2B}"/>
    <cellStyle name="Millares 16 6 5" xfId="7320" xr:uid="{25F71859-718B-4866-B3B4-EF8803AE8AD9}"/>
    <cellStyle name="Millares 16 6 6" xfId="8992" xr:uid="{32C86E58-FC66-4BA9-A038-D338C7D35B93}"/>
    <cellStyle name="Millares 16 7" xfId="3253" xr:uid="{7499934B-5780-4464-AA91-54C25D79AD5C}"/>
    <cellStyle name="Millares 16 7 2" xfId="4534" xr:uid="{6182A052-F63C-44CA-A44A-7560FC6A1EE7}"/>
    <cellStyle name="Millares 16 7 2 2" xfId="6207" xr:uid="{53D1E79E-E04A-4419-BA16-6ECF02F4D13C}"/>
    <cellStyle name="Millares 16 7 2 3" xfId="7879" xr:uid="{BF799A55-AC89-49B3-8972-AD6535ABAA86}"/>
    <cellStyle name="Millares 16 7 3" xfId="5091" xr:uid="{D17D0FBB-E639-4F15-A093-A586E9BEE244}"/>
    <cellStyle name="Millares 16 7 3 2" xfId="6764" xr:uid="{B90137CB-B9E9-4967-BDF2-C17BABB71A69}"/>
    <cellStyle name="Millares 16 7 3 3" xfId="8436" xr:uid="{CD7480EA-C2C1-4CB2-8026-496AFE2A1605}"/>
    <cellStyle name="Millares 16 7 4" xfId="5649" xr:uid="{88FDA77A-9BF9-4AD2-B930-E56D03F961BC}"/>
    <cellStyle name="Millares 16 7 5" xfId="7321" xr:uid="{30FAC2B1-AB8D-400C-A7D5-6C93A677E1F6}"/>
    <cellStyle name="Millares 16 7 6" xfId="8993" xr:uid="{81D2651B-49CF-4C08-8295-493362998E09}"/>
    <cellStyle name="Millares 16 8" xfId="3254" xr:uid="{9BA8E879-2A3F-43EC-ABEC-1056A87C370A}"/>
    <cellStyle name="Millares 16 8 2" xfId="4535" xr:uid="{459175F5-D284-41CF-956E-EE545D19EC2E}"/>
    <cellStyle name="Millares 16 8 2 2" xfId="6208" xr:uid="{68687209-B40B-4E2F-8125-E7CEFA2530DA}"/>
    <cellStyle name="Millares 16 8 2 3" xfId="7880" xr:uid="{3644FB2A-F545-4B7E-BF30-A6077206DF4A}"/>
    <cellStyle name="Millares 16 8 3" xfId="5092" xr:uid="{B79B5B04-E847-4D7F-9CFF-17B52873A5AA}"/>
    <cellStyle name="Millares 16 8 3 2" xfId="6765" xr:uid="{9EE2DC61-1122-4E9E-A55C-D1F75690A45D}"/>
    <cellStyle name="Millares 16 8 3 3" xfId="8437" xr:uid="{BFB41126-255A-4860-9BCD-082F595F6C7B}"/>
    <cellStyle name="Millares 16 8 4" xfId="5650" xr:uid="{9E32B4D9-33E3-43B4-964B-AF8B3FE32766}"/>
    <cellStyle name="Millares 16 8 5" xfId="7322" xr:uid="{385FC532-E3BF-42BC-A780-22CF2AC33760}"/>
    <cellStyle name="Millares 16 8 6" xfId="8994" xr:uid="{2D5CD100-9D05-4EFB-909F-26766FD23B59}"/>
    <cellStyle name="Millares 16 9" xfId="3255" xr:uid="{6A0AF981-B3F5-4218-BD03-4BF7DF325A8A}"/>
    <cellStyle name="Millares 16 9 2" xfId="4536" xr:uid="{EC658C59-A6AA-414C-B227-9DDB56859D97}"/>
    <cellStyle name="Millares 16 9 2 2" xfId="6209" xr:uid="{29C093D1-23B3-4A8F-9853-E2B204EED992}"/>
    <cellStyle name="Millares 16 9 2 3" xfId="7881" xr:uid="{2709247E-A431-4F7C-9926-4E67F51012BD}"/>
    <cellStyle name="Millares 16 9 3" xfId="5093" xr:uid="{BB22F76D-0972-46AE-9643-51921CD0727B}"/>
    <cellStyle name="Millares 16 9 3 2" xfId="6766" xr:uid="{5A23490B-10FF-4387-961C-EF88E51660B1}"/>
    <cellStyle name="Millares 16 9 3 3" xfId="8438" xr:uid="{2174D4F1-AA59-4883-A1BC-AEE21DB66F4B}"/>
    <cellStyle name="Millares 16 9 4" xfId="5651" xr:uid="{CE5F052A-D53D-484A-86F9-5EA38CFDCBC5}"/>
    <cellStyle name="Millares 16 9 5" xfId="7323" xr:uid="{2C2CC8E6-46A2-4EB8-9815-E9C34C1D1639}"/>
    <cellStyle name="Millares 16 9 6" xfId="8995" xr:uid="{2487770B-A596-4E2F-8CD7-35B2B27AE467}"/>
    <cellStyle name="Millares 17" xfId="3256" xr:uid="{8F333F48-E786-4947-8509-1B7CFA1D6305}"/>
    <cellStyle name="Millares 17 10" xfId="3257" xr:uid="{034E0914-0CE3-4A76-A069-6AC0074EE86B}"/>
    <cellStyle name="Millares 17 10 2" xfId="4538" xr:uid="{43404D9F-3F92-45D6-8515-3F8C65B896BA}"/>
    <cellStyle name="Millares 17 10 2 2" xfId="6211" xr:uid="{A1220BCC-5A95-4BA4-9311-170EB101F6E1}"/>
    <cellStyle name="Millares 17 10 2 3" xfId="7883" xr:uid="{C0F81F8E-314E-4D8A-BBCC-04D518580282}"/>
    <cellStyle name="Millares 17 10 3" xfId="5095" xr:uid="{F26BF861-4F8C-4BCA-937E-A505E780D5F1}"/>
    <cellStyle name="Millares 17 10 3 2" xfId="6768" xr:uid="{5DD3FF1B-CF25-4304-B37B-B7C367EC87E8}"/>
    <cellStyle name="Millares 17 10 3 3" xfId="8440" xr:uid="{F206EED7-1E74-49CB-BA1D-10802AC8987B}"/>
    <cellStyle name="Millares 17 10 4" xfId="5653" xr:uid="{1889EEEE-6B02-4EAB-A303-7592FE1F7726}"/>
    <cellStyle name="Millares 17 10 5" xfId="7325" xr:uid="{1801C0C5-28F1-4C8D-87B5-5103F8CAA84F}"/>
    <cellStyle name="Millares 17 10 6" xfId="8997" xr:uid="{9C8BA114-F8DE-40C5-BA03-3FBDC1FD415B}"/>
    <cellStyle name="Millares 17 11" xfId="3258" xr:uid="{38537288-EE19-46EF-8A61-E3EF8675775F}"/>
    <cellStyle name="Millares 17 11 2" xfId="4539" xr:uid="{A59C1CA0-8C28-4672-B398-E8E3D0396EB1}"/>
    <cellStyle name="Millares 17 11 2 2" xfId="6212" xr:uid="{46A98ABD-857D-4A70-8EAE-03169595C985}"/>
    <cellStyle name="Millares 17 11 2 3" xfId="7884" xr:uid="{418FC6E1-B1E3-4BE3-AE04-917BA9E25436}"/>
    <cellStyle name="Millares 17 11 3" xfId="5096" xr:uid="{D3D0101F-33BA-48EE-9BF7-49B1D4A936ED}"/>
    <cellStyle name="Millares 17 11 3 2" xfId="6769" xr:uid="{940FABD8-7E7D-42DC-A2F7-A4D748079838}"/>
    <cellStyle name="Millares 17 11 3 3" xfId="8441" xr:uid="{6036B50B-C4B1-4E35-9858-711EAD8954B3}"/>
    <cellStyle name="Millares 17 11 4" xfId="5654" xr:uid="{1FDEB9B3-5CF5-4C26-AD8F-B2430CC7236E}"/>
    <cellStyle name="Millares 17 11 5" xfId="7326" xr:uid="{66B95979-802A-45D7-A671-5917325EE47D}"/>
    <cellStyle name="Millares 17 11 6" xfId="8998" xr:uid="{029E3CBD-6C10-4068-8C19-4D3D45BF3565}"/>
    <cellStyle name="Millares 17 12" xfId="3259" xr:uid="{5792DA0B-A54E-4BAA-9EC2-FF16E4FED468}"/>
    <cellStyle name="Millares 17 12 2" xfId="4540" xr:uid="{9F277D89-6E69-4973-8828-D6636A097270}"/>
    <cellStyle name="Millares 17 12 2 2" xfId="6213" xr:uid="{F47F987C-3D82-4E25-A2E8-B4DD6CFF310B}"/>
    <cellStyle name="Millares 17 12 2 3" xfId="7885" xr:uid="{7F42D249-E635-45AB-AC28-5DE32064D630}"/>
    <cellStyle name="Millares 17 12 3" xfId="5097" xr:uid="{0E190023-AB8E-446B-8110-0377240F4293}"/>
    <cellStyle name="Millares 17 12 3 2" xfId="6770" xr:uid="{D5095785-12DB-4509-B722-F469C987FFD2}"/>
    <cellStyle name="Millares 17 12 3 3" xfId="8442" xr:uid="{4FB1BB3D-D8C7-4E23-967B-431EDE10C4A5}"/>
    <cellStyle name="Millares 17 12 4" xfId="5655" xr:uid="{6E3F0BFB-0465-420A-8EC2-854B7B9E251F}"/>
    <cellStyle name="Millares 17 12 5" xfId="7327" xr:uid="{FA43BEA8-B828-4896-AF7A-B4F036C6E47C}"/>
    <cellStyle name="Millares 17 12 6" xfId="8999" xr:uid="{62A01D94-9A24-48B7-A1A5-198FE9E1364B}"/>
    <cellStyle name="Millares 17 13" xfId="4537" xr:uid="{5117B65E-419C-4DF2-821A-1EC274B277BC}"/>
    <cellStyle name="Millares 17 13 2" xfId="6210" xr:uid="{3E8A56E1-8912-488B-8179-09AFB5971EE5}"/>
    <cellStyle name="Millares 17 13 3" xfId="7882" xr:uid="{72E1839E-7025-4DA0-B782-AD93B5C04487}"/>
    <cellStyle name="Millares 17 14" xfId="5094" xr:uid="{761FE0CE-F71D-4CD4-9C23-5E8417D07493}"/>
    <cellStyle name="Millares 17 14 2" xfId="6767" xr:uid="{561F4CD7-E231-4271-AC57-4F27C957A7C9}"/>
    <cellStyle name="Millares 17 14 3" xfId="8439" xr:uid="{80DF623E-4AB5-453A-B338-849C1B3DDB9F}"/>
    <cellStyle name="Millares 17 15" xfId="5652" xr:uid="{F0BCD055-354F-4CC5-9278-FA76BE89001B}"/>
    <cellStyle name="Millares 17 16" xfId="7324" xr:uid="{DACDB7B3-78E4-40F9-A74D-2E7E1227B385}"/>
    <cellStyle name="Millares 17 17" xfId="8996" xr:uid="{C1E69223-102F-4430-8B32-FA784AFA2359}"/>
    <cellStyle name="Millares 17 2" xfId="3260" xr:uid="{BF96C26D-32C4-4A0E-AC37-497AC07AD765}"/>
    <cellStyle name="Millares 17 2 10" xfId="3261" xr:uid="{F2A8689C-6144-4A43-81A3-300B45F3E546}"/>
    <cellStyle name="Millares 17 2 10 2" xfId="4542" xr:uid="{6842C60F-135F-492F-8253-DF3F8ECF8C41}"/>
    <cellStyle name="Millares 17 2 10 2 2" xfId="6215" xr:uid="{89D85D12-B713-4064-B902-3F246F327BBF}"/>
    <cellStyle name="Millares 17 2 10 2 3" xfId="7887" xr:uid="{7251842B-1671-4971-82F7-9D95FDED85C0}"/>
    <cellStyle name="Millares 17 2 10 3" xfId="5099" xr:uid="{126A222E-6A98-48AD-9C3B-F3B29170B8E3}"/>
    <cellStyle name="Millares 17 2 10 3 2" xfId="6772" xr:uid="{0D1C704B-D4AD-472F-BD79-9BBAFA899CFA}"/>
    <cellStyle name="Millares 17 2 10 3 3" xfId="8444" xr:uid="{4E573662-DD5F-4467-BAEC-11F9830B440B}"/>
    <cellStyle name="Millares 17 2 10 4" xfId="5657" xr:uid="{96EC58ED-28DA-40A3-9616-45317A5B26BD}"/>
    <cellStyle name="Millares 17 2 10 5" xfId="7329" xr:uid="{69286202-4911-4FEF-A39A-36EF00A03157}"/>
    <cellStyle name="Millares 17 2 10 6" xfId="9001" xr:uid="{BF6920C1-055C-4143-B498-D7C9804B2E27}"/>
    <cellStyle name="Millares 17 2 11" xfId="4541" xr:uid="{A8D3AC08-ADF5-488C-B624-215E44972DFC}"/>
    <cellStyle name="Millares 17 2 11 2" xfId="6214" xr:uid="{29F0B299-8461-4231-9E6B-931C64F9D217}"/>
    <cellStyle name="Millares 17 2 11 3" xfId="7886" xr:uid="{B0C10F7D-4A57-452D-BB0E-895CE758DE82}"/>
    <cellStyle name="Millares 17 2 12" xfId="5098" xr:uid="{51C0D45F-B7D2-47C7-B198-FA350F57D2B4}"/>
    <cellStyle name="Millares 17 2 12 2" xfId="6771" xr:uid="{94583F89-576A-4F2F-BF75-2A5DEF60BE84}"/>
    <cellStyle name="Millares 17 2 12 3" xfId="8443" xr:uid="{FBE3778E-7E32-46BA-9616-9DB01CF93E0C}"/>
    <cellStyle name="Millares 17 2 13" xfId="5656" xr:uid="{E5F858A1-6028-4C71-B27A-D7B691E22DAC}"/>
    <cellStyle name="Millares 17 2 14" xfId="7328" xr:uid="{3F0CA6FB-A066-4411-B7C2-35976E7BC3B2}"/>
    <cellStyle name="Millares 17 2 15" xfId="9000" xr:uid="{36D9CCD1-58AD-4AD5-99EB-75E13A468DC7}"/>
    <cellStyle name="Millares 17 2 2" xfId="3262" xr:uid="{0C2B9886-C3E6-4399-AA8E-9EA8C57F9822}"/>
    <cellStyle name="Millares 17 2 2 2" xfId="4543" xr:uid="{F52DFB92-AAFA-48A9-896D-C52465E3C9D4}"/>
    <cellStyle name="Millares 17 2 2 2 2" xfId="6216" xr:uid="{382B054E-9C86-4397-AA06-53A4D2541350}"/>
    <cellStyle name="Millares 17 2 2 2 3" xfId="7888" xr:uid="{97CBBB3C-C4E4-4E38-AFFA-0CB7E21CBDA4}"/>
    <cellStyle name="Millares 17 2 2 3" xfId="5100" xr:uid="{ECA4B127-4BF5-4DEA-8A39-66A04A999226}"/>
    <cellStyle name="Millares 17 2 2 3 2" xfId="6773" xr:uid="{4DA35AF7-F47D-42AE-9BFD-6E295F78B92A}"/>
    <cellStyle name="Millares 17 2 2 3 3" xfId="8445" xr:uid="{0F457A18-DB68-48CA-A911-45AB6049ABD1}"/>
    <cellStyle name="Millares 17 2 2 4" xfId="5658" xr:uid="{DE0D16D9-688D-4512-B418-86B52DB3DDFA}"/>
    <cellStyle name="Millares 17 2 2 5" xfId="7330" xr:uid="{0360A728-DD8E-4873-A7CE-044F9DB4C524}"/>
    <cellStyle name="Millares 17 2 2 6" xfId="9002" xr:uid="{EE47DCD6-68CC-47F8-9AB9-0FDA625F29FD}"/>
    <cellStyle name="Millares 17 2 3" xfId="3263" xr:uid="{B4409FC1-47D3-4180-8A29-62F379FF318D}"/>
    <cellStyle name="Millares 17 2 3 2" xfId="4544" xr:uid="{EBE95C99-B6F8-40EE-9249-2E5B5A43D044}"/>
    <cellStyle name="Millares 17 2 3 2 2" xfId="6217" xr:uid="{A63927EA-A654-4584-8393-7A4B4F0F120A}"/>
    <cellStyle name="Millares 17 2 3 2 3" xfId="7889" xr:uid="{A2B7BF17-38D5-4BC8-9DAD-E74B5676F4FB}"/>
    <cellStyle name="Millares 17 2 3 3" xfId="5101" xr:uid="{067E1003-98F5-4C48-A7FD-64FBDEF83CF7}"/>
    <cellStyle name="Millares 17 2 3 3 2" xfId="6774" xr:uid="{05D118C2-9666-4F9F-840F-0E9720D9CB64}"/>
    <cellStyle name="Millares 17 2 3 3 3" xfId="8446" xr:uid="{6A8D784C-8949-4D01-824E-6FA06F79C0DE}"/>
    <cellStyle name="Millares 17 2 3 4" xfId="5659" xr:uid="{46DA74C8-1653-4FE7-9FFB-FCF6B62CAB4A}"/>
    <cellStyle name="Millares 17 2 3 5" xfId="7331" xr:uid="{760FD827-6E9F-44B5-A934-F07FC1E91147}"/>
    <cellStyle name="Millares 17 2 3 6" xfId="9003" xr:uid="{756EE241-3DA0-415A-BA22-82B2EE75B9AB}"/>
    <cellStyle name="Millares 17 2 4" xfId="3264" xr:uid="{922FF397-D37C-4715-A4B7-3E067DF15645}"/>
    <cellStyle name="Millares 17 2 4 2" xfId="4545" xr:uid="{CB721B31-E2C3-4B6A-991A-CADE46F39A86}"/>
    <cellStyle name="Millares 17 2 4 2 2" xfId="6218" xr:uid="{ADD61E56-60AF-4DAB-AAC5-51D9DE1BCB0D}"/>
    <cellStyle name="Millares 17 2 4 2 3" xfId="7890" xr:uid="{00D88F8C-5750-400F-8344-829D2BB8F0B0}"/>
    <cellStyle name="Millares 17 2 4 3" xfId="5102" xr:uid="{29BD223F-71C3-4DBA-B52A-15DC75AFDD53}"/>
    <cellStyle name="Millares 17 2 4 3 2" xfId="6775" xr:uid="{0B6BEA56-204C-4F2B-B92A-F763294098CA}"/>
    <cellStyle name="Millares 17 2 4 3 3" xfId="8447" xr:uid="{8F869C3A-F883-4155-BD89-8C38D6D91910}"/>
    <cellStyle name="Millares 17 2 4 4" xfId="5660" xr:uid="{CC0031CB-5EF9-4FA4-BE43-DD9CFF8074DF}"/>
    <cellStyle name="Millares 17 2 4 5" xfId="7332" xr:uid="{3CD2B88C-6DF2-4604-BE07-58D61542081F}"/>
    <cellStyle name="Millares 17 2 4 6" xfId="9004" xr:uid="{3036DBB6-B074-48CB-A898-F69DFE6D11E8}"/>
    <cellStyle name="Millares 17 2 5" xfId="3265" xr:uid="{BFC2A889-CDD3-4D12-A97E-A9EA9C97604B}"/>
    <cellStyle name="Millares 17 2 5 2" xfId="4546" xr:uid="{80D0DEA7-49DF-4F20-9276-357B1F3A5FCE}"/>
    <cellStyle name="Millares 17 2 5 2 2" xfId="6219" xr:uid="{185D63C0-24FF-47F4-8C15-0BD3904E4A18}"/>
    <cellStyle name="Millares 17 2 5 2 3" xfId="7891" xr:uid="{99C4793B-3622-4990-AE45-A5B08E5299BC}"/>
    <cellStyle name="Millares 17 2 5 3" xfId="5103" xr:uid="{70341C20-2802-488B-8547-0F7B7C19B49E}"/>
    <cellStyle name="Millares 17 2 5 3 2" xfId="6776" xr:uid="{CE50FCD8-6ECB-4555-B3B2-4A7C9F3706F6}"/>
    <cellStyle name="Millares 17 2 5 3 3" xfId="8448" xr:uid="{6BE64F6B-0AEC-489E-A966-23DF09E61A9B}"/>
    <cellStyle name="Millares 17 2 5 4" xfId="5661" xr:uid="{71E3C33B-F985-49E7-A5A1-165B78C069F9}"/>
    <cellStyle name="Millares 17 2 5 5" xfId="7333" xr:uid="{B969D0A1-2A73-4BE0-AF88-7AC6D12079B1}"/>
    <cellStyle name="Millares 17 2 5 6" xfId="9005" xr:uid="{9557EC1B-3118-45A5-8C90-B2A7B9093755}"/>
    <cellStyle name="Millares 17 2 6" xfId="3266" xr:uid="{8BA0B48B-C659-4CE7-AD7F-B2E3F829A2A3}"/>
    <cellStyle name="Millares 17 2 6 2" xfId="4547" xr:uid="{626856A3-C63F-4769-BC98-E9D705C98FD6}"/>
    <cellStyle name="Millares 17 2 6 2 2" xfId="6220" xr:uid="{B8C4CAFF-B839-426C-B6CC-26B2EC572E56}"/>
    <cellStyle name="Millares 17 2 6 2 3" xfId="7892" xr:uid="{E5C61A7E-060F-4D0E-9EE9-1CEB7B0A433F}"/>
    <cellStyle name="Millares 17 2 6 3" xfId="5104" xr:uid="{27433CF2-C462-42FF-969A-A3CAC25A5DF9}"/>
    <cellStyle name="Millares 17 2 6 3 2" xfId="6777" xr:uid="{EDFE2AB3-B4BE-4B9A-A40F-43BAE13C8D50}"/>
    <cellStyle name="Millares 17 2 6 3 3" xfId="8449" xr:uid="{F4252BFD-1A6B-4924-BC34-DD5E59504B78}"/>
    <cellStyle name="Millares 17 2 6 4" xfId="5662" xr:uid="{37D85F00-68F4-432C-BC1B-F16575AC76F2}"/>
    <cellStyle name="Millares 17 2 6 5" xfId="7334" xr:uid="{492B949E-6A97-458B-8D2F-D6C3D82738A8}"/>
    <cellStyle name="Millares 17 2 6 6" xfId="9006" xr:uid="{CFB2F99D-CE76-4319-8313-81FB89301917}"/>
    <cellStyle name="Millares 17 2 7" xfId="3267" xr:uid="{B1BA96F4-A37B-477E-9FEC-C4235C6A448D}"/>
    <cellStyle name="Millares 17 2 7 2" xfId="4548" xr:uid="{63FDCCDE-74B1-40EA-831E-84DD0978C1A1}"/>
    <cellStyle name="Millares 17 2 7 2 2" xfId="6221" xr:uid="{75BE55F0-DA1F-46FA-8FB0-A9FB46CF128B}"/>
    <cellStyle name="Millares 17 2 7 2 3" xfId="7893" xr:uid="{62B5ECF6-6401-4012-A431-8A62A8877A15}"/>
    <cellStyle name="Millares 17 2 7 3" xfId="5105" xr:uid="{F3011786-9CA7-4ACA-A6A4-3F974E7D1DBA}"/>
    <cellStyle name="Millares 17 2 7 3 2" xfId="6778" xr:uid="{83FAE41D-6B72-453E-A123-2BE660A54E63}"/>
    <cellStyle name="Millares 17 2 7 3 3" xfId="8450" xr:uid="{6A0B8714-1CE3-42B0-B1E0-03DC89566BA4}"/>
    <cellStyle name="Millares 17 2 7 4" xfId="5663" xr:uid="{5388540E-E9D9-471E-90BB-A09872687737}"/>
    <cellStyle name="Millares 17 2 7 5" xfId="7335" xr:uid="{AAB02D11-89EA-4005-91A5-5D44D97BBC73}"/>
    <cellStyle name="Millares 17 2 7 6" xfId="9007" xr:uid="{4E10509C-F8D9-4EE2-85C5-AE37461777BC}"/>
    <cellStyle name="Millares 17 2 8" xfId="3268" xr:uid="{D29BB495-4604-4E4F-8472-1DCD4962CD01}"/>
    <cellStyle name="Millares 17 2 8 2" xfId="4549" xr:uid="{DDEFCF2B-D661-493E-B7B5-2BDCDB17FB6D}"/>
    <cellStyle name="Millares 17 2 8 2 2" xfId="6222" xr:uid="{3AE75887-D26F-4B4C-8B1C-9D806836B771}"/>
    <cellStyle name="Millares 17 2 8 2 3" xfId="7894" xr:uid="{920F8A6A-035D-473B-8BC2-C374B3CB88D5}"/>
    <cellStyle name="Millares 17 2 8 3" xfId="5106" xr:uid="{A282F6CB-F34D-41DC-8100-DBF6BC793F46}"/>
    <cellStyle name="Millares 17 2 8 3 2" xfId="6779" xr:uid="{3672EDBA-A74C-42E5-8688-B3E1449098E9}"/>
    <cellStyle name="Millares 17 2 8 3 3" xfId="8451" xr:uid="{116E32A1-6C42-44A0-8B80-42849757F8A1}"/>
    <cellStyle name="Millares 17 2 8 4" xfId="5664" xr:uid="{B9375E09-529D-4E4B-BF03-5AA9337FAFC8}"/>
    <cellStyle name="Millares 17 2 8 5" xfId="7336" xr:uid="{B37B9906-660D-4219-9B2F-39B725A07F47}"/>
    <cellStyle name="Millares 17 2 8 6" xfId="9008" xr:uid="{1EA02E62-0C5C-4BC8-9F7E-5C901439F8CC}"/>
    <cellStyle name="Millares 17 2 9" xfId="3269" xr:uid="{202B2A37-898C-432B-B4F2-755DC8A34292}"/>
    <cellStyle name="Millares 17 2 9 2" xfId="4550" xr:uid="{447EFFE1-5010-4F8A-9423-56BFF114A0E0}"/>
    <cellStyle name="Millares 17 2 9 2 2" xfId="6223" xr:uid="{33F571F0-616E-4F8C-A735-670152DE1918}"/>
    <cellStyle name="Millares 17 2 9 2 3" xfId="7895" xr:uid="{F8B48937-4D82-48C9-913D-31D5B88E10D7}"/>
    <cellStyle name="Millares 17 2 9 3" xfId="5107" xr:uid="{0F53AF00-549C-4358-9C75-5D59B6467E67}"/>
    <cellStyle name="Millares 17 2 9 3 2" xfId="6780" xr:uid="{87515E9C-3500-4A18-8353-B7F4C65BCE72}"/>
    <cellStyle name="Millares 17 2 9 3 3" xfId="8452" xr:uid="{8F626AC3-BDE1-4773-BEB4-DC88449E137E}"/>
    <cellStyle name="Millares 17 2 9 4" xfId="5665" xr:uid="{DD8D221C-3536-4154-B486-5931115EB1F0}"/>
    <cellStyle name="Millares 17 2 9 5" xfId="7337" xr:uid="{B4698BEA-0681-42A6-8024-FBE79D2594B4}"/>
    <cellStyle name="Millares 17 2 9 6" xfId="9009" xr:uid="{07BCAF58-7965-48AD-8ACE-0DF833EB3947}"/>
    <cellStyle name="Millares 17 3" xfId="3270" xr:uid="{85857F5D-900D-4BB7-85CB-CE6C10C2B416}"/>
    <cellStyle name="Millares 17 3 10" xfId="3271" xr:uid="{33287799-5265-4195-AB58-015F69AFE50F}"/>
    <cellStyle name="Millares 17 3 10 2" xfId="4552" xr:uid="{6A49E738-5D22-41A6-9515-875F6BEF25EE}"/>
    <cellStyle name="Millares 17 3 10 2 2" xfId="6225" xr:uid="{247D4356-C430-4CE1-AF4E-D4548021A867}"/>
    <cellStyle name="Millares 17 3 10 2 3" xfId="7897" xr:uid="{607C56F6-7BFE-46A9-8AAA-BFCB692A734E}"/>
    <cellStyle name="Millares 17 3 10 3" xfId="5109" xr:uid="{F6588860-2977-492F-9732-A7F66DBC4C7E}"/>
    <cellStyle name="Millares 17 3 10 3 2" xfId="6782" xr:uid="{6B40CB08-30A5-4472-A3D7-78D471B6BF60}"/>
    <cellStyle name="Millares 17 3 10 3 3" xfId="8454" xr:uid="{445B53BA-3306-4386-987E-0CFEBA9ECD69}"/>
    <cellStyle name="Millares 17 3 10 4" xfId="5667" xr:uid="{FC542CFB-B901-4EA8-B9C4-37FF61840264}"/>
    <cellStyle name="Millares 17 3 10 5" xfId="7339" xr:uid="{1462E681-1568-4595-8199-1B6E4543C69D}"/>
    <cellStyle name="Millares 17 3 10 6" xfId="9011" xr:uid="{51417B12-135E-4FF7-9A33-3944B3954E08}"/>
    <cellStyle name="Millares 17 3 11" xfId="4551" xr:uid="{18610EC2-A03E-40CB-B1AA-09636AE94BEA}"/>
    <cellStyle name="Millares 17 3 11 2" xfId="6224" xr:uid="{248FB18F-867F-4E82-85C7-2D9C74737C29}"/>
    <cellStyle name="Millares 17 3 11 3" xfId="7896" xr:uid="{DE5622D2-7258-4F03-B3F8-59F0007F5ABF}"/>
    <cellStyle name="Millares 17 3 12" xfId="5108" xr:uid="{6753FE88-6DC6-4E40-BA6A-F4600972A141}"/>
    <cellStyle name="Millares 17 3 12 2" xfId="6781" xr:uid="{538657A1-A4FB-4D1E-A9F1-C4F8D096FD36}"/>
    <cellStyle name="Millares 17 3 12 3" xfId="8453" xr:uid="{D551EEC1-A63E-4B76-8AE9-AF705C5B432C}"/>
    <cellStyle name="Millares 17 3 13" xfId="5666" xr:uid="{73C6DE9C-1C1F-468A-9DDA-02C9A7F2FC43}"/>
    <cellStyle name="Millares 17 3 14" xfId="7338" xr:uid="{1EA87804-D9B9-49EA-B64A-5FA09E4AA182}"/>
    <cellStyle name="Millares 17 3 15" xfId="9010" xr:uid="{64181B66-F7A6-4EBE-A493-2473B576CBF8}"/>
    <cellStyle name="Millares 17 3 2" xfId="3272" xr:uid="{EAD65ADA-D87C-4E08-A50D-4D06692D45F0}"/>
    <cellStyle name="Millares 17 3 2 2" xfId="4553" xr:uid="{F5CD5C96-DDC3-400A-8787-9119689F0E54}"/>
    <cellStyle name="Millares 17 3 2 2 2" xfId="6226" xr:uid="{70D38EA4-B113-4B8B-8C91-167E2682ED1C}"/>
    <cellStyle name="Millares 17 3 2 2 3" xfId="7898" xr:uid="{4DED5E13-9855-4D7B-9378-B31DBAF985F3}"/>
    <cellStyle name="Millares 17 3 2 3" xfId="5110" xr:uid="{8F75F4B3-AD82-43EE-A2C2-72A8DAA57E62}"/>
    <cellStyle name="Millares 17 3 2 3 2" xfId="6783" xr:uid="{A3A58387-DD48-4D03-90B3-D3D62FDA8E94}"/>
    <cellStyle name="Millares 17 3 2 3 3" xfId="8455" xr:uid="{7A39E552-6B1C-49CB-8BDF-0C01D7473A51}"/>
    <cellStyle name="Millares 17 3 2 4" xfId="5668" xr:uid="{F9666E21-3E75-4A2F-99A1-561873FB8B3E}"/>
    <cellStyle name="Millares 17 3 2 5" xfId="7340" xr:uid="{6E6D8F5D-4EEC-48C7-A98B-8049592845AB}"/>
    <cellStyle name="Millares 17 3 2 6" xfId="9012" xr:uid="{C5DC9618-5CA2-4250-A584-84D4D8492F9A}"/>
    <cellStyle name="Millares 17 3 3" xfId="3273" xr:uid="{821099B0-98A6-423C-8A9E-967763F95088}"/>
    <cellStyle name="Millares 17 3 3 2" xfId="4554" xr:uid="{FBE20BE0-4D42-492B-ADEC-88C8EFD660D7}"/>
    <cellStyle name="Millares 17 3 3 2 2" xfId="6227" xr:uid="{AE0284AD-9109-4951-A4E8-433171F38AB2}"/>
    <cellStyle name="Millares 17 3 3 2 3" xfId="7899" xr:uid="{DB0A5DF9-863A-41DD-9F3D-0535C4C4A4C8}"/>
    <cellStyle name="Millares 17 3 3 3" xfId="5111" xr:uid="{13DB8F4A-1E83-4353-97D3-74C714CD3B46}"/>
    <cellStyle name="Millares 17 3 3 3 2" xfId="6784" xr:uid="{7F710970-5A42-4618-8155-F2AF3D540D2E}"/>
    <cellStyle name="Millares 17 3 3 3 3" xfId="8456" xr:uid="{BF31B778-CE9C-4B8C-8112-F55DA72FF9DC}"/>
    <cellStyle name="Millares 17 3 3 4" xfId="5669" xr:uid="{0C7CAE57-9A5E-417B-8CDA-AACBEAA10C1C}"/>
    <cellStyle name="Millares 17 3 3 5" xfId="7341" xr:uid="{EDB5261C-DFB5-48FF-9F8C-C835ACA310B6}"/>
    <cellStyle name="Millares 17 3 3 6" xfId="9013" xr:uid="{02F525B1-D1F6-44DE-9B1F-2836594CEE88}"/>
    <cellStyle name="Millares 17 3 4" xfId="3274" xr:uid="{08F04BEA-E553-4670-B785-1301AA2C4A2E}"/>
    <cellStyle name="Millares 17 3 4 2" xfId="4555" xr:uid="{5502E382-5DB3-4ABB-B9FC-F04BD75E1CD0}"/>
    <cellStyle name="Millares 17 3 4 2 2" xfId="6228" xr:uid="{DC9EB26E-DBB4-4CDF-9676-AFBE2AC3DCC2}"/>
    <cellStyle name="Millares 17 3 4 2 3" xfId="7900" xr:uid="{3D99C6FD-70EF-41A3-89DD-B5BB021D61FB}"/>
    <cellStyle name="Millares 17 3 4 3" xfId="5112" xr:uid="{95D70F0B-BB3B-4637-8728-961BEF285654}"/>
    <cellStyle name="Millares 17 3 4 3 2" xfId="6785" xr:uid="{4E7CF116-0945-42E9-B4F5-24B14D9C1E9F}"/>
    <cellStyle name="Millares 17 3 4 3 3" xfId="8457" xr:uid="{4A0EDB97-F867-4F55-86E6-E31C9B432927}"/>
    <cellStyle name="Millares 17 3 4 4" xfId="5670" xr:uid="{DD4E3AAF-CB29-4080-9F1A-94F26C49EBD8}"/>
    <cellStyle name="Millares 17 3 4 5" xfId="7342" xr:uid="{410E0F86-DE13-476D-9250-063F07F7BB80}"/>
    <cellStyle name="Millares 17 3 4 6" xfId="9014" xr:uid="{DEE9E375-D9F6-4A6F-8023-7F8E4631E5F2}"/>
    <cellStyle name="Millares 17 3 5" xfId="3275" xr:uid="{74AD1C09-70F2-4C50-BE4D-FF9DA50BB745}"/>
    <cellStyle name="Millares 17 3 5 2" xfId="4556" xr:uid="{928D3761-8F51-4392-B01F-62C798AB2E8C}"/>
    <cellStyle name="Millares 17 3 5 2 2" xfId="6229" xr:uid="{347A16B0-1DC0-4F7B-ADE5-00EAFBBBC048}"/>
    <cellStyle name="Millares 17 3 5 2 3" xfId="7901" xr:uid="{8F36FCA2-0491-4952-9061-6D08F7C76476}"/>
    <cellStyle name="Millares 17 3 5 3" xfId="5113" xr:uid="{FE44E07E-E664-4CA9-A3DE-0DAAF527A68E}"/>
    <cellStyle name="Millares 17 3 5 3 2" xfId="6786" xr:uid="{9211D90A-19ED-4E42-B40B-385CE24BA5B6}"/>
    <cellStyle name="Millares 17 3 5 3 3" xfId="8458" xr:uid="{9ED49A63-834D-4B3A-87D9-57562831B9EC}"/>
    <cellStyle name="Millares 17 3 5 4" xfId="5671" xr:uid="{D879E6E3-343A-4764-9017-8D4E9FEB2DF3}"/>
    <cellStyle name="Millares 17 3 5 5" xfId="7343" xr:uid="{8482AB0E-467E-4584-A920-68E47B118C8B}"/>
    <cellStyle name="Millares 17 3 5 6" xfId="9015" xr:uid="{013B339C-0512-4604-9166-76459400DA58}"/>
    <cellStyle name="Millares 17 3 6" xfId="3276" xr:uid="{1F4B73E3-53C2-4499-9CF1-66F9E2DA59F2}"/>
    <cellStyle name="Millares 17 3 6 2" xfId="4557" xr:uid="{E15462B2-D65C-435C-9621-29BAAD3BB318}"/>
    <cellStyle name="Millares 17 3 6 2 2" xfId="6230" xr:uid="{550AEA4B-851F-4681-990F-2F93E73ACBD3}"/>
    <cellStyle name="Millares 17 3 6 2 3" xfId="7902" xr:uid="{2A72C2DB-2C6B-4541-A9C8-4586454350DC}"/>
    <cellStyle name="Millares 17 3 6 3" xfId="5114" xr:uid="{514D0440-D5BA-4016-9DAB-D2D73C916033}"/>
    <cellStyle name="Millares 17 3 6 3 2" xfId="6787" xr:uid="{D42D67CA-7D1C-48BA-AD0A-BAFDE71131E3}"/>
    <cellStyle name="Millares 17 3 6 3 3" xfId="8459" xr:uid="{44821695-3584-4008-A627-45FDB7CBFC2D}"/>
    <cellStyle name="Millares 17 3 6 4" xfId="5672" xr:uid="{7BED72E6-E163-4B90-9BFA-F9D397D8D9CA}"/>
    <cellStyle name="Millares 17 3 6 5" xfId="7344" xr:uid="{039911AF-D755-4D95-BFCB-3099361133D6}"/>
    <cellStyle name="Millares 17 3 6 6" xfId="9016" xr:uid="{56CF3B96-AFD3-48D3-8202-342A8D018C7C}"/>
    <cellStyle name="Millares 17 3 7" xfId="3277" xr:uid="{57C06E0F-F138-4D57-8B68-3AC9095E66C4}"/>
    <cellStyle name="Millares 17 3 7 2" xfId="4558" xr:uid="{1C0AF745-E1F2-4FF7-B658-97ECF5CEA306}"/>
    <cellStyle name="Millares 17 3 7 2 2" xfId="6231" xr:uid="{A8E78B25-076B-40DB-9248-5BED08313A0A}"/>
    <cellStyle name="Millares 17 3 7 2 3" xfId="7903" xr:uid="{FFD6F731-3E3B-4705-87D7-35CF65378E58}"/>
    <cellStyle name="Millares 17 3 7 3" xfId="5115" xr:uid="{9BB109F3-9349-43EE-958E-66E1C7B54705}"/>
    <cellStyle name="Millares 17 3 7 3 2" xfId="6788" xr:uid="{B30EF66D-22C4-40ED-91FB-1A0BCF64FA3F}"/>
    <cellStyle name="Millares 17 3 7 3 3" xfId="8460" xr:uid="{23D278FD-4345-4581-B0F1-589E6E363E41}"/>
    <cellStyle name="Millares 17 3 7 4" xfId="5673" xr:uid="{FD0730BA-85EB-4887-BA15-D399BBA01F18}"/>
    <cellStyle name="Millares 17 3 7 5" xfId="7345" xr:uid="{4B58B3B2-3CCE-4BED-8CCF-90D71D0595C7}"/>
    <cellStyle name="Millares 17 3 7 6" xfId="9017" xr:uid="{8A0DC447-950F-443D-A3CD-22A1849B53B0}"/>
    <cellStyle name="Millares 17 3 8" xfId="3278" xr:uid="{DD27EC46-5373-4281-B71A-85C6ACB775AE}"/>
    <cellStyle name="Millares 17 3 8 2" xfId="4559" xr:uid="{88A00450-EFD3-4923-AD9F-6FC8BC238F59}"/>
    <cellStyle name="Millares 17 3 8 2 2" xfId="6232" xr:uid="{7F1AF22E-0661-4DC6-9E03-E56B5357E922}"/>
    <cellStyle name="Millares 17 3 8 2 3" xfId="7904" xr:uid="{E918E065-02A9-4E6D-9047-598243E6249A}"/>
    <cellStyle name="Millares 17 3 8 3" xfId="5116" xr:uid="{17E61D6C-6ACF-4AA5-A1A2-C9EFAB20BBB4}"/>
    <cellStyle name="Millares 17 3 8 3 2" xfId="6789" xr:uid="{6B8D7756-FFA8-4077-942B-8080E3FED10D}"/>
    <cellStyle name="Millares 17 3 8 3 3" xfId="8461" xr:uid="{6CD10872-7B18-4191-A061-128C5C6344B5}"/>
    <cellStyle name="Millares 17 3 8 4" xfId="5674" xr:uid="{8A38B01C-E28C-43BF-8486-59ECBFD0C3EB}"/>
    <cellStyle name="Millares 17 3 8 5" xfId="7346" xr:uid="{90F04A3B-5F60-4D14-80A6-8BF5D7115FEA}"/>
    <cellStyle name="Millares 17 3 8 6" xfId="9018" xr:uid="{20FA8361-7DDA-4759-BB20-0CDB00D47B50}"/>
    <cellStyle name="Millares 17 3 9" xfId="3279" xr:uid="{D21F0C06-BE9F-4D80-8810-566F090AF395}"/>
    <cellStyle name="Millares 17 3 9 2" xfId="4560" xr:uid="{C68363BF-5464-4144-861E-A8DDC0D5F31F}"/>
    <cellStyle name="Millares 17 3 9 2 2" xfId="6233" xr:uid="{4D06D1F3-0D17-425B-9354-58B1F4ACB96E}"/>
    <cellStyle name="Millares 17 3 9 2 3" xfId="7905" xr:uid="{71B57030-EF48-48B5-AA56-0B75978A5898}"/>
    <cellStyle name="Millares 17 3 9 3" xfId="5117" xr:uid="{0A277CF7-7D40-4F7C-84A4-E2D77A8EB1FE}"/>
    <cellStyle name="Millares 17 3 9 3 2" xfId="6790" xr:uid="{8BDF0F8B-E85C-45DE-961B-514870D92637}"/>
    <cellStyle name="Millares 17 3 9 3 3" xfId="8462" xr:uid="{52344156-D0AD-4B8B-8C63-A665601675AE}"/>
    <cellStyle name="Millares 17 3 9 4" xfId="5675" xr:uid="{DBF59783-3DB2-45C3-B537-3A2924C56048}"/>
    <cellStyle name="Millares 17 3 9 5" xfId="7347" xr:uid="{EDF9CAC0-31BC-44E5-889E-54F23F159AE9}"/>
    <cellStyle name="Millares 17 3 9 6" xfId="9019" xr:uid="{DE0D5641-44D2-4195-944A-23AB7A19ACB0}"/>
    <cellStyle name="Millares 17 4" xfId="3280" xr:uid="{FCF3A0CB-ED68-40ED-BDA1-6D18E52A3E1D}"/>
    <cellStyle name="Millares 17 4 2" xfId="4561" xr:uid="{35D0741F-B1C6-4D43-A1B8-826216F40580}"/>
    <cellStyle name="Millares 17 4 2 2" xfId="6234" xr:uid="{F17FD8B0-F6A9-4ADC-BDFE-9E14316CF0A7}"/>
    <cellStyle name="Millares 17 4 2 3" xfId="7906" xr:uid="{4F18419B-E07C-4D36-9324-2617971A8D4E}"/>
    <cellStyle name="Millares 17 4 3" xfId="5118" xr:uid="{65BFCFD7-1415-4316-939F-9199CB64F64D}"/>
    <cellStyle name="Millares 17 4 3 2" xfId="6791" xr:uid="{A5C3B5D1-203A-46F1-8BC5-2D6C87971DF6}"/>
    <cellStyle name="Millares 17 4 3 3" xfId="8463" xr:uid="{9DB5A3F2-A0E7-4246-9C42-326C044A428F}"/>
    <cellStyle name="Millares 17 4 4" xfId="5676" xr:uid="{AC9C88B2-9B0B-401F-8DBE-8E1C4892DE3B}"/>
    <cellStyle name="Millares 17 4 5" xfId="7348" xr:uid="{C20BFD2E-5CE4-4F6B-A73C-D00F2FEDFB95}"/>
    <cellStyle name="Millares 17 4 6" xfId="9020" xr:uid="{2CDF8526-1632-4C29-ADBF-2A443B230624}"/>
    <cellStyle name="Millares 17 5" xfId="3281" xr:uid="{35843941-1004-4419-B8A6-1B75425C11B2}"/>
    <cellStyle name="Millares 17 5 2" xfId="4562" xr:uid="{6D835EF9-44C8-49D8-90C8-E4F656AAC456}"/>
    <cellStyle name="Millares 17 5 2 2" xfId="6235" xr:uid="{B87B96DA-8D4A-4631-9C44-8EA098A5BCBD}"/>
    <cellStyle name="Millares 17 5 2 3" xfId="7907" xr:uid="{1FBED8C7-4987-4517-AACA-ADD91128F994}"/>
    <cellStyle name="Millares 17 5 3" xfId="5119" xr:uid="{8CE9A9AE-9A42-4799-A1DB-E604F6D61D5A}"/>
    <cellStyle name="Millares 17 5 3 2" xfId="6792" xr:uid="{71D8EE4E-6D1E-4F10-AAC9-55BB60E8FCB9}"/>
    <cellStyle name="Millares 17 5 3 3" xfId="8464" xr:uid="{19923B23-6D31-4FB9-8E6B-685FD2C29AEB}"/>
    <cellStyle name="Millares 17 5 4" xfId="5677" xr:uid="{71105054-5384-4768-8DA3-B179CCB9C4D9}"/>
    <cellStyle name="Millares 17 5 5" xfId="7349" xr:uid="{F78A8E86-6594-4FD7-969C-1BD4D776BB3B}"/>
    <cellStyle name="Millares 17 5 6" xfId="9021" xr:uid="{0453FD88-7A6F-491F-ABE1-890EF7A13592}"/>
    <cellStyle name="Millares 17 6" xfId="3282" xr:uid="{85108D5D-D94E-423E-B150-14A87E49303C}"/>
    <cellStyle name="Millares 17 6 2" xfId="4563" xr:uid="{28F1040D-5F81-40E4-BA11-9091D8F5C0AE}"/>
    <cellStyle name="Millares 17 6 2 2" xfId="6236" xr:uid="{0D1055EF-9850-4A1B-99EB-2C5EC8FA464B}"/>
    <cellStyle name="Millares 17 6 2 3" xfId="7908" xr:uid="{DD796D12-1F54-4F81-B214-3A0B1B69C874}"/>
    <cellStyle name="Millares 17 6 3" xfId="5120" xr:uid="{C31D73CF-EE87-4CF8-863A-B17EAD0E656A}"/>
    <cellStyle name="Millares 17 6 3 2" xfId="6793" xr:uid="{992864E6-8135-42D6-84D3-7A70206574AE}"/>
    <cellStyle name="Millares 17 6 3 3" xfId="8465" xr:uid="{04FEF10A-18D3-49DC-AE80-E6E9ABC26E61}"/>
    <cellStyle name="Millares 17 6 4" xfId="5678" xr:uid="{71C8BC27-0EF5-4CFF-B6D4-F53D0CAC1355}"/>
    <cellStyle name="Millares 17 6 5" xfId="7350" xr:uid="{434DEE28-FEE1-4546-86BE-C0D3D6512795}"/>
    <cellStyle name="Millares 17 6 6" xfId="9022" xr:uid="{2D368C63-6EC6-455B-85B3-EF18667FB14A}"/>
    <cellStyle name="Millares 17 7" xfId="3283" xr:uid="{B747FD49-FAF3-4E12-8AF4-5C35AD0728C2}"/>
    <cellStyle name="Millares 17 7 2" xfId="4564" xr:uid="{C1082C4A-0966-4984-AAA4-5BB393F58C1F}"/>
    <cellStyle name="Millares 17 7 2 2" xfId="6237" xr:uid="{35E3E819-16DA-4FFB-A8E8-D06BEC3A6089}"/>
    <cellStyle name="Millares 17 7 2 3" xfId="7909" xr:uid="{5BDFCC66-5E7F-42AE-A3A0-05C8775505A9}"/>
    <cellStyle name="Millares 17 7 3" xfId="5121" xr:uid="{337C00DC-059E-4751-8A04-F8066C67788F}"/>
    <cellStyle name="Millares 17 7 3 2" xfId="6794" xr:uid="{4F2BE5F5-9379-4DC9-964E-7E922D6A75FB}"/>
    <cellStyle name="Millares 17 7 3 3" xfId="8466" xr:uid="{C83676C7-DCA5-4CD0-AEEA-E732395C2A49}"/>
    <cellStyle name="Millares 17 7 4" xfId="5679" xr:uid="{20A48BCC-77BD-46C6-AC79-1C4C924189AA}"/>
    <cellStyle name="Millares 17 7 5" xfId="7351" xr:uid="{9CCF541D-79CC-4281-B231-BC0EFA45128F}"/>
    <cellStyle name="Millares 17 7 6" xfId="9023" xr:uid="{52CFF369-1FD5-47C0-9BCF-1967D4EC27DE}"/>
    <cellStyle name="Millares 17 8" xfId="3284" xr:uid="{BC869755-5C6D-4FFF-B863-652F7DE96FC0}"/>
    <cellStyle name="Millares 17 8 2" xfId="4565" xr:uid="{E93624EF-908A-4F4D-BF10-63C1F9D55D9B}"/>
    <cellStyle name="Millares 17 8 2 2" xfId="6238" xr:uid="{9034879E-18DB-4793-A307-E5FE80A72B7D}"/>
    <cellStyle name="Millares 17 8 2 3" xfId="7910" xr:uid="{260EE1F2-B5E5-43D0-A944-9ED7396415A2}"/>
    <cellStyle name="Millares 17 8 3" xfId="5122" xr:uid="{DEE352AC-37AA-42C4-9D8A-93BC8EB10317}"/>
    <cellStyle name="Millares 17 8 3 2" xfId="6795" xr:uid="{A1B26167-583B-4E03-989D-C4E85B2D37FA}"/>
    <cellStyle name="Millares 17 8 3 3" xfId="8467" xr:uid="{0D55E44B-0CCC-4A5E-958C-14A1068D9CB5}"/>
    <cellStyle name="Millares 17 8 4" xfId="5680" xr:uid="{F7ABA01D-D90B-4F38-9B06-82752F2B8FE3}"/>
    <cellStyle name="Millares 17 8 5" xfId="7352" xr:uid="{56AA2B09-4BEA-4090-9C5E-2EAC7955164C}"/>
    <cellStyle name="Millares 17 8 6" xfId="9024" xr:uid="{6577FF2F-9CB2-4B57-92F8-EC089EE86EE1}"/>
    <cellStyle name="Millares 17 9" xfId="3285" xr:uid="{7F3EF50B-E07F-41B4-9B31-0C37EF4D699D}"/>
    <cellStyle name="Millares 17 9 2" xfId="4566" xr:uid="{A0A3D66D-7B94-4688-BF20-05E3FC6893F8}"/>
    <cellStyle name="Millares 17 9 2 2" xfId="6239" xr:uid="{B7BCB5CD-A99D-43B3-904D-F4BB79516E4E}"/>
    <cellStyle name="Millares 17 9 2 3" xfId="7911" xr:uid="{1D30232D-F5EE-443C-A504-12F75DCC4253}"/>
    <cellStyle name="Millares 17 9 3" xfId="5123" xr:uid="{E9129AD0-F8B7-4A05-A30C-98463DB5BE45}"/>
    <cellStyle name="Millares 17 9 3 2" xfId="6796" xr:uid="{7A9460F1-E3FD-47DF-B089-A204004458A5}"/>
    <cellStyle name="Millares 17 9 3 3" xfId="8468" xr:uid="{DB121513-9205-4D25-89D4-261CF11A92F7}"/>
    <cellStyle name="Millares 17 9 4" xfId="5681" xr:uid="{F1110D9B-47B3-4CE4-A857-D322F3BF6E1F}"/>
    <cellStyle name="Millares 17 9 5" xfId="7353" xr:uid="{B61EF0E6-0035-4EBE-9069-AF986EEA9ECA}"/>
    <cellStyle name="Millares 17 9 6" xfId="9025" xr:uid="{879A2E7D-E81B-4B70-B785-14D7AA5691E7}"/>
    <cellStyle name="Millares 18" xfId="3286" xr:uid="{8448D246-5F05-46AF-8CB9-B586741E707A}"/>
    <cellStyle name="Millares 18 2" xfId="4567" xr:uid="{3BC8B8D6-5A88-4CC4-92B8-DCD7591F303E}"/>
    <cellStyle name="Millares 18 2 2" xfId="6240" xr:uid="{BFB7BDB1-BC44-4DF0-BFAC-5B37C529152F}"/>
    <cellStyle name="Millares 18 2 3" xfId="7912" xr:uid="{9601FEA1-F109-4597-BA31-5BE2F6D1043D}"/>
    <cellStyle name="Millares 18 3" xfId="5124" xr:uid="{ED7C2B9D-2E54-4C01-84A8-46505F714351}"/>
    <cellStyle name="Millares 18 3 2" xfId="6797" xr:uid="{597C4D13-3296-4D10-8426-CA8F7FB02B5F}"/>
    <cellStyle name="Millares 18 3 3" xfId="8469" xr:uid="{6B54A51B-A960-487D-AB4B-2DC6C3BED7A4}"/>
    <cellStyle name="Millares 18 4" xfId="5682" xr:uid="{2574CA20-05F8-4B86-AC63-B4A9C52A5D43}"/>
    <cellStyle name="Millares 18 5" xfId="7354" xr:uid="{DFF1168F-2475-4C2E-B832-4953B3E3D7EE}"/>
    <cellStyle name="Millares 18 6" xfId="9026" xr:uid="{5E31A6EA-C24D-49A3-A81D-B777C8B56E50}"/>
    <cellStyle name="Millares 19" xfId="3287" xr:uid="{12981730-18F3-4862-BAE3-879A29AC1D06}"/>
    <cellStyle name="Millares 19 2" xfId="4568" xr:uid="{782E194F-E9D4-4F16-AC09-B923C4A7FD56}"/>
    <cellStyle name="Millares 19 2 2" xfId="6241" xr:uid="{9A26C0C0-27FD-46D9-8FD3-0B4B64738FB1}"/>
    <cellStyle name="Millares 19 2 3" xfId="7913" xr:uid="{82F724A4-B89B-4E5C-944A-C08D2E399488}"/>
    <cellStyle name="Millares 19 3" xfId="5125" xr:uid="{BE15AE08-C04D-4264-A036-C3B330A9E3E3}"/>
    <cellStyle name="Millares 19 3 2" xfId="6798" xr:uid="{1C47E5F9-87E3-4BFC-AC8B-9CAF6226015E}"/>
    <cellStyle name="Millares 19 3 3" xfId="8470" xr:uid="{A307FEAC-D367-454B-95C6-A79174129674}"/>
    <cellStyle name="Millares 19 4" xfId="5683" xr:uid="{DEB4896A-782C-4C05-8260-6F6BFCF45188}"/>
    <cellStyle name="Millares 19 5" xfId="7355" xr:uid="{E0D100B9-3AE3-4D06-9C93-B372FE07A461}"/>
    <cellStyle name="Millares 19 6" xfId="9027" xr:uid="{B2268D61-58C1-4DD5-A8B0-4B1B29E8282B}"/>
    <cellStyle name="Millares 2" xfId="3288" xr:uid="{ABA7CD79-5DD9-4808-A276-2AF72DFB7C21}"/>
    <cellStyle name="Millares 2 10" xfId="4569" xr:uid="{19038D8C-B43D-4ACC-9C82-E6D9BBA121DE}"/>
    <cellStyle name="Millares 2 10 2" xfId="6242" xr:uid="{266C37B1-9DA2-4749-A910-9B4E9695D525}"/>
    <cellStyle name="Millares 2 10 3" xfId="7914" xr:uid="{4ECCC952-623E-48C8-A6C1-10C06DFD7235}"/>
    <cellStyle name="Millares 2 11" xfId="5126" xr:uid="{E8453971-0729-4C77-AB74-86F46BD3CC9E}"/>
    <cellStyle name="Millares 2 11 2" xfId="6799" xr:uid="{0AB9C745-4F51-42A4-89E9-E339CCBB1B97}"/>
    <cellStyle name="Millares 2 11 3" xfId="8471" xr:uid="{B91AEE4A-9A61-4670-8B24-A8D2E799B624}"/>
    <cellStyle name="Millares 2 12" xfId="5684" xr:uid="{43EB15DE-3807-4B3B-A719-59E7FF2F01C4}"/>
    <cellStyle name="Millares 2 13" xfId="7356" xr:uid="{66DC33D6-19F1-443D-A9BE-482CDA5BA74F}"/>
    <cellStyle name="Millares 2 14" xfId="9028" xr:uid="{5231A812-76B6-4AB1-A591-1602BB2121B1}"/>
    <cellStyle name="Millares 2 2" xfId="3289" xr:uid="{ABE6A473-020B-42F7-8CDE-0D949B93EF36}"/>
    <cellStyle name="Millares 2 2 2" xfId="3290" xr:uid="{DB603C38-D2E5-41BA-BEF8-888FB1FE24BB}"/>
    <cellStyle name="Millares 2 2 3" xfId="3291" xr:uid="{77CE200A-3AD7-4AE6-AFCC-3103AD5ADCF2}"/>
    <cellStyle name="Millares 2 2 4" xfId="3292" xr:uid="{91E7E1E5-0A54-4CE5-AE3A-C7BD6938396D}"/>
    <cellStyle name="Millares 2 2 4 2" xfId="4571" xr:uid="{95CB94AC-EDB9-4CD0-A177-BE2B731E1DFA}"/>
    <cellStyle name="Millares 2 2 4 2 2" xfId="6244" xr:uid="{27190581-B01F-47AB-BDED-57C4A9B5DD15}"/>
    <cellStyle name="Millares 2 2 4 2 3" xfId="7916" xr:uid="{F5CB44BE-5AB1-4A22-BD5E-E88389302545}"/>
    <cellStyle name="Millares 2 2 4 3" xfId="5128" xr:uid="{2290F3C2-453F-4BA6-B215-B551EA869799}"/>
    <cellStyle name="Millares 2 2 4 3 2" xfId="6801" xr:uid="{D9711B64-3D2D-478A-BAE5-997254A9BE66}"/>
    <cellStyle name="Millares 2 2 4 3 3" xfId="8473" xr:uid="{11CB6D66-F284-4EC1-88BB-00E26FC81F80}"/>
    <cellStyle name="Millares 2 2 4 4" xfId="5686" xr:uid="{19CFD47D-2840-4DFD-869A-B9EA4AB67964}"/>
    <cellStyle name="Millares 2 2 4 5" xfId="7358" xr:uid="{FF32F075-4857-474F-911E-505FE5DEE871}"/>
    <cellStyle name="Millares 2 2 4 6" xfId="9030" xr:uid="{F6260C90-4517-4390-A0CA-81E23ACCFF85}"/>
    <cellStyle name="Millares 2 2 5" xfId="4570" xr:uid="{596F2FD7-D6CF-44B8-AE66-840732E82C15}"/>
    <cellStyle name="Millares 2 2 5 2" xfId="6243" xr:uid="{4E58D85B-2BF5-43F0-8636-0DDB5D43FE89}"/>
    <cellStyle name="Millares 2 2 5 3" xfId="7915" xr:uid="{0D8597F6-F004-4CEA-98DE-BECECD50D52E}"/>
    <cellStyle name="Millares 2 2 6" xfId="5127" xr:uid="{60005B55-DB90-4280-A78A-9F58580F9E88}"/>
    <cellStyle name="Millares 2 2 6 2" xfId="6800" xr:uid="{3463D032-39D9-436E-A90C-2B448DCFF76D}"/>
    <cellStyle name="Millares 2 2 6 3" xfId="8472" xr:uid="{80B6350B-91A4-4FCB-BF8E-CF9C472ED455}"/>
    <cellStyle name="Millares 2 2 7" xfId="5685" xr:uid="{558EA2BD-0D3F-405D-A8FF-750FFD2DE9BD}"/>
    <cellStyle name="Millares 2 2 8" xfId="7357" xr:uid="{6A592495-2D74-402A-B54A-0C9B270A5230}"/>
    <cellStyle name="Millares 2 2 9" xfId="9029" xr:uid="{8FF3ACE7-2BB4-41F3-A8D4-2E5C8EFBA537}"/>
    <cellStyle name="Millares 2 3" xfId="3293" xr:uid="{4DEEBDA2-B866-444F-88CF-3080F4D3092C}"/>
    <cellStyle name="Millares 2 3 2" xfId="4572" xr:uid="{BF40F7A1-EF25-44EF-A6E6-2E7CEAEB434C}"/>
    <cellStyle name="Millares 2 3 2 2" xfId="6245" xr:uid="{7959DC84-0C68-48E7-B184-C181B4BFC17A}"/>
    <cellStyle name="Millares 2 3 2 3" xfId="7917" xr:uid="{91132BCC-B0C7-4F44-8A65-222CE4972C26}"/>
    <cellStyle name="Millares 2 3 3" xfId="5129" xr:uid="{D25C4090-C174-4669-85F1-65524A22E763}"/>
    <cellStyle name="Millares 2 3 3 2" xfId="6802" xr:uid="{788A778F-D3D9-4E23-BA3F-98F0DD41624E}"/>
    <cellStyle name="Millares 2 3 3 3" xfId="8474" xr:uid="{0F15C427-DCBB-4DFA-BFC9-ED1641D3EDF3}"/>
    <cellStyle name="Millares 2 3 4" xfId="5687" xr:uid="{068C4745-0232-4D61-9A12-0DA080CC04C7}"/>
    <cellStyle name="Millares 2 3 5" xfId="7359" xr:uid="{D1C5787B-D508-4E36-B85F-4045426B64B8}"/>
    <cellStyle name="Millares 2 3 6" xfId="9031" xr:uid="{90D076B9-D3AB-4F14-9AB7-9C38D4BCD696}"/>
    <cellStyle name="Millares 2 4" xfId="3294" xr:uid="{CB71AE21-67CF-4431-8AAE-937806C7EF95}"/>
    <cellStyle name="Millares 2 4 2" xfId="4573" xr:uid="{C548C060-DDE1-41A5-9501-411424EBD33A}"/>
    <cellStyle name="Millares 2 4 2 2" xfId="6246" xr:uid="{F7923497-7D33-490D-A4C8-37783E4C253D}"/>
    <cellStyle name="Millares 2 4 2 3" xfId="7918" xr:uid="{F0A962F3-82AA-49B7-BB4C-7A125D4A3599}"/>
    <cellStyle name="Millares 2 4 3" xfId="5130" xr:uid="{1F3F7D77-0858-49E3-A332-6BD5A6C4F51E}"/>
    <cellStyle name="Millares 2 4 3 2" xfId="6803" xr:uid="{CB3496B0-8224-4948-9642-6FA6F90B7957}"/>
    <cellStyle name="Millares 2 4 3 3" xfId="8475" xr:uid="{0903606A-74F6-49DF-B38D-44764C723AC6}"/>
    <cellStyle name="Millares 2 4 4" xfId="5688" xr:uid="{3601AA1D-BD81-4596-8858-A60BAD7AA70B}"/>
    <cellStyle name="Millares 2 4 5" xfId="7360" xr:uid="{1D030DBD-361F-4593-96DF-371CCF528318}"/>
    <cellStyle name="Millares 2 4 6" xfId="9032" xr:uid="{21185059-96F0-48AA-907D-4036D1C03516}"/>
    <cellStyle name="Millares 2 5" xfId="3295" xr:uid="{0E5B92E8-19A8-4D5E-9535-0543C371A2D1}"/>
    <cellStyle name="Millares 2 5 2" xfId="4574" xr:uid="{939D2922-52D7-4F06-8BC1-71C89C58C745}"/>
    <cellStyle name="Millares 2 5 2 2" xfId="6247" xr:uid="{8F828A2F-088D-4EE4-BE83-F23A3FE0659D}"/>
    <cellStyle name="Millares 2 5 2 3" xfId="7919" xr:uid="{F3C952D0-6C90-4E55-957E-5CC0ACFAF0E7}"/>
    <cellStyle name="Millares 2 5 3" xfId="5131" xr:uid="{088FF8FC-2676-4304-9C7F-67CABAC07940}"/>
    <cellStyle name="Millares 2 5 3 2" xfId="6804" xr:uid="{97855FB2-C009-44B1-84C1-63CBD41A4009}"/>
    <cellStyle name="Millares 2 5 3 3" xfId="8476" xr:uid="{4585FDBD-B48D-4B34-859F-3EACFEEC8686}"/>
    <cellStyle name="Millares 2 5 4" xfId="5689" xr:uid="{11121DC3-6111-4EEB-AEB9-2B7649B1A850}"/>
    <cellStyle name="Millares 2 5 5" xfId="7361" xr:uid="{3B69A069-00AE-4E70-82A3-2BA840122C26}"/>
    <cellStyle name="Millares 2 5 6" xfId="9033" xr:uid="{24DADF7C-20A8-4A89-B163-EA576F4ADCDA}"/>
    <cellStyle name="Millares 2 6" xfId="3296" xr:uid="{80B0CDB9-F7DB-4B5F-B2D0-01E42FF0A1E9}"/>
    <cellStyle name="Millares 2 6 2" xfId="4575" xr:uid="{81D8A4CC-5945-448B-A022-B8589A3278E3}"/>
    <cellStyle name="Millares 2 6 2 2" xfId="6248" xr:uid="{206BDCC6-9D43-4D4A-985F-F6930902E405}"/>
    <cellStyle name="Millares 2 6 2 3" xfId="7920" xr:uid="{7072BB5D-5B94-4E3D-B1D6-71011936A441}"/>
    <cellStyle name="Millares 2 6 3" xfId="5132" xr:uid="{2BB85EC3-875B-44E3-ACD4-3F25E9B416ED}"/>
    <cellStyle name="Millares 2 6 3 2" xfId="6805" xr:uid="{1E9CF091-7EDF-4119-B3FC-3C60562425DD}"/>
    <cellStyle name="Millares 2 6 3 3" xfId="8477" xr:uid="{90786FF4-E862-412B-9178-B265CB75FEBD}"/>
    <cellStyle name="Millares 2 6 4" xfId="5690" xr:uid="{038A05F8-CAF0-46AF-A2E2-29A56FEB179E}"/>
    <cellStyle name="Millares 2 6 5" xfId="7362" xr:uid="{111CC218-A6A2-4C5C-B9E7-1A76C96509B2}"/>
    <cellStyle name="Millares 2 6 6" xfId="9034" xr:uid="{AE04E3A6-BF4C-4C62-A40D-0F2A97C2E66F}"/>
    <cellStyle name="Millares 2 7" xfId="3297" xr:uid="{090CF831-C2D4-4126-85CD-DF80A7FA7649}"/>
    <cellStyle name="Millares 2 7 2" xfId="4576" xr:uid="{BA95BBE1-319D-44A5-9906-F1AF2DFB98D0}"/>
    <cellStyle name="Millares 2 7 2 2" xfId="6249" xr:uid="{0D7695CB-E101-4004-A5CA-71DB7073D9AA}"/>
    <cellStyle name="Millares 2 7 2 3" xfId="7921" xr:uid="{5D928D9D-ECA1-4702-A93D-F1BFE90B1163}"/>
    <cellStyle name="Millares 2 7 3" xfId="5133" xr:uid="{446D74A4-0C34-49CE-A67A-BA2D7570EDF2}"/>
    <cellStyle name="Millares 2 7 3 2" xfId="6806" xr:uid="{F6E20190-CACA-43C4-A9CB-5BD1FB767345}"/>
    <cellStyle name="Millares 2 7 3 3" xfId="8478" xr:uid="{C268895F-E351-4A8D-AF2B-ECB8B427DFFA}"/>
    <cellStyle name="Millares 2 7 4" xfId="5691" xr:uid="{2B65ADB2-88FE-4676-988E-EA0D124760BC}"/>
    <cellStyle name="Millares 2 7 5" xfId="7363" xr:uid="{1A17E0C8-BAC3-4C9B-AF67-A9AE617B3DD1}"/>
    <cellStyle name="Millares 2 7 6" xfId="9035" xr:uid="{575CC1CE-E9BC-4302-93C1-41820B56AC52}"/>
    <cellStyle name="Millares 2 8" xfId="3298" xr:uid="{B258BC13-B041-4CCE-BC77-6EA7AF284D73}"/>
    <cellStyle name="Millares 2 8 2" xfId="4577" xr:uid="{23CCB77F-EA21-4352-ACBC-826C9FF8373A}"/>
    <cellStyle name="Millares 2 8 2 2" xfId="6250" xr:uid="{19AF4BB4-AE7C-43BA-BD19-801F54FC9AB1}"/>
    <cellStyle name="Millares 2 8 2 3" xfId="7922" xr:uid="{729E29BE-C1F5-4574-8E29-31A2CFF4D760}"/>
    <cellStyle name="Millares 2 8 3" xfId="5134" xr:uid="{8CE26392-553D-4795-8B37-7691666E9F8F}"/>
    <cellStyle name="Millares 2 8 3 2" xfId="6807" xr:uid="{B912D0B9-06D4-47E0-AB58-308BEAFE5893}"/>
    <cellStyle name="Millares 2 8 3 3" xfId="8479" xr:uid="{2E07C114-8C38-4B68-950E-401C0353D229}"/>
    <cellStyle name="Millares 2 8 4" xfId="5692" xr:uid="{9718DE06-907F-4A75-A44B-F54B32E41166}"/>
    <cellStyle name="Millares 2 8 5" xfId="7364" xr:uid="{890CD357-58AB-49CA-8824-C21643E43E56}"/>
    <cellStyle name="Millares 2 8 6" xfId="9036" xr:uid="{AEC6E99D-6ABA-40F2-ACCE-2EDADB2DE3AD}"/>
    <cellStyle name="Millares 2 9" xfId="3299" xr:uid="{BDC261DE-ABDD-4E20-A77C-338EEEEAD713}"/>
    <cellStyle name="Millares 2 9 2" xfId="4578" xr:uid="{29BBE24E-B738-400D-9F88-8C2CB8C6977A}"/>
    <cellStyle name="Millares 2 9 2 2" xfId="6251" xr:uid="{C4CBB8F3-2E30-42B5-BD88-EB0AE7BEB5E0}"/>
    <cellStyle name="Millares 2 9 2 3" xfId="7923" xr:uid="{BD46CD80-7A56-4DF9-9600-A40192E9F199}"/>
    <cellStyle name="Millares 2 9 3" xfId="5135" xr:uid="{A89D4CAE-D8EC-4F00-B81C-A0D51CC8670D}"/>
    <cellStyle name="Millares 2 9 3 2" xfId="6808" xr:uid="{29FD33E5-E09C-4474-93BD-35D3B464A9A2}"/>
    <cellStyle name="Millares 2 9 3 3" xfId="8480" xr:uid="{E6323C53-4717-4724-94C8-82C9D7C09CBD}"/>
    <cellStyle name="Millares 2 9 4" xfId="5693" xr:uid="{48F28F1A-E144-4DC4-A3E8-3C8FF461612E}"/>
    <cellStyle name="Millares 2 9 5" xfId="7365" xr:uid="{814C6FC9-2F0E-4E2E-AE7F-DC411985A24F}"/>
    <cellStyle name="Millares 2 9 6" xfId="9037" xr:uid="{26CA9388-42D2-48F6-B260-0AFFEFA446D4}"/>
    <cellStyle name="Millares 20" xfId="3300" xr:uid="{706D65CE-D744-4B7E-899F-01BB8721DF6D}"/>
    <cellStyle name="Millares 20 2" xfId="4579" xr:uid="{47EC6E6A-1A99-49B8-A291-F38A65089637}"/>
    <cellStyle name="Millares 20 2 2" xfId="6252" xr:uid="{E2EC13CE-444A-4895-9F1F-C746591379FB}"/>
    <cellStyle name="Millares 20 2 3" xfId="7924" xr:uid="{4ED705D1-C5C5-4A14-B91B-5C2F5ED9ACE5}"/>
    <cellStyle name="Millares 20 3" xfId="5136" xr:uid="{33B68BA5-933D-4B84-8C92-3F17C4B67162}"/>
    <cellStyle name="Millares 20 3 2" xfId="6809" xr:uid="{5FB5E118-112C-4D39-ACC0-E72046326CA1}"/>
    <cellStyle name="Millares 20 3 3" xfId="8481" xr:uid="{163B7FD0-6DBD-4BFA-AE57-514A240347A8}"/>
    <cellStyle name="Millares 20 4" xfId="5694" xr:uid="{1ADDEFFB-56AF-40C8-9E96-2D782F77650D}"/>
    <cellStyle name="Millares 20 5" xfId="7366" xr:uid="{D81B8762-1D8C-4DCC-B678-666BE1032544}"/>
    <cellStyle name="Millares 20 6" xfId="9038" xr:uid="{52633708-9B28-4321-AE32-444AB504C85C}"/>
    <cellStyle name="Millares 21" xfId="3301" xr:uid="{8840E4B6-0733-455B-B10D-18A7217B839C}"/>
    <cellStyle name="Millares 21 2" xfId="3302" xr:uid="{621AD079-28B4-4181-B94E-C92E9733304F}"/>
    <cellStyle name="Millares 21 2 2" xfId="3303" xr:uid="{6D5D1EF0-FBB1-4D4D-8498-5F681945546B}"/>
    <cellStyle name="Millares 21 2 2 2" xfId="4582" xr:uid="{9913EFDE-9A6C-44C4-85E0-7317C737484E}"/>
    <cellStyle name="Millares 21 2 2 2 2" xfId="6255" xr:uid="{0DB21815-6DC3-4CFF-A554-9928F90E9EEB}"/>
    <cellStyle name="Millares 21 2 2 2 3" xfId="7927" xr:uid="{AB5F91D8-7162-4747-ACDE-D461EE7F22CF}"/>
    <cellStyle name="Millares 21 2 2 3" xfId="5139" xr:uid="{95DE1CD8-2955-47EB-844C-596A065364DD}"/>
    <cellStyle name="Millares 21 2 2 3 2" xfId="6812" xr:uid="{857E0AB5-5E92-4E56-B37B-C34E4822DF8E}"/>
    <cellStyle name="Millares 21 2 2 3 3" xfId="8484" xr:uid="{EE7CD4C1-90D5-47ED-BD51-596E430807B5}"/>
    <cellStyle name="Millares 21 2 2 4" xfId="5697" xr:uid="{DEB2AF4E-0EED-4F53-9B05-DBECE0B33C17}"/>
    <cellStyle name="Millares 21 2 2 5" xfId="7369" xr:uid="{B330BFE7-6577-4275-919E-CE1AC5E978FA}"/>
    <cellStyle name="Millares 21 2 2 6" xfId="9041" xr:uid="{1BAB0589-3D08-4B0D-AE74-9D37859429C8}"/>
    <cellStyle name="Millares 21 2 3" xfId="4581" xr:uid="{8F3799B7-E1AE-4502-BC7D-63C8333A768B}"/>
    <cellStyle name="Millares 21 2 3 2" xfId="6254" xr:uid="{62E8A211-D30F-4817-8009-B99629C6F126}"/>
    <cellStyle name="Millares 21 2 3 3" xfId="7926" xr:uid="{D80C3F98-8532-4628-9468-6BDC43779DD1}"/>
    <cellStyle name="Millares 21 2 4" xfId="5138" xr:uid="{CB6023B7-9A0E-48BB-A6A6-23FE16861C26}"/>
    <cellStyle name="Millares 21 2 4 2" xfId="6811" xr:uid="{11FD2055-24E7-4F03-95D1-52AE2C68AA62}"/>
    <cellStyle name="Millares 21 2 4 3" xfId="8483" xr:uid="{080A25CB-6DAA-40FF-9BCD-DCC074552402}"/>
    <cellStyle name="Millares 21 2 5" xfId="5696" xr:uid="{3FA02BA4-2437-4430-8B22-24D30ACE6423}"/>
    <cellStyle name="Millares 21 2 6" xfId="7368" xr:uid="{33FC611D-CE2C-46C4-8ACF-EC4DC6B75625}"/>
    <cellStyle name="Millares 21 2 7" xfId="9040" xr:uid="{53B2BC20-9216-4E70-9990-87777CF17466}"/>
    <cellStyle name="Millares 21 3" xfId="3304" xr:uid="{D5B5A3C3-CCD4-42C4-BEED-580952B41212}"/>
    <cellStyle name="Millares 21 3 2" xfId="4583" xr:uid="{29C8F710-AAA4-405C-9AEF-4565051E6BC5}"/>
    <cellStyle name="Millares 21 3 2 2" xfId="6256" xr:uid="{49AE3B4F-8EF8-4B60-82DE-9186F01438D8}"/>
    <cellStyle name="Millares 21 3 2 3" xfId="7928" xr:uid="{A685D321-DF42-4058-855F-9EEC5CBA6877}"/>
    <cellStyle name="Millares 21 3 3" xfId="5140" xr:uid="{3F70A136-4C2B-44B8-8CD3-990A21D0F558}"/>
    <cellStyle name="Millares 21 3 3 2" xfId="6813" xr:uid="{47D6A403-4C1F-4CF7-B6D8-570C672DECDB}"/>
    <cellStyle name="Millares 21 3 3 3" xfId="8485" xr:uid="{97A73FAC-AA9E-4281-8B14-12213D94D994}"/>
    <cellStyle name="Millares 21 3 4" xfId="5698" xr:uid="{0D74D615-F212-4566-B882-6766F5325977}"/>
    <cellStyle name="Millares 21 3 5" xfId="7370" xr:uid="{75C6775D-E757-480C-8479-C42214A66946}"/>
    <cellStyle name="Millares 21 3 6" xfId="9042" xr:uid="{31277FFE-AA1C-4EF9-9D2B-8DBF6B79C3BC}"/>
    <cellStyle name="Millares 21 4" xfId="4580" xr:uid="{9DDEB092-F3F3-4EA5-BE2F-B6C23C41E11F}"/>
    <cellStyle name="Millares 21 4 2" xfId="6253" xr:uid="{3F04083C-34C5-4E8F-91F8-297D28D67512}"/>
    <cellStyle name="Millares 21 4 3" xfId="7925" xr:uid="{02A7CE50-C8DA-481D-8BC8-65FC49A3E5E1}"/>
    <cellStyle name="Millares 21 5" xfId="5137" xr:uid="{5372F060-5CCA-4F45-9B72-D80CDC8FF641}"/>
    <cellStyle name="Millares 21 5 2" xfId="6810" xr:uid="{272E05F1-1F1A-4214-8D31-0452C383E894}"/>
    <cellStyle name="Millares 21 5 3" xfId="8482" xr:uid="{716C0CFF-F374-49A0-867B-8B2547A465C5}"/>
    <cellStyle name="Millares 21 6" xfId="5695" xr:uid="{1722B884-955D-45E5-A32C-DFEE2F794F3A}"/>
    <cellStyle name="Millares 21 7" xfId="7367" xr:uid="{49126E36-970C-4165-BC7E-7C1A0D55D845}"/>
    <cellStyle name="Millares 21 8" xfId="9039" xr:uid="{6F2F828D-6BC0-433C-85A7-04E1D0C0EEE6}"/>
    <cellStyle name="Millares 22" xfId="4878" xr:uid="{6DF58C50-A6AC-4A65-88FB-603CE0447CC1}"/>
    <cellStyle name="Millares 22 2" xfId="6551" xr:uid="{E01AAED5-BD56-4270-A7DF-474E5E6B43D6}"/>
    <cellStyle name="Millares 22 3" xfId="8223" xr:uid="{A6024BBB-0B26-429D-9C36-A4C7DE94D05F}"/>
    <cellStyle name="Millares 23" xfId="5435" xr:uid="{EDE3EB5D-8C0F-4ADB-B46D-495AACC5CAF8}"/>
    <cellStyle name="Millares 23 2" xfId="7108" xr:uid="{E4C5D33B-2B84-4306-9BF6-7CE7F5E875F0}"/>
    <cellStyle name="Millares 23 3" xfId="8780" xr:uid="{6A3BEF0E-A44F-4961-8938-02703EB1637D}"/>
    <cellStyle name="Millares 24" xfId="5993" xr:uid="{B976F78B-821F-407B-9522-2BC9FB6C2ACC}"/>
    <cellStyle name="Millares 25" xfId="7665" xr:uid="{C80C2C80-4F9C-4E7E-ACEE-B03D910B5FC2}"/>
    <cellStyle name="Millares 26" xfId="9337" xr:uid="{92D388CF-B109-4A36-9674-D02505AEE368}"/>
    <cellStyle name="Millares 27" xfId="9344" xr:uid="{E18349FD-FEC5-410C-AAE0-FA3EAB54A8AA}"/>
    <cellStyle name="Millares 28" xfId="4320" xr:uid="{0F2094FC-CC1D-4DF3-B7FF-AA680251FD2C}"/>
    <cellStyle name="Millares 3" xfId="3305" xr:uid="{BB5468C9-8228-42A8-9B67-641652EFBB18}"/>
    <cellStyle name="Millares 3 10" xfId="3306" xr:uid="{19E71A7D-635B-454C-82C6-65407861C637}"/>
    <cellStyle name="Millares 3 10 2" xfId="4585" xr:uid="{80A1F179-ECA1-4F60-B5E2-2B1EDCC2EB6D}"/>
    <cellStyle name="Millares 3 10 2 2" xfId="6258" xr:uid="{59E35C74-464D-4181-935B-B6557353C57D}"/>
    <cellStyle name="Millares 3 10 2 3" xfId="7930" xr:uid="{F10663A5-3EFB-4F62-8946-28700C380F93}"/>
    <cellStyle name="Millares 3 10 3" xfId="5142" xr:uid="{E3A1740F-904A-41D7-A5BE-42084D6D7EA5}"/>
    <cellStyle name="Millares 3 10 3 2" xfId="6815" xr:uid="{017DE9F2-C599-4101-91A9-6C9868CC73CA}"/>
    <cellStyle name="Millares 3 10 3 3" xfId="8487" xr:uid="{B17DC86B-6F57-46C8-B245-54BB2509CA34}"/>
    <cellStyle name="Millares 3 10 4" xfId="5700" xr:uid="{16AAA82A-5F96-43C7-B08F-84B1B98B9439}"/>
    <cellStyle name="Millares 3 10 5" xfId="7372" xr:uid="{B3ABAEEA-0C8C-4277-A5DB-6D7779352524}"/>
    <cellStyle name="Millares 3 10 6" xfId="9044" xr:uid="{81CBBD2E-0BB9-49FE-B027-5716C9D48F5C}"/>
    <cellStyle name="Millares 3 11" xfId="3307" xr:uid="{200DAA3C-95F2-4C70-88D3-7A68B6AD25FD}"/>
    <cellStyle name="Millares 3 11 2" xfId="4586" xr:uid="{8E7123CA-3184-4E75-AB39-5C128EBBE8E0}"/>
    <cellStyle name="Millares 3 11 2 2" xfId="6259" xr:uid="{E70E1AE7-C510-49F9-B924-B7FAD2F2A500}"/>
    <cellStyle name="Millares 3 11 2 3" xfId="7931" xr:uid="{065C4904-1E9F-4510-B226-FEFB64E4D03E}"/>
    <cellStyle name="Millares 3 11 3" xfId="5143" xr:uid="{C53D44DB-C534-4CAD-85FB-9DB88F7B22F5}"/>
    <cellStyle name="Millares 3 11 3 2" xfId="6816" xr:uid="{E04BE8A8-B368-421F-A6B1-A4AED8F75E7C}"/>
    <cellStyle name="Millares 3 11 3 3" xfId="8488" xr:uid="{5064D204-4E78-477E-86AD-F01B730CA7A9}"/>
    <cellStyle name="Millares 3 11 4" xfId="5701" xr:uid="{B6E134A0-F0C4-4094-A543-59959151A2EB}"/>
    <cellStyle name="Millares 3 11 5" xfId="7373" xr:uid="{0013CA3F-E5EB-4840-9B48-6C71BD00434A}"/>
    <cellStyle name="Millares 3 11 6" xfId="9045" xr:uid="{C87BA4E5-748A-465B-BE22-458650A854EB}"/>
    <cellStyle name="Millares 3 12" xfId="3308" xr:uid="{96F0818C-08BF-464F-8AEF-4B5662710A5D}"/>
    <cellStyle name="Millares 3 12 2" xfId="4587" xr:uid="{DE2E6BC1-142A-46FD-9275-817ADE94BBAF}"/>
    <cellStyle name="Millares 3 12 2 2" xfId="6260" xr:uid="{AFC06B6A-9CDC-45ED-B41B-82D0749B3ED0}"/>
    <cellStyle name="Millares 3 12 2 3" xfId="7932" xr:uid="{6738D4B0-F2D9-4F2C-B510-343D813A871D}"/>
    <cellStyle name="Millares 3 12 3" xfId="5144" xr:uid="{E066B139-247F-4BBB-AE9E-EF92B30A18A8}"/>
    <cellStyle name="Millares 3 12 3 2" xfId="6817" xr:uid="{DA924893-ED74-4F7A-B407-F9D20895F2B5}"/>
    <cellStyle name="Millares 3 12 3 3" xfId="8489" xr:uid="{E465ED42-1DAD-4A3C-9DED-1F0652ECFF66}"/>
    <cellStyle name="Millares 3 12 4" xfId="5702" xr:uid="{A7974ACC-925E-41C9-992F-D60C2ECC8D18}"/>
    <cellStyle name="Millares 3 12 5" xfId="7374" xr:uid="{8FC5BB2E-2FD0-456A-AC66-F6F068AEE657}"/>
    <cellStyle name="Millares 3 12 6" xfId="9046" xr:uid="{7EB932B8-500F-4055-B15C-D86D2F63A3CA}"/>
    <cellStyle name="Millares 3 13" xfId="3309" xr:uid="{B94429B9-FAD9-46CD-923E-CC9AA01CF396}"/>
    <cellStyle name="Millares 3 13 2" xfId="4588" xr:uid="{B0CD622B-7BE2-49A0-896D-E7516E9DC3CD}"/>
    <cellStyle name="Millares 3 13 2 2" xfId="6261" xr:uid="{6B995DEE-454A-48B8-8DF4-6EF2F2EFEB18}"/>
    <cellStyle name="Millares 3 13 2 3" xfId="7933" xr:uid="{423EE49F-A82E-4D26-98A1-D2A483AD08D6}"/>
    <cellStyle name="Millares 3 13 3" xfId="5145" xr:uid="{6C541F83-2F49-4555-A4FF-D53EAFB7EFDD}"/>
    <cellStyle name="Millares 3 13 3 2" xfId="6818" xr:uid="{90FB9B6C-204F-47CB-A035-E50241C5A2AD}"/>
    <cellStyle name="Millares 3 13 3 3" xfId="8490" xr:uid="{04002A47-B88A-4E77-AE48-83428B7296A4}"/>
    <cellStyle name="Millares 3 13 4" xfId="5703" xr:uid="{470900A5-81A5-4301-BB66-B0E41564131F}"/>
    <cellStyle name="Millares 3 13 5" xfId="7375" xr:uid="{3512D72B-0243-4D59-AEAC-2292F0A03393}"/>
    <cellStyle name="Millares 3 13 6" xfId="9047" xr:uid="{00DAA2EE-8E61-494B-BAFD-F7F78A5F6265}"/>
    <cellStyle name="Millares 3 14" xfId="3310" xr:uid="{F6972F09-4F3E-40F8-A64E-47B3416CF954}"/>
    <cellStyle name="Millares 3 14 2" xfId="4589" xr:uid="{69CADB26-581B-42B4-A1CD-2975CF9DAD07}"/>
    <cellStyle name="Millares 3 14 2 2" xfId="6262" xr:uid="{779CFFB6-F04F-4C80-A62C-03644448879F}"/>
    <cellStyle name="Millares 3 14 2 3" xfId="7934" xr:uid="{7E949C79-61D6-4F6F-A2B1-25EC04C8DB40}"/>
    <cellStyle name="Millares 3 14 3" xfId="5146" xr:uid="{6A7D911F-6A5B-4AC7-8DAB-3C07675B2F28}"/>
    <cellStyle name="Millares 3 14 3 2" xfId="6819" xr:uid="{E36BB2CA-5DED-4661-B12C-C4B2008E356E}"/>
    <cellStyle name="Millares 3 14 3 3" xfId="8491" xr:uid="{3C4A9A12-95C6-4A89-A11F-879B4FDA8F23}"/>
    <cellStyle name="Millares 3 14 4" xfId="5704" xr:uid="{6A63BB38-D336-4F22-A04B-5F364D798F80}"/>
    <cellStyle name="Millares 3 14 5" xfId="7376" xr:uid="{4C2C4312-0209-472B-A8C1-93FC2BD3D008}"/>
    <cellStyle name="Millares 3 14 6" xfId="9048" xr:uid="{C6270C16-CC70-4C13-9297-82E68AC57A43}"/>
    <cellStyle name="Millares 3 15" xfId="4584" xr:uid="{971E9A2A-F8DD-43E5-A685-1A7D8CC59B0A}"/>
    <cellStyle name="Millares 3 15 2" xfId="6257" xr:uid="{E1356B5C-0B26-4A33-9E81-188B43DAA9BC}"/>
    <cellStyle name="Millares 3 15 3" xfId="7929" xr:uid="{5090E64F-F794-4F12-8B49-B07E09FDF787}"/>
    <cellStyle name="Millares 3 16" xfId="5141" xr:uid="{39C30FAE-2576-4CD1-9B03-8BCA3881B3A1}"/>
    <cellStyle name="Millares 3 16 2" xfId="6814" xr:uid="{2F88E303-3FDB-4EFF-A7F5-E9B11489BB6E}"/>
    <cellStyle name="Millares 3 16 3" xfId="8486" xr:uid="{AD0BF95E-6D8E-40D3-80F0-41F7F1DF6790}"/>
    <cellStyle name="Millares 3 17" xfId="5699" xr:uid="{32827E5F-4006-4655-B191-BB4E0C9FB37B}"/>
    <cellStyle name="Millares 3 18" xfId="7371" xr:uid="{D408D68E-411A-4E72-97E0-ED83254D374E}"/>
    <cellStyle name="Millares 3 19" xfId="9043" xr:uid="{971ED581-380A-4BF2-992D-6A3BFF2C609A}"/>
    <cellStyle name="Millares 3 2" xfId="3311" xr:uid="{76E15135-96D8-4360-8D2F-3D20C77EDCF0}"/>
    <cellStyle name="Millares 3 2 2" xfId="4590" xr:uid="{FA68F500-81BD-4E47-ACE6-1188D181BB60}"/>
    <cellStyle name="Millares 3 2 2 2" xfId="6263" xr:uid="{7E4CCD73-AAF3-42B5-B76A-35482E13DB93}"/>
    <cellStyle name="Millares 3 2 2 3" xfId="7935" xr:uid="{5C3B702F-2D36-4AD7-801E-5E2C9F02A1D9}"/>
    <cellStyle name="Millares 3 2 3" xfId="5147" xr:uid="{D9CD44BD-0AE8-4350-AEEE-1CCB78FAB8AB}"/>
    <cellStyle name="Millares 3 2 3 2" xfId="6820" xr:uid="{45819720-2858-4CAF-BD7B-6B4C2CA1EAB6}"/>
    <cellStyle name="Millares 3 2 3 3" xfId="8492" xr:uid="{34283D0D-D8D4-4EEA-85C1-EA20843CBD1E}"/>
    <cellStyle name="Millares 3 2 4" xfId="5705" xr:uid="{1064C877-FE5A-4A4F-8673-D06F3D337A78}"/>
    <cellStyle name="Millares 3 2 5" xfId="7377" xr:uid="{6F215FE8-BDB5-4E65-823E-E52C71A7D215}"/>
    <cellStyle name="Millares 3 2 6" xfId="9049" xr:uid="{83000A64-8B26-416E-9B1A-D25885FED0E0}"/>
    <cellStyle name="Millares 3 3" xfId="3312" xr:uid="{3AE20125-2852-4F83-A49D-2B9304D9B746}"/>
    <cellStyle name="Millares 3 3 2" xfId="4591" xr:uid="{D049C76C-A981-4AA2-BDFE-F5D272A5980A}"/>
    <cellStyle name="Millares 3 3 2 2" xfId="6264" xr:uid="{B15065C9-EBC9-4470-8056-314DA36E50A8}"/>
    <cellStyle name="Millares 3 3 2 3" xfId="7936" xr:uid="{7325A632-7C96-4415-8DC4-28A53CC86D22}"/>
    <cellStyle name="Millares 3 3 3" xfId="5148" xr:uid="{AB7E2F74-6CE2-4BB7-ABFA-0CF02F454288}"/>
    <cellStyle name="Millares 3 3 3 2" xfId="6821" xr:uid="{3087146D-F77E-4601-9CB9-706370DBE530}"/>
    <cellStyle name="Millares 3 3 3 3" xfId="8493" xr:uid="{4316E446-CAC1-4771-949E-FE1DC8886A6D}"/>
    <cellStyle name="Millares 3 3 4" xfId="5706" xr:uid="{7DDAB8F8-4822-43A0-A021-9714AC92A002}"/>
    <cellStyle name="Millares 3 3 5" xfId="7378" xr:uid="{1A908E07-5919-4C62-9FB8-3AA83789ADA4}"/>
    <cellStyle name="Millares 3 3 6" xfId="9050" xr:uid="{FF39E75D-2011-49A7-9F11-5006B405AC7B}"/>
    <cellStyle name="Millares 3 4" xfId="3313" xr:uid="{22F426C0-0133-4E7C-8CD5-3D9A405705CD}"/>
    <cellStyle name="Millares 3 4 2" xfId="4592" xr:uid="{4CD7FFDD-E204-4956-8980-98EDBBB6FDB3}"/>
    <cellStyle name="Millares 3 4 2 2" xfId="6265" xr:uid="{69235DC4-7FAC-4610-B140-BBF8A66CFEC5}"/>
    <cellStyle name="Millares 3 4 2 3" xfId="7937" xr:uid="{22241319-21DD-40B8-B81E-32E8F47C9EA7}"/>
    <cellStyle name="Millares 3 4 3" xfId="5149" xr:uid="{DC5791A2-7D15-49E1-9C95-5F83D70E4292}"/>
    <cellStyle name="Millares 3 4 3 2" xfId="6822" xr:uid="{E1F59AE7-287A-4832-B7EE-5F3358C41954}"/>
    <cellStyle name="Millares 3 4 3 3" xfId="8494" xr:uid="{33A02EBD-89C2-4A0F-A008-F4158AB34DF1}"/>
    <cellStyle name="Millares 3 4 4" xfId="5707" xr:uid="{42E99E85-4523-496C-89E2-81075A3EF316}"/>
    <cellStyle name="Millares 3 4 5" xfId="7379" xr:uid="{A8CEA74F-1BF7-4032-91A3-E76EAD8B621C}"/>
    <cellStyle name="Millares 3 4 6" xfId="9051" xr:uid="{D138BCEA-E1E0-4ED9-B1FA-51130D51334F}"/>
    <cellStyle name="Millares 3 5" xfId="3314" xr:uid="{9553A550-604D-4ADB-B21D-3D4D51A33209}"/>
    <cellStyle name="Millares 3 5 2" xfId="4593" xr:uid="{650B6FA7-A835-458A-B3DC-28A17B76A3FC}"/>
    <cellStyle name="Millares 3 5 2 2" xfId="6266" xr:uid="{FAD04785-AE9F-4538-AC4B-29F7F922917A}"/>
    <cellStyle name="Millares 3 5 2 3" xfId="7938" xr:uid="{984ED02F-01D5-49F8-A69F-E5726AD9EC55}"/>
    <cellStyle name="Millares 3 5 3" xfId="5150" xr:uid="{17F1DE8E-585A-47C0-BB9A-296F2B1885EF}"/>
    <cellStyle name="Millares 3 5 3 2" xfId="6823" xr:uid="{59E05586-A1F1-4F51-885B-06961A5953EE}"/>
    <cellStyle name="Millares 3 5 3 3" xfId="8495" xr:uid="{F36E70C8-3F44-4992-B635-B2C9EEB0BEDB}"/>
    <cellStyle name="Millares 3 5 4" xfId="5708" xr:uid="{A1529BD6-ECA0-4F41-B66F-EA355C20D026}"/>
    <cellStyle name="Millares 3 5 5" xfId="7380" xr:uid="{123DFD73-6004-4037-970F-635E4F15EC75}"/>
    <cellStyle name="Millares 3 5 6" xfId="9052" xr:uid="{0210DA45-79A0-4E15-B214-2FC1E5EA56B5}"/>
    <cellStyle name="Millares 3 6" xfId="3315" xr:uid="{78C3551C-BA5B-4D35-9A31-A9509F7A0680}"/>
    <cellStyle name="Millares 3 6 2" xfId="4594" xr:uid="{635CF76A-B6C6-4C42-968D-17CD231DC64C}"/>
    <cellStyle name="Millares 3 6 2 2" xfId="6267" xr:uid="{42A9613D-C705-438E-A841-3E454C2167AE}"/>
    <cellStyle name="Millares 3 6 2 3" xfId="7939" xr:uid="{9BE5FE42-2D34-489F-B697-5C69EC6D13E4}"/>
    <cellStyle name="Millares 3 6 3" xfId="5151" xr:uid="{1E97EE74-9F7D-4A3A-9F66-90FA203E2404}"/>
    <cellStyle name="Millares 3 6 3 2" xfId="6824" xr:uid="{7BF791BB-C10E-4BB3-8054-87112919D64F}"/>
    <cellStyle name="Millares 3 6 3 3" xfId="8496" xr:uid="{FB06358F-897C-405A-B1E9-5771344A3B20}"/>
    <cellStyle name="Millares 3 6 4" xfId="5709" xr:uid="{FEA4937F-DD0F-4F76-A7AD-0E105EBB5D92}"/>
    <cellStyle name="Millares 3 6 5" xfId="7381" xr:uid="{8A92F05C-2FDB-4359-A048-F91FD3AF7304}"/>
    <cellStyle name="Millares 3 6 6" xfId="9053" xr:uid="{4982F104-ED49-4AEC-AB8C-E2A05A778E33}"/>
    <cellStyle name="Millares 3 7" xfId="3316" xr:uid="{B42DA337-AC79-4F15-82F9-A51677232619}"/>
    <cellStyle name="Millares 3 7 2" xfId="4595" xr:uid="{F7415A3C-B0C5-4017-9AC2-8AB91E6B1654}"/>
    <cellStyle name="Millares 3 7 2 2" xfId="6268" xr:uid="{FBF8F75F-ADD4-4ECC-A5E9-526B00C51064}"/>
    <cellStyle name="Millares 3 7 2 3" xfId="7940" xr:uid="{8117A81E-824E-43BE-901F-64698FF82AB8}"/>
    <cellStyle name="Millares 3 7 3" xfId="5152" xr:uid="{7030AE4C-5D1C-499A-88E4-14FC615B72AA}"/>
    <cellStyle name="Millares 3 7 3 2" xfId="6825" xr:uid="{A6BCABE8-1BAF-467D-9D29-57C089EACAC4}"/>
    <cellStyle name="Millares 3 7 3 3" xfId="8497" xr:uid="{82CCC143-47FA-401D-B1F6-9157ED133F28}"/>
    <cellStyle name="Millares 3 7 4" xfId="5710" xr:uid="{090ECFB8-41B2-462C-8C1E-15725C87EC58}"/>
    <cellStyle name="Millares 3 7 5" xfId="7382" xr:uid="{4C5DDCBF-06B0-4EB3-9C35-7D0D8A8D04F0}"/>
    <cellStyle name="Millares 3 7 6" xfId="9054" xr:uid="{62CCFF51-A0D2-40E3-9146-86B8C79E3976}"/>
    <cellStyle name="Millares 3 8" xfId="3317" xr:uid="{7212C81D-5BC9-4E10-A337-75707E390F40}"/>
    <cellStyle name="Millares 3 8 2" xfId="4596" xr:uid="{76A429A4-6FC4-4340-8882-28FE7423D398}"/>
    <cellStyle name="Millares 3 8 2 2" xfId="6269" xr:uid="{6DB88FE5-99CB-4992-9A87-5D81A0736394}"/>
    <cellStyle name="Millares 3 8 2 3" xfId="7941" xr:uid="{0BA76E8D-6E62-4B68-9731-CAE611C9F489}"/>
    <cellStyle name="Millares 3 8 3" xfId="5153" xr:uid="{062CEFA3-3FC8-4B63-8D82-EAE96EDE4527}"/>
    <cellStyle name="Millares 3 8 3 2" xfId="6826" xr:uid="{C2AD4E7A-60F7-49C8-8151-A2C5098D9519}"/>
    <cellStyle name="Millares 3 8 3 3" xfId="8498" xr:uid="{DA1E3611-54C1-4539-90E2-3090843547CC}"/>
    <cellStyle name="Millares 3 8 4" xfId="5711" xr:uid="{58E98D37-269A-4FED-A67B-1E06E8096393}"/>
    <cellStyle name="Millares 3 8 5" xfId="7383" xr:uid="{7C45A77E-2129-4EB3-928B-A864A27E2121}"/>
    <cellStyle name="Millares 3 8 6" xfId="9055" xr:uid="{A7B4B1BF-C8A4-495B-8238-BE3146F44F9C}"/>
    <cellStyle name="Millares 3 9" xfId="3318" xr:uid="{9EA6133E-DB0D-4A5A-8BE4-9674ED7D8B3D}"/>
    <cellStyle name="Millares 3 9 2" xfId="4597" xr:uid="{B3C286D5-AB7E-4249-9184-668D7F6C50B0}"/>
    <cellStyle name="Millares 3 9 2 2" xfId="6270" xr:uid="{452E064F-7C39-463E-A581-241EE5A2D92B}"/>
    <cellStyle name="Millares 3 9 2 3" xfId="7942" xr:uid="{D85FD54A-BFD7-4465-A351-220A2FCD8F5C}"/>
    <cellStyle name="Millares 3 9 3" xfId="5154" xr:uid="{F0C52C64-E78C-470F-B003-BD6B655E06D2}"/>
    <cellStyle name="Millares 3 9 3 2" xfId="6827" xr:uid="{B309CFC4-3D3C-4A8C-AA0A-17C3EB2E9CC5}"/>
    <cellStyle name="Millares 3 9 3 3" xfId="8499" xr:uid="{72352613-A942-4F26-A107-9D18391892F7}"/>
    <cellStyle name="Millares 3 9 4" xfId="5712" xr:uid="{0D01DF21-2F49-49DC-B372-DCF8C65C2FFA}"/>
    <cellStyle name="Millares 3 9 5" xfId="7384" xr:uid="{D2414DC3-ED7C-4A4A-A8F4-895095A755B4}"/>
    <cellStyle name="Millares 3 9 6" xfId="9056" xr:uid="{58EAE1E3-0275-459B-B50A-FB9B05AAF7A5}"/>
    <cellStyle name="Millares 4" xfId="3319" xr:uid="{EA7CFC35-36FB-44B4-B7BB-8D559435084B}"/>
    <cellStyle name="Millares 4 10" xfId="3320" xr:uid="{CBECC8E7-4057-4810-949C-7ED776788B60}"/>
    <cellStyle name="Millares 4 10 2" xfId="4599" xr:uid="{A0884BB1-32B4-473E-8968-8F89ADBFCB72}"/>
    <cellStyle name="Millares 4 10 2 2" xfId="6272" xr:uid="{6AFF76FB-DB0A-4708-915A-5FBABA3F45CB}"/>
    <cellStyle name="Millares 4 10 2 3" xfId="7944" xr:uid="{72D2F703-B5F7-4D3A-912D-13AFC8ACD68C}"/>
    <cellStyle name="Millares 4 10 3" xfId="5156" xr:uid="{280B451A-B0CE-425A-BD7E-202202CDC645}"/>
    <cellStyle name="Millares 4 10 3 2" xfId="6829" xr:uid="{CC81DF7F-7E66-4ED1-BF87-7C6FFFC109C1}"/>
    <cellStyle name="Millares 4 10 3 3" xfId="8501" xr:uid="{28981EF3-6E20-4AB6-824F-452EB214D166}"/>
    <cellStyle name="Millares 4 10 4" xfId="5714" xr:uid="{79D51923-76B9-499D-8920-F5BA9DECAD03}"/>
    <cellStyle name="Millares 4 10 5" xfId="7386" xr:uid="{44CC7746-D7A9-47E5-94F2-C77BF4F0B2AE}"/>
    <cellStyle name="Millares 4 10 6" xfId="9058" xr:uid="{BB3C43FC-EA02-4DA9-80AD-CF3184EC73E2}"/>
    <cellStyle name="Millares 4 11" xfId="3321" xr:uid="{8E60F0D7-BEF8-439D-8A51-B119B53EE40E}"/>
    <cellStyle name="Millares 4 11 2" xfId="4600" xr:uid="{D49FAA48-F2D9-48F3-94E0-A33C255D1D74}"/>
    <cellStyle name="Millares 4 11 2 2" xfId="6273" xr:uid="{F18CA4AE-AD04-4759-810D-02140941FE85}"/>
    <cellStyle name="Millares 4 11 2 3" xfId="7945" xr:uid="{02631168-24C2-46DE-A5F7-3E9370D2C027}"/>
    <cellStyle name="Millares 4 11 3" xfId="5157" xr:uid="{FE0E194C-CF9A-41DD-A653-75CAB47BC45D}"/>
    <cellStyle name="Millares 4 11 3 2" xfId="6830" xr:uid="{299A96A4-DF69-4DC3-96FA-C1BB7B64A94E}"/>
    <cellStyle name="Millares 4 11 3 3" xfId="8502" xr:uid="{E3880DD2-AF04-412C-97BC-AB4586943BA3}"/>
    <cellStyle name="Millares 4 11 4" xfId="5715" xr:uid="{29206412-ACD1-4197-B4A1-197E0C31DEF2}"/>
    <cellStyle name="Millares 4 11 5" xfId="7387" xr:uid="{5B0D054D-F813-4490-8B1B-F9820B5A216D}"/>
    <cellStyle name="Millares 4 11 6" xfId="9059" xr:uid="{D4B69973-27E0-4401-B284-15478743C8B6}"/>
    <cellStyle name="Millares 4 12" xfId="3322" xr:uid="{2775ECEA-3FC6-403B-A805-0DB9FC00B77B}"/>
    <cellStyle name="Millares 4 12 2" xfId="4601" xr:uid="{9173122B-F778-4944-8130-D8342ECB4681}"/>
    <cellStyle name="Millares 4 12 2 2" xfId="6274" xr:uid="{A5B36E87-E223-4FED-9799-BB5303381AD6}"/>
    <cellStyle name="Millares 4 12 2 3" xfId="7946" xr:uid="{FDE576CF-32C5-4650-8711-FA8AAC2E4506}"/>
    <cellStyle name="Millares 4 12 3" xfId="5158" xr:uid="{443A5C82-82FB-4DCF-81DB-E6F8D0134A2B}"/>
    <cellStyle name="Millares 4 12 3 2" xfId="6831" xr:uid="{52571DC9-9506-4366-9A64-445562AD8D1F}"/>
    <cellStyle name="Millares 4 12 3 3" xfId="8503" xr:uid="{B7693C72-EEE5-409B-AE21-CDC9053D247D}"/>
    <cellStyle name="Millares 4 12 4" xfId="5716" xr:uid="{D20C2F3D-47B4-45DE-B21E-8BF74344A09E}"/>
    <cellStyle name="Millares 4 12 5" xfId="7388" xr:uid="{15147D39-0CA0-40BB-B0B9-0CF55270A649}"/>
    <cellStyle name="Millares 4 12 6" xfId="9060" xr:uid="{9E76E975-0ED7-48CD-9E9D-F861D777FFEA}"/>
    <cellStyle name="Millares 4 13" xfId="3323" xr:uid="{8846CC5B-61CA-45FC-B5E6-C296354AEAEF}"/>
    <cellStyle name="Millares 4 13 2" xfId="4602" xr:uid="{C5D8D8D9-5459-4399-A92A-E1A8999C3305}"/>
    <cellStyle name="Millares 4 13 2 2" xfId="6275" xr:uid="{61CBC334-4585-4772-BB62-E50AB4FF963E}"/>
    <cellStyle name="Millares 4 13 2 3" xfId="7947" xr:uid="{6F991150-41F1-4F0C-9CCF-4B206DA3EBDB}"/>
    <cellStyle name="Millares 4 13 3" xfId="5159" xr:uid="{A9EB84CA-EC68-4904-9E9F-D1E20F29B5BE}"/>
    <cellStyle name="Millares 4 13 3 2" xfId="6832" xr:uid="{63DF5809-398C-4DE1-B6F1-AEC6FB373FB8}"/>
    <cellStyle name="Millares 4 13 3 3" xfId="8504" xr:uid="{A1249640-F433-441F-BA15-AC96031533F2}"/>
    <cellStyle name="Millares 4 13 4" xfId="5717" xr:uid="{5E44C8CD-CF87-4B7E-9A4F-779175248127}"/>
    <cellStyle name="Millares 4 13 5" xfId="7389" xr:uid="{044F0B5F-EE74-47D4-A8A6-0D7134FAF8CC}"/>
    <cellStyle name="Millares 4 13 6" xfId="9061" xr:uid="{0D8EB5A0-5932-417E-802A-49838662600F}"/>
    <cellStyle name="Millares 4 14" xfId="3324" xr:uid="{08014C6C-34B8-48E4-86E9-4738A02B8FE0}"/>
    <cellStyle name="Millares 4 14 2" xfId="4603" xr:uid="{0AB2E763-F0B2-4614-9A7F-C7B22912B7C7}"/>
    <cellStyle name="Millares 4 14 2 2" xfId="6276" xr:uid="{3E8D2F49-E6F7-4A8F-8777-0CEE6BB7E6D8}"/>
    <cellStyle name="Millares 4 14 2 3" xfId="7948" xr:uid="{760A1A8F-AC18-463B-8F20-7E4EFF43600F}"/>
    <cellStyle name="Millares 4 14 3" xfId="5160" xr:uid="{A8EEF9AA-5E7B-4B7D-AAAA-BA289A3CC957}"/>
    <cellStyle name="Millares 4 14 3 2" xfId="6833" xr:uid="{30F8C6BB-9C51-4C78-B7F2-75413807277B}"/>
    <cellStyle name="Millares 4 14 3 3" xfId="8505" xr:uid="{7CF37754-CC9A-4E33-9311-7C422659EDC5}"/>
    <cellStyle name="Millares 4 14 4" xfId="5718" xr:uid="{8B53C405-BD2A-4091-9DFA-349C9FAFD7B8}"/>
    <cellStyle name="Millares 4 14 5" xfId="7390" xr:uid="{C174AD4B-0923-4FC2-8BFB-96553ED491B8}"/>
    <cellStyle name="Millares 4 14 6" xfId="9062" xr:uid="{8E153D88-DF73-45D2-A565-36F5957C9B94}"/>
    <cellStyle name="Millares 4 15" xfId="4598" xr:uid="{8DFAE1BC-7CB0-4CF3-A970-1D6368993B50}"/>
    <cellStyle name="Millares 4 15 2" xfId="6271" xr:uid="{52BE6C57-627D-45E4-96F3-F6803C47FA16}"/>
    <cellStyle name="Millares 4 15 3" xfId="7943" xr:uid="{5AEA2D04-BE32-46AC-BA2C-54A2EE027590}"/>
    <cellStyle name="Millares 4 16" xfId="5155" xr:uid="{1CFA78FC-F249-4ECE-BBEF-F119E05E0973}"/>
    <cellStyle name="Millares 4 16 2" xfId="6828" xr:uid="{E00AAA7D-F497-4204-962A-9A180280377A}"/>
    <cellStyle name="Millares 4 16 3" xfId="8500" xr:uid="{9B7CE3E1-EF43-454F-A14C-1BDC195C9E01}"/>
    <cellStyle name="Millares 4 17" xfId="5713" xr:uid="{645E5407-4553-494B-8FFA-3BE47F274D8D}"/>
    <cellStyle name="Millares 4 18" xfId="7385" xr:uid="{DB80E3CD-EA6C-4E01-A3BB-3D21ABC0E6DA}"/>
    <cellStyle name="Millares 4 19" xfId="9057" xr:uid="{9F13F9A0-869C-4352-9603-C58D67B4068D}"/>
    <cellStyle name="Millares 4 2" xfId="3325" xr:uid="{63C11C85-935B-4DC6-BBA3-D3285ED69D91}"/>
    <cellStyle name="Millares 4 2 10" xfId="3326" xr:uid="{C34B4C94-0D46-4461-8B98-AD8E89B9EFD7}"/>
    <cellStyle name="Millares 4 2 10 2" xfId="4605" xr:uid="{5903AF62-CF6C-4485-99AC-3AEA96C078F0}"/>
    <cellStyle name="Millares 4 2 10 2 2" xfId="6278" xr:uid="{880AF2ED-AE6E-47BC-A55E-6B0859580BE8}"/>
    <cellStyle name="Millares 4 2 10 2 3" xfId="7950" xr:uid="{39CC0C79-2DA3-45C2-8E09-D7AF3030034E}"/>
    <cellStyle name="Millares 4 2 10 3" xfId="5162" xr:uid="{DA1C52AD-E4A8-4148-8197-E29CE6D83C4B}"/>
    <cellStyle name="Millares 4 2 10 3 2" xfId="6835" xr:uid="{6494C8FE-FDA5-41A5-BD8D-AAC0EAEBD808}"/>
    <cellStyle name="Millares 4 2 10 3 3" xfId="8507" xr:uid="{40070A5B-AADA-477B-9EEB-19AFC7D2D82C}"/>
    <cellStyle name="Millares 4 2 10 4" xfId="5720" xr:uid="{48D738C5-1389-4DFA-A80F-DB49ACAE6027}"/>
    <cellStyle name="Millares 4 2 10 5" xfId="7392" xr:uid="{764ADA17-3562-4022-A474-D38706B376C8}"/>
    <cellStyle name="Millares 4 2 10 6" xfId="9064" xr:uid="{1EA5BF38-CD85-41E4-8EE6-876670975CED}"/>
    <cellStyle name="Millares 4 2 11" xfId="3327" xr:uid="{9944712D-6AEC-4D32-88C9-7BB5F4A3F2F9}"/>
    <cellStyle name="Millares 4 2 11 2" xfId="4606" xr:uid="{68EF0FCF-C163-4ACE-A7C2-5AD5D030434D}"/>
    <cellStyle name="Millares 4 2 11 2 2" xfId="6279" xr:uid="{6550B17F-7071-4137-BB80-EC40B7D59DBA}"/>
    <cellStyle name="Millares 4 2 11 2 3" xfId="7951" xr:uid="{DC0A1D77-845D-4563-B513-0BDB6788186B}"/>
    <cellStyle name="Millares 4 2 11 3" xfId="5163" xr:uid="{4542CC3C-913C-4C62-99E2-1F461FF54266}"/>
    <cellStyle name="Millares 4 2 11 3 2" xfId="6836" xr:uid="{05E8ECCE-3487-409C-91FB-583C3348CE25}"/>
    <cellStyle name="Millares 4 2 11 3 3" xfId="8508" xr:uid="{AD28AAE2-2DBB-4E28-9D8D-C599941106B1}"/>
    <cellStyle name="Millares 4 2 11 4" xfId="5721" xr:uid="{8E8C37A8-CA7D-4B2E-B887-AA5E8586F9ED}"/>
    <cellStyle name="Millares 4 2 11 5" xfId="7393" xr:uid="{7B9569EE-CF9E-45E4-846E-D4A637BEF86E}"/>
    <cellStyle name="Millares 4 2 11 6" xfId="9065" xr:uid="{DEDB99A5-0FD2-44E0-92C9-7232747F4213}"/>
    <cellStyle name="Millares 4 2 12" xfId="3328" xr:uid="{0A0FAB46-FC84-4D2F-A17F-20EDD80B70E7}"/>
    <cellStyle name="Millares 4 2 12 2" xfId="4607" xr:uid="{BA61BBAB-A4E7-48B3-9FD5-0EECFC64EFC7}"/>
    <cellStyle name="Millares 4 2 12 2 2" xfId="6280" xr:uid="{34A73A8F-4F41-46AD-94A7-0FC7CDF2B7B8}"/>
    <cellStyle name="Millares 4 2 12 2 3" xfId="7952" xr:uid="{A87C00F5-79D0-42A1-9279-73F8D3691EC3}"/>
    <cellStyle name="Millares 4 2 12 3" xfId="5164" xr:uid="{709E07CB-1290-4474-AAB6-97128C0CBBC1}"/>
    <cellStyle name="Millares 4 2 12 3 2" xfId="6837" xr:uid="{5DDACCB2-BF6D-4A52-9FBC-6D3490EF3F55}"/>
    <cellStyle name="Millares 4 2 12 3 3" xfId="8509" xr:uid="{1A978D80-4872-4925-A5D4-0BBC4C75531A}"/>
    <cellStyle name="Millares 4 2 12 4" xfId="5722" xr:uid="{56A6C52C-F05F-48C0-8950-118BD5CCD969}"/>
    <cellStyle name="Millares 4 2 12 5" xfId="7394" xr:uid="{E9345967-914B-4554-8D72-E316C82651D8}"/>
    <cellStyle name="Millares 4 2 12 6" xfId="9066" xr:uid="{58BBD670-6B13-4CEC-B8D9-192FF5D49831}"/>
    <cellStyle name="Millares 4 2 13" xfId="4604" xr:uid="{E6852670-B50D-4EDF-BAAE-5C155280CC16}"/>
    <cellStyle name="Millares 4 2 13 2" xfId="6277" xr:uid="{E456C3DF-FC92-4338-8688-C032ECCD02BF}"/>
    <cellStyle name="Millares 4 2 13 3" xfId="7949" xr:uid="{2A899EC1-F25C-4CBA-84D1-1D8AFA2607F8}"/>
    <cellStyle name="Millares 4 2 14" xfId="5161" xr:uid="{2FE3533B-47F5-4FE0-8BA7-DB3630AA4905}"/>
    <cellStyle name="Millares 4 2 14 2" xfId="6834" xr:uid="{D3896832-AAEF-403F-879B-8E3274D2AD94}"/>
    <cellStyle name="Millares 4 2 14 3" xfId="8506" xr:uid="{B695B4EB-2910-44E8-A8E5-4E79E1015CAB}"/>
    <cellStyle name="Millares 4 2 15" xfId="5719" xr:uid="{41AE08AE-8C0A-48F4-9D69-6E1B2AB9897E}"/>
    <cellStyle name="Millares 4 2 16" xfId="7391" xr:uid="{1AFB93F3-53F1-4AFE-A099-105C0C2B6A73}"/>
    <cellStyle name="Millares 4 2 17" xfId="9063" xr:uid="{B1D77329-866B-45BC-9C3B-9CE5DB0AD110}"/>
    <cellStyle name="Millares 4 2 2" xfId="3329" xr:uid="{E66E7426-9B37-4EA0-8217-E30877886AE0}"/>
    <cellStyle name="Millares 4 2 2 10" xfId="3330" xr:uid="{6D894E55-DC3F-4124-A47E-1F67F3A9BCCA}"/>
    <cellStyle name="Millares 4 2 2 10 2" xfId="4609" xr:uid="{E030921D-9ED0-42AA-9A2B-E632EAED609C}"/>
    <cellStyle name="Millares 4 2 2 10 2 2" xfId="6282" xr:uid="{6F08F847-E430-42AB-9C19-04689DE3F192}"/>
    <cellStyle name="Millares 4 2 2 10 2 3" xfId="7954" xr:uid="{98DCF342-75D7-4DF0-A527-66200356FC4C}"/>
    <cellStyle name="Millares 4 2 2 10 3" xfId="5166" xr:uid="{CA95AFD2-B4E7-4765-B2B8-111DE62FDF3E}"/>
    <cellStyle name="Millares 4 2 2 10 3 2" xfId="6839" xr:uid="{8D87685B-6E44-46A0-8700-6E9761657F65}"/>
    <cellStyle name="Millares 4 2 2 10 3 3" xfId="8511" xr:uid="{024C9DF8-FB2A-4D74-8692-2480550E9444}"/>
    <cellStyle name="Millares 4 2 2 10 4" xfId="5724" xr:uid="{70BD9CCB-D9FB-4843-92B1-B96AB07B42CB}"/>
    <cellStyle name="Millares 4 2 2 10 5" xfId="7396" xr:uid="{C81F7BE8-E2F0-423A-AD24-8D1FB373A22F}"/>
    <cellStyle name="Millares 4 2 2 10 6" xfId="9068" xr:uid="{CDF89C52-5D6F-4FDF-B3CD-73D97821A55A}"/>
    <cellStyle name="Millares 4 2 2 11" xfId="4608" xr:uid="{2F69D9C3-2E91-4ECD-8720-A90351625E04}"/>
    <cellStyle name="Millares 4 2 2 11 2" xfId="6281" xr:uid="{FB2E299B-19D8-4987-A544-7B17FF201366}"/>
    <cellStyle name="Millares 4 2 2 11 3" xfId="7953" xr:uid="{C8BF5DC7-FE6B-4D55-AEAC-2908DF2652B6}"/>
    <cellStyle name="Millares 4 2 2 12" xfId="5165" xr:uid="{3C90EFC3-2BB2-464B-9C21-4C5732071E2D}"/>
    <cellStyle name="Millares 4 2 2 12 2" xfId="6838" xr:uid="{BAFCF89B-4BDD-4988-8879-74685D28A0BF}"/>
    <cellStyle name="Millares 4 2 2 12 3" xfId="8510" xr:uid="{13088BF2-0D42-4875-AA3B-9D7E0A65D22F}"/>
    <cellStyle name="Millares 4 2 2 13" xfId="5723" xr:uid="{3962280E-66B7-4BEF-81A4-760BF74C214A}"/>
    <cellStyle name="Millares 4 2 2 14" xfId="7395" xr:uid="{5467E9EE-5481-45CD-B832-DCA39561D9AC}"/>
    <cellStyle name="Millares 4 2 2 15" xfId="9067" xr:uid="{F6C35029-9E2E-4134-8923-ADAC94EF91B5}"/>
    <cellStyle name="Millares 4 2 2 2" xfId="3331" xr:uid="{4EC0BC06-65FE-4A6B-972D-0B882F76F26E}"/>
    <cellStyle name="Millares 4 2 2 2 2" xfId="4610" xr:uid="{F5165790-77BC-483F-A299-FC0A648861AC}"/>
    <cellStyle name="Millares 4 2 2 2 2 2" xfId="6283" xr:uid="{6D028A51-5682-4412-A00F-DB22A773D97E}"/>
    <cellStyle name="Millares 4 2 2 2 2 3" xfId="7955" xr:uid="{B723A926-0A81-4724-9F16-C1E7348C4E93}"/>
    <cellStyle name="Millares 4 2 2 2 3" xfId="5167" xr:uid="{C47FDD21-CE58-47B0-9E87-B5A1046ED435}"/>
    <cellStyle name="Millares 4 2 2 2 3 2" xfId="6840" xr:uid="{A66ABADF-9427-4343-91B6-5AE5A08319EC}"/>
    <cellStyle name="Millares 4 2 2 2 3 3" xfId="8512" xr:uid="{4CE33C05-8500-4E8A-9769-4127C8E618E9}"/>
    <cellStyle name="Millares 4 2 2 2 4" xfId="5725" xr:uid="{68C07F48-967C-4439-AC1E-0249A5BA0DE3}"/>
    <cellStyle name="Millares 4 2 2 2 5" xfId="7397" xr:uid="{B6F42CEF-A74A-42B1-8511-994E2A91486E}"/>
    <cellStyle name="Millares 4 2 2 2 6" xfId="9069" xr:uid="{7E1AFCC5-931F-4BAC-9790-82661F404749}"/>
    <cellStyle name="Millares 4 2 2 3" xfId="3332" xr:uid="{8E6F6D48-1EED-4E31-A51E-D2703E762452}"/>
    <cellStyle name="Millares 4 2 2 3 2" xfId="4611" xr:uid="{EA62B473-1412-41D7-BC48-BCE8B0EFD2A1}"/>
    <cellStyle name="Millares 4 2 2 3 2 2" xfId="6284" xr:uid="{52EB399E-C82B-4BED-B0D7-DAA853CF9443}"/>
    <cellStyle name="Millares 4 2 2 3 2 3" xfId="7956" xr:uid="{6E8E4257-AF0E-4DD7-A22C-4D0EB8CB1CAD}"/>
    <cellStyle name="Millares 4 2 2 3 3" xfId="5168" xr:uid="{9CDBAB55-A066-43CF-90AF-D1B2845C5E30}"/>
    <cellStyle name="Millares 4 2 2 3 3 2" xfId="6841" xr:uid="{B16F4C5F-7BE9-45DA-9989-21F404D1A26D}"/>
    <cellStyle name="Millares 4 2 2 3 3 3" xfId="8513" xr:uid="{427254D3-F7AF-4113-9358-20B7641DFDFF}"/>
    <cellStyle name="Millares 4 2 2 3 4" xfId="5726" xr:uid="{53C638AE-25E8-4709-A2F9-0E350E07DBA7}"/>
    <cellStyle name="Millares 4 2 2 3 5" xfId="7398" xr:uid="{55463448-9155-48D6-9785-D211E30B4C7D}"/>
    <cellStyle name="Millares 4 2 2 3 6" xfId="9070" xr:uid="{8CE39FBA-D8B2-40CC-AB66-92DB5A8D9254}"/>
    <cellStyle name="Millares 4 2 2 4" xfId="3333" xr:uid="{A3954B5C-8259-4FA4-BFDE-A393257209DA}"/>
    <cellStyle name="Millares 4 2 2 4 2" xfId="4612" xr:uid="{3C19B47A-EC19-4851-9D99-E4CE6800673A}"/>
    <cellStyle name="Millares 4 2 2 4 2 2" xfId="6285" xr:uid="{3D4BC260-DB51-4C3C-A267-0AF635200B07}"/>
    <cellStyle name="Millares 4 2 2 4 2 3" xfId="7957" xr:uid="{2D7E0969-C6C6-4463-977A-7A32EC99C962}"/>
    <cellStyle name="Millares 4 2 2 4 3" xfId="5169" xr:uid="{AD527BC4-8B2A-4C45-B8F7-5D5CA0F793D9}"/>
    <cellStyle name="Millares 4 2 2 4 3 2" xfId="6842" xr:uid="{BFC09AE8-7ED1-4E3D-BDB1-8F886778CC7E}"/>
    <cellStyle name="Millares 4 2 2 4 3 3" xfId="8514" xr:uid="{E7007D75-0ECB-4EF1-99AD-3BE32D993C1E}"/>
    <cellStyle name="Millares 4 2 2 4 4" xfId="5727" xr:uid="{18BB8A98-6037-4C45-8500-16623DA78674}"/>
    <cellStyle name="Millares 4 2 2 4 5" xfId="7399" xr:uid="{F4F894F4-D4A4-44D9-95AC-6CA7F537EEEE}"/>
    <cellStyle name="Millares 4 2 2 4 6" xfId="9071" xr:uid="{33B9371F-2CD9-4A06-BBD2-95E1EDCE6869}"/>
    <cellStyle name="Millares 4 2 2 5" xfId="3334" xr:uid="{13F6D735-2FBA-480B-BF14-0A680CFA769D}"/>
    <cellStyle name="Millares 4 2 2 5 2" xfId="4613" xr:uid="{ECE5F315-C204-44B7-8A58-5E320CBB1392}"/>
    <cellStyle name="Millares 4 2 2 5 2 2" xfId="6286" xr:uid="{055EE53D-DD17-4716-B47E-CFBD091238DD}"/>
    <cellStyle name="Millares 4 2 2 5 2 3" xfId="7958" xr:uid="{5EA53C4B-18FE-4EF2-9CBA-803A2471D092}"/>
    <cellStyle name="Millares 4 2 2 5 3" xfId="5170" xr:uid="{61840138-BAC2-4F15-A4ED-64DFDFE0BA12}"/>
    <cellStyle name="Millares 4 2 2 5 3 2" xfId="6843" xr:uid="{366CC354-A78D-4213-ACA5-46868CB96A3F}"/>
    <cellStyle name="Millares 4 2 2 5 3 3" xfId="8515" xr:uid="{A782DC84-3F71-4F64-8CF3-FBFE4F0465BA}"/>
    <cellStyle name="Millares 4 2 2 5 4" xfId="5728" xr:uid="{D13A224E-0EA1-41CF-AE9D-48A575CDB94E}"/>
    <cellStyle name="Millares 4 2 2 5 5" xfId="7400" xr:uid="{E0A99EB1-EB05-4EE7-9A2D-E0D39C1923BD}"/>
    <cellStyle name="Millares 4 2 2 5 6" xfId="9072" xr:uid="{46109F70-0A18-48AF-9255-FE283B66CE01}"/>
    <cellStyle name="Millares 4 2 2 6" xfId="3335" xr:uid="{7BE32F80-D6B2-4D9F-97D2-921EF33D263A}"/>
    <cellStyle name="Millares 4 2 2 6 2" xfId="4614" xr:uid="{FC7FD6A1-DCC9-4BEE-8399-CD0D8B085EFB}"/>
    <cellStyle name="Millares 4 2 2 6 2 2" xfId="6287" xr:uid="{3717123F-490A-4BB1-89C1-C9550B55DE33}"/>
    <cellStyle name="Millares 4 2 2 6 2 3" xfId="7959" xr:uid="{2EE54C2D-EBD1-49CF-8D4F-C85A70A8A368}"/>
    <cellStyle name="Millares 4 2 2 6 3" xfId="5171" xr:uid="{129CC38B-46E6-458B-AD0F-25A9C6EC2B50}"/>
    <cellStyle name="Millares 4 2 2 6 3 2" xfId="6844" xr:uid="{D5BBAA69-BE08-496F-A57B-C0A619C24D70}"/>
    <cellStyle name="Millares 4 2 2 6 3 3" xfId="8516" xr:uid="{4A73E160-7E77-47B2-BABB-B2B86A16437D}"/>
    <cellStyle name="Millares 4 2 2 6 4" xfId="5729" xr:uid="{27CE60AF-CD7A-45FF-B181-112E372052CB}"/>
    <cellStyle name="Millares 4 2 2 6 5" xfId="7401" xr:uid="{6B1EE0CA-6579-4B46-BC6C-68E1F3ED8BD1}"/>
    <cellStyle name="Millares 4 2 2 6 6" xfId="9073" xr:uid="{4A762E7A-F2D0-4CD6-9C34-84C42858E436}"/>
    <cellStyle name="Millares 4 2 2 7" xfId="3336" xr:uid="{5129FE25-7D8B-47F5-813A-AC9482C28AC1}"/>
    <cellStyle name="Millares 4 2 2 7 2" xfId="4615" xr:uid="{6DDEF13A-3E6E-4747-8036-86B7A6EA69B7}"/>
    <cellStyle name="Millares 4 2 2 7 2 2" xfId="6288" xr:uid="{3B4C3347-A918-4A83-B69F-710F767ED3F8}"/>
    <cellStyle name="Millares 4 2 2 7 2 3" xfId="7960" xr:uid="{EBF6A37C-3490-4962-931A-6A616D4BED69}"/>
    <cellStyle name="Millares 4 2 2 7 3" xfId="5172" xr:uid="{C0BDFFB8-B74C-431F-8DB4-03534D4BE377}"/>
    <cellStyle name="Millares 4 2 2 7 3 2" xfId="6845" xr:uid="{44E5316C-703D-48DC-A376-5D6B69789033}"/>
    <cellStyle name="Millares 4 2 2 7 3 3" xfId="8517" xr:uid="{27A8880F-EEA6-4600-AAA2-3A76B7DFE02D}"/>
    <cellStyle name="Millares 4 2 2 7 4" xfId="5730" xr:uid="{AA21E804-B510-4C3B-BFFC-15FBB19F4C37}"/>
    <cellStyle name="Millares 4 2 2 7 5" xfId="7402" xr:uid="{8AD7EB12-1B6B-433A-8B4E-B8887C566FE4}"/>
    <cellStyle name="Millares 4 2 2 7 6" xfId="9074" xr:uid="{9FE51725-B502-4D7D-A449-6FF9E3BCD972}"/>
    <cellStyle name="Millares 4 2 2 8" xfId="3337" xr:uid="{9CBC1C45-F875-4CFE-917E-CD471B52F98B}"/>
    <cellStyle name="Millares 4 2 2 8 2" xfId="4616" xr:uid="{85533F9B-85B4-4E1D-B654-03C7A6C42725}"/>
    <cellStyle name="Millares 4 2 2 8 2 2" xfId="6289" xr:uid="{D6D1D2FF-01DC-49EC-9CFC-57C03083D954}"/>
    <cellStyle name="Millares 4 2 2 8 2 3" xfId="7961" xr:uid="{8E77F102-7523-43D8-A5B0-F94CE813C850}"/>
    <cellStyle name="Millares 4 2 2 8 3" xfId="5173" xr:uid="{5B9F5F9D-B593-47FF-8DE8-AC92818442CD}"/>
    <cellStyle name="Millares 4 2 2 8 3 2" xfId="6846" xr:uid="{AC3742D6-AC8A-45D5-967F-5EDA7BE20410}"/>
    <cellStyle name="Millares 4 2 2 8 3 3" xfId="8518" xr:uid="{09CC6D5C-D25C-44A8-8DAE-1D21867A4B9D}"/>
    <cellStyle name="Millares 4 2 2 8 4" xfId="5731" xr:uid="{D88766C4-250F-4262-ABD8-4EC4BBC25FCB}"/>
    <cellStyle name="Millares 4 2 2 8 5" xfId="7403" xr:uid="{3DB53D1A-7652-4373-B52E-68D6425C8F0C}"/>
    <cellStyle name="Millares 4 2 2 8 6" xfId="9075" xr:uid="{9569C00B-C60A-4911-B039-48E69198A482}"/>
    <cellStyle name="Millares 4 2 2 9" xfId="3338" xr:uid="{E70BFAF8-FF3C-4DD3-A904-893B13733ACA}"/>
    <cellStyle name="Millares 4 2 2 9 2" xfId="4617" xr:uid="{6ECF64E4-21CC-47B7-98B7-8DCC87662F5A}"/>
    <cellStyle name="Millares 4 2 2 9 2 2" xfId="6290" xr:uid="{27BE7213-309F-4737-A140-B3392271F5A5}"/>
    <cellStyle name="Millares 4 2 2 9 2 3" xfId="7962" xr:uid="{0BDBE685-92E9-46AE-913E-CD61808C4F79}"/>
    <cellStyle name="Millares 4 2 2 9 3" xfId="5174" xr:uid="{651A6FC0-42E9-4585-AED6-B5191EA73913}"/>
    <cellStyle name="Millares 4 2 2 9 3 2" xfId="6847" xr:uid="{D415EE2F-4EE8-42CC-B836-87938E3F76BB}"/>
    <cellStyle name="Millares 4 2 2 9 3 3" xfId="8519" xr:uid="{B222971A-CB34-411C-9F3D-2B227BA8A0A3}"/>
    <cellStyle name="Millares 4 2 2 9 4" xfId="5732" xr:uid="{5F6DACCB-7B8F-4050-80AE-941DF374F18E}"/>
    <cellStyle name="Millares 4 2 2 9 5" xfId="7404" xr:uid="{5589BF1B-A64A-4DC6-B98E-95ABA83AA493}"/>
    <cellStyle name="Millares 4 2 2 9 6" xfId="9076" xr:uid="{714C0E18-8306-427F-BBEC-742190CCAD38}"/>
    <cellStyle name="Millares 4 2 3" xfId="3339" xr:uid="{CD3C8401-072D-43E8-B407-BF97FF483C43}"/>
    <cellStyle name="Millares 4 2 3 10" xfId="3340" xr:uid="{940612B5-FDB6-49E0-8375-1DC1F979FA81}"/>
    <cellStyle name="Millares 4 2 3 10 2" xfId="4619" xr:uid="{5C064C82-E354-434D-AEDE-6B506C65528A}"/>
    <cellStyle name="Millares 4 2 3 10 2 2" xfId="6292" xr:uid="{AEAA579E-3273-4880-9665-4B75E50F9B69}"/>
    <cellStyle name="Millares 4 2 3 10 2 3" xfId="7964" xr:uid="{C22D68CF-134E-42D8-B167-CF5392D80370}"/>
    <cellStyle name="Millares 4 2 3 10 3" xfId="5176" xr:uid="{5DC9FF25-26A8-4709-BE91-BAE147E187B9}"/>
    <cellStyle name="Millares 4 2 3 10 3 2" xfId="6849" xr:uid="{6A5D520C-DD66-4CFA-9311-EDD27D320359}"/>
    <cellStyle name="Millares 4 2 3 10 3 3" xfId="8521" xr:uid="{9DFCF444-9B86-4760-9EB6-67F21E472F32}"/>
    <cellStyle name="Millares 4 2 3 10 4" xfId="5734" xr:uid="{EC91A876-749C-43ED-A1E9-304C44C0452F}"/>
    <cellStyle name="Millares 4 2 3 10 5" xfId="7406" xr:uid="{64469BD8-D301-4624-9E67-F50A6C4AE860}"/>
    <cellStyle name="Millares 4 2 3 10 6" xfId="9078" xr:uid="{ABA8CF6F-A9F7-4308-9C3D-932F5F6E9655}"/>
    <cellStyle name="Millares 4 2 3 11" xfId="4618" xr:uid="{FE1F4C3B-150D-4F59-8A7B-B804C9469D17}"/>
    <cellStyle name="Millares 4 2 3 11 2" xfId="6291" xr:uid="{C97D7534-9C02-4DE8-A14C-44B301E20408}"/>
    <cellStyle name="Millares 4 2 3 11 3" xfId="7963" xr:uid="{EF565ED5-90F7-4DED-9B46-19F2F5B54ED0}"/>
    <cellStyle name="Millares 4 2 3 12" xfId="5175" xr:uid="{7BB761AC-9961-47C0-AA55-C9563B0667CD}"/>
    <cellStyle name="Millares 4 2 3 12 2" xfId="6848" xr:uid="{EC4F6D4A-82C6-4E46-A532-548193EEFFAC}"/>
    <cellStyle name="Millares 4 2 3 12 3" xfId="8520" xr:uid="{698B4AF7-9DC1-44F2-BAEB-1A61B6D3173B}"/>
    <cellStyle name="Millares 4 2 3 13" xfId="5733" xr:uid="{8D0D5E9F-AA99-417D-A7C7-6A967A91363E}"/>
    <cellStyle name="Millares 4 2 3 14" xfId="7405" xr:uid="{B5064DC5-0EC4-4C30-855D-A00455890003}"/>
    <cellStyle name="Millares 4 2 3 15" xfId="9077" xr:uid="{DA5196B8-0919-4795-B744-897AB959F619}"/>
    <cellStyle name="Millares 4 2 3 2" xfId="3341" xr:uid="{A3A38ED3-E80C-415B-8E69-AE19D5D1DFBB}"/>
    <cellStyle name="Millares 4 2 3 2 2" xfId="4620" xr:uid="{CCFEFC0F-4FD5-4CD7-AF4D-AE45247C802E}"/>
    <cellStyle name="Millares 4 2 3 2 2 2" xfId="6293" xr:uid="{9A60207F-2030-4139-8B46-778553539D72}"/>
    <cellStyle name="Millares 4 2 3 2 2 3" xfId="7965" xr:uid="{1FF8879B-BC1D-4D19-B413-62BE375406B0}"/>
    <cellStyle name="Millares 4 2 3 2 3" xfId="5177" xr:uid="{51CF6188-1B23-4B00-A09E-7B3CDD04CABD}"/>
    <cellStyle name="Millares 4 2 3 2 3 2" xfId="6850" xr:uid="{0DE19EC3-167C-4091-89E8-9DB1775D5773}"/>
    <cellStyle name="Millares 4 2 3 2 3 3" xfId="8522" xr:uid="{3E9FAB38-B2D0-4DCA-99D7-C2BA916518BE}"/>
    <cellStyle name="Millares 4 2 3 2 4" xfId="5735" xr:uid="{A009B315-F26A-4701-9273-455C7E1D4D8C}"/>
    <cellStyle name="Millares 4 2 3 2 5" xfId="7407" xr:uid="{FB60D61D-4418-420F-B510-218890440028}"/>
    <cellStyle name="Millares 4 2 3 2 6" xfId="9079" xr:uid="{9F9DDF22-1831-48A8-B1BB-40EEAF351A10}"/>
    <cellStyle name="Millares 4 2 3 3" xfId="3342" xr:uid="{8CC7A9DD-5901-432A-B5F4-6BDF89FE3FE0}"/>
    <cellStyle name="Millares 4 2 3 3 2" xfId="4621" xr:uid="{BEB643F7-6ABC-4035-8721-1CDC33A2EB3A}"/>
    <cellStyle name="Millares 4 2 3 3 2 2" xfId="6294" xr:uid="{CD0EAB22-FBFF-4A58-A094-FD72820B3520}"/>
    <cellStyle name="Millares 4 2 3 3 2 3" xfId="7966" xr:uid="{76080EC6-6DD1-49EF-8D2D-CB8F7B721780}"/>
    <cellStyle name="Millares 4 2 3 3 3" xfId="5178" xr:uid="{5E764B45-433F-451B-BE57-6C6E3E0957DA}"/>
    <cellStyle name="Millares 4 2 3 3 3 2" xfId="6851" xr:uid="{59D14991-C5EE-4FF6-A935-C8A943EB217B}"/>
    <cellStyle name="Millares 4 2 3 3 3 3" xfId="8523" xr:uid="{3A0AD92B-E92E-422A-BE21-2424B41F1EF8}"/>
    <cellStyle name="Millares 4 2 3 3 4" xfId="5736" xr:uid="{7290E62A-F620-453F-9605-4C5EE874CD40}"/>
    <cellStyle name="Millares 4 2 3 3 5" xfId="7408" xr:uid="{66AB3F98-60CC-4C8A-A986-5A7B90EB4B36}"/>
    <cellStyle name="Millares 4 2 3 3 6" xfId="9080" xr:uid="{67BE1475-96DE-4A12-A2E8-9DC426455BA2}"/>
    <cellStyle name="Millares 4 2 3 4" xfId="3343" xr:uid="{CAED6730-64A2-4026-AF7C-CD4F43AA7314}"/>
    <cellStyle name="Millares 4 2 3 4 2" xfId="4622" xr:uid="{1C09B67C-0645-45D6-81E2-D75EA4D40E99}"/>
    <cellStyle name="Millares 4 2 3 4 2 2" xfId="6295" xr:uid="{11E40449-2CB1-4A55-B157-69206C6146AB}"/>
    <cellStyle name="Millares 4 2 3 4 2 3" xfId="7967" xr:uid="{6F51A53D-FDB2-4647-B025-32BF3EC223BB}"/>
    <cellStyle name="Millares 4 2 3 4 3" xfId="5179" xr:uid="{F56FDBBD-FAC0-477F-B1F7-D88B1C4CAC55}"/>
    <cellStyle name="Millares 4 2 3 4 3 2" xfId="6852" xr:uid="{629D1520-84E5-4E34-8FDD-49856D0D69C8}"/>
    <cellStyle name="Millares 4 2 3 4 3 3" xfId="8524" xr:uid="{5DA21D86-E7BD-45F9-88CF-3D4DDB60D347}"/>
    <cellStyle name="Millares 4 2 3 4 4" xfId="5737" xr:uid="{FDD727F9-7C41-4202-9947-437EA838794C}"/>
    <cellStyle name="Millares 4 2 3 4 5" xfId="7409" xr:uid="{09A7217E-33FD-4272-A918-C4A683432A96}"/>
    <cellStyle name="Millares 4 2 3 4 6" xfId="9081" xr:uid="{C953624A-72DC-44DA-9099-CE04529EA787}"/>
    <cellStyle name="Millares 4 2 3 5" xfId="3344" xr:uid="{39F31AB4-2425-402E-BD69-7EF9ADF31564}"/>
    <cellStyle name="Millares 4 2 3 5 2" xfId="4623" xr:uid="{BEDA6AB5-45DC-48AD-A449-9357DF0B46A7}"/>
    <cellStyle name="Millares 4 2 3 5 2 2" xfId="6296" xr:uid="{19BCABED-34BA-4985-8FEA-87122A151C69}"/>
    <cellStyle name="Millares 4 2 3 5 2 3" xfId="7968" xr:uid="{83E6D7E6-FE2B-465C-9D6D-9E4CDC3B1AFF}"/>
    <cellStyle name="Millares 4 2 3 5 3" xfId="5180" xr:uid="{7EAEA4BF-25C5-4EB1-9E6E-D9438AD09DDD}"/>
    <cellStyle name="Millares 4 2 3 5 3 2" xfId="6853" xr:uid="{24172591-13C9-48E1-BAE6-D9CEB5274456}"/>
    <cellStyle name="Millares 4 2 3 5 3 3" xfId="8525" xr:uid="{710F6BBB-D94B-4728-8E6F-A09099B50703}"/>
    <cellStyle name="Millares 4 2 3 5 4" xfId="5738" xr:uid="{68F32AFC-1DE9-4E0B-90E6-A24C4287F895}"/>
    <cellStyle name="Millares 4 2 3 5 5" xfId="7410" xr:uid="{00D17F42-6FD0-46BE-A7AD-106DB75BD5DD}"/>
    <cellStyle name="Millares 4 2 3 5 6" xfId="9082" xr:uid="{0E0E717D-9844-4B26-8CB3-1F64F20542DB}"/>
    <cellStyle name="Millares 4 2 3 6" xfId="3345" xr:uid="{D8A74527-4ABA-4D2C-8F5F-F9A401016621}"/>
    <cellStyle name="Millares 4 2 3 6 2" xfId="4624" xr:uid="{58F09B0F-C883-4169-A4DD-EB2187682271}"/>
    <cellStyle name="Millares 4 2 3 6 2 2" xfId="6297" xr:uid="{E2DF4A6C-31A2-4BE2-8C32-F86C9E6F5659}"/>
    <cellStyle name="Millares 4 2 3 6 2 3" xfId="7969" xr:uid="{7418560B-4A02-4651-954D-3F5D8DB32EFA}"/>
    <cellStyle name="Millares 4 2 3 6 3" xfId="5181" xr:uid="{E7CE0470-61C5-4C9D-AB41-EB8F814554E1}"/>
    <cellStyle name="Millares 4 2 3 6 3 2" xfId="6854" xr:uid="{1B7EC636-5091-41F4-BABB-1BAC064DC4BF}"/>
    <cellStyle name="Millares 4 2 3 6 3 3" xfId="8526" xr:uid="{BCA23F11-000F-464F-BFCC-CF5BCBB7ECCF}"/>
    <cellStyle name="Millares 4 2 3 6 4" xfId="5739" xr:uid="{3E5BDA19-B0CD-453A-B31C-BFFB13CD5FAA}"/>
    <cellStyle name="Millares 4 2 3 6 5" xfId="7411" xr:uid="{8BB45C1C-67E3-4AF9-B21A-1AA0DAD94735}"/>
    <cellStyle name="Millares 4 2 3 6 6" xfId="9083" xr:uid="{017CE019-2C22-4983-87E6-8C3D9DC2E674}"/>
    <cellStyle name="Millares 4 2 3 7" xfId="3346" xr:uid="{E49C2C09-8401-434F-A62C-825C8A2F9BFE}"/>
    <cellStyle name="Millares 4 2 3 7 2" xfId="4625" xr:uid="{CF856A50-1450-40DB-A58E-1F5AE54753E0}"/>
    <cellStyle name="Millares 4 2 3 7 2 2" xfId="6298" xr:uid="{D2CA2956-5F9F-4950-9C36-D468E9258D4D}"/>
    <cellStyle name="Millares 4 2 3 7 2 3" xfId="7970" xr:uid="{8C56C4CC-45A0-4DFE-8DB0-2787A38BD593}"/>
    <cellStyle name="Millares 4 2 3 7 3" xfId="5182" xr:uid="{01B57D28-9FDC-48EA-9D7D-6C9308108463}"/>
    <cellStyle name="Millares 4 2 3 7 3 2" xfId="6855" xr:uid="{BB3E339D-5AC1-4F3F-8966-40B5FD9DFD8D}"/>
    <cellStyle name="Millares 4 2 3 7 3 3" xfId="8527" xr:uid="{7E3E400A-833C-49F2-820C-00D2DBD47788}"/>
    <cellStyle name="Millares 4 2 3 7 4" xfId="5740" xr:uid="{8C266417-2C97-4FFA-AFAD-68C890861E2A}"/>
    <cellStyle name="Millares 4 2 3 7 5" xfId="7412" xr:uid="{A7B82F99-CE47-41D2-ABCD-EA5D96C7CA46}"/>
    <cellStyle name="Millares 4 2 3 7 6" xfId="9084" xr:uid="{7698DEFB-A93D-4117-8341-F6CAD2E1A272}"/>
    <cellStyle name="Millares 4 2 3 8" xfId="3347" xr:uid="{7B2706F1-57A7-4CC9-AF40-C14054ADD50C}"/>
    <cellStyle name="Millares 4 2 3 8 2" xfId="4626" xr:uid="{4CC1064E-A1C5-44CC-AAE1-CEF9F6C3E2B5}"/>
    <cellStyle name="Millares 4 2 3 8 2 2" xfId="6299" xr:uid="{6C4D4498-A02B-4112-818B-3495548F170F}"/>
    <cellStyle name="Millares 4 2 3 8 2 3" xfId="7971" xr:uid="{36FB1F84-8366-43D2-8C55-FA4AC7F647F7}"/>
    <cellStyle name="Millares 4 2 3 8 3" xfId="5183" xr:uid="{DD136BD2-B536-43F5-9EF2-3F2D66B68B70}"/>
    <cellStyle name="Millares 4 2 3 8 3 2" xfId="6856" xr:uid="{4273D824-D7B4-4BEA-A3C7-BC5E2D8A1CE0}"/>
    <cellStyle name="Millares 4 2 3 8 3 3" xfId="8528" xr:uid="{C76014D4-D2C4-4D14-9120-CEF139CD4B20}"/>
    <cellStyle name="Millares 4 2 3 8 4" xfId="5741" xr:uid="{08A8F1CD-A805-47BE-9971-0B74062FD65C}"/>
    <cellStyle name="Millares 4 2 3 8 5" xfId="7413" xr:uid="{6D92B0B4-14A3-494D-8CB3-47481AFC712D}"/>
    <cellStyle name="Millares 4 2 3 8 6" xfId="9085" xr:uid="{C6CF5D27-BAC3-4CD6-8485-01FB0188129A}"/>
    <cellStyle name="Millares 4 2 3 9" xfId="3348" xr:uid="{B874DB8B-4DE0-4BB7-A898-B7CF08745D71}"/>
    <cellStyle name="Millares 4 2 3 9 2" xfId="4627" xr:uid="{14E36307-B754-406D-A4B2-2D946AF36D0A}"/>
    <cellStyle name="Millares 4 2 3 9 2 2" xfId="6300" xr:uid="{D01E794D-EDA2-4F2E-A6EA-5BB401DFE6CC}"/>
    <cellStyle name="Millares 4 2 3 9 2 3" xfId="7972" xr:uid="{4AE535FF-4D68-4085-B9EC-B986DA7E4454}"/>
    <cellStyle name="Millares 4 2 3 9 3" xfId="5184" xr:uid="{4B8523A7-3B4B-45E9-BF1E-24DA10439BD0}"/>
    <cellStyle name="Millares 4 2 3 9 3 2" xfId="6857" xr:uid="{29371D0E-3914-4AB6-A505-2FA2CE059F70}"/>
    <cellStyle name="Millares 4 2 3 9 3 3" xfId="8529" xr:uid="{6D1B544D-EDCA-4A49-8041-478DC99402D1}"/>
    <cellStyle name="Millares 4 2 3 9 4" xfId="5742" xr:uid="{AB3F9DFA-2B7C-4F0B-9D17-84DA9ABEACFD}"/>
    <cellStyle name="Millares 4 2 3 9 5" xfId="7414" xr:uid="{B110D9C2-B401-410A-89E6-8823799876C8}"/>
    <cellStyle name="Millares 4 2 3 9 6" xfId="9086" xr:uid="{C803495C-2B00-4554-AABB-DD22097159F0}"/>
    <cellStyle name="Millares 4 2 4" xfId="3349" xr:uid="{86800035-61E9-44C4-8F98-23442B36EF4D}"/>
    <cellStyle name="Millares 4 2 4 2" xfId="4628" xr:uid="{F5F91930-22B8-405F-BDE7-62996835051A}"/>
    <cellStyle name="Millares 4 2 4 2 2" xfId="6301" xr:uid="{6A1075DB-F844-47B0-98EC-E076FA30642A}"/>
    <cellStyle name="Millares 4 2 4 2 3" xfId="7973" xr:uid="{115AA116-DA88-44BF-BC80-B672DF969FE2}"/>
    <cellStyle name="Millares 4 2 4 3" xfId="5185" xr:uid="{1DDD07AB-6C91-494D-9BF0-578047B3D236}"/>
    <cellStyle name="Millares 4 2 4 3 2" xfId="6858" xr:uid="{A978DE81-4902-4379-8CF9-4042C7094871}"/>
    <cellStyle name="Millares 4 2 4 3 3" xfId="8530" xr:uid="{F36A0934-5112-4AB5-91A0-E33AEFA6FA19}"/>
    <cellStyle name="Millares 4 2 4 4" xfId="5743" xr:uid="{6904B482-21DB-446E-9DE3-A5FD6C7D6AAA}"/>
    <cellStyle name="Millares 4 2 4 5" xfId="7415" xr:uid="{58A30214-5408-4F13-80B9-42BB9619D7AB}"/>
    <cellStyle name="Millares 4 2 4 6" xfId="9087" xr:uid="{EAEAAF81-FC70-48A8-8BFF-29F760CB5087}"/>
    <cellStyle name="Millares 4 2 5" xfId="3350" xr:uid="{8FBA9962-BA71-45AD-ADE1-00B7A5347620}"/>
    <cellStyle name="Millares 4 2 5 2" xfId="4629" xr:uid="{801F7B3B-8FB7-42FE-912B-E00EF7937695}"/>
    <cellStyle name="Millares 4 2 5 2 2" xfId="6302" xr:uid="{06B865CC-1501-4D15-ACC8-6EF4E7D25A56}"/>
    <cellStyle name="Millares 4 2 5 2 3" xfId="7974" xr:uid="{9874FAC6-2C34-4A92-B8BE-C7987864D013}"/>
    <cellStyle name="Millares 4 2 5 3" xfId="5186" xr:uid="{D8CCD7E8-8409-4516-B0A1-A0E7BA0C85D9}"/>
    <cellStyle name="Millares 4 2 5 3 2" xfId="6859" xr:uid="{26F9D086-C2C4-4498-9D41-136849943E24}"/>
    <cellStyle name="Millares 4 2 5 3 3" xfId="8531" xr:uid="{1E8FE521-63C7-4074-86E8-D4237015E0D4}"/>
    <cellStyle name="Millares 4 2 5 4" xfId="5744" xr:uid="{5124FC02-2B01-4BB5-AAA4-F093EA4A015A}"/>
    <cellStyle name="Millares 4 2 5 5" xfId="7416" xr:uid="{F5453D43-6411-459A-8E0E-A71C1BB986AE}"/>
    <cellStyle name="Millares 4 2 5 6" xfId="9088" xr:uid="{A58EC0A4-F059-4D32-B3E4-FEDD44CB5A3A}"/>
    <cellStyle name="Millares 4 2 6" xfId="3351" xr:uid="{5AF4088A-4F12-4CA6-8526-3CA725E0927B}"/>
    <cellStyle name="Millares 4 2 6 2" xfId="4630" xr:uid="{FFBF2DCC-3069-4D64-84D1-280BFBAA2934}"/>
    <cellStyle name="Millares 4 2 6 2 2" xfId="6303" xr:uid="{EFD8BD12-47D5-49E8-A78C-8712892313B4}"/>
    <cellStyle name="Millares 4 2 6 2 3" xfId="7975" xr:uid="{DEE6A3E8-168E-49D7-86E7-FA3B0B4D114E}"/>
    <cellStyle name="Millares 4 2 6 3" xfId="5187" xr:uid="{5D587496-EAE3-4377-95F3-474BE1FAD273}"/>
    <cellStyle name="Millares 4 2 6 3 2" xfId="6860" xr:uid="{912DE575-9E39-4DD7-9306-7DB42688DD68}"/>
    <cellStyle name="Millares 4 2 6 3 3" xfId="8532" xr:uid="{B364A62C-5532-4325-AC2B-1DDE7926B679}"/>
    <cellStyle name="Millares 4 2 6 4" xfId="5745" xr:uid="{5971DE29-560C-49F4-AC24-BB5CAB9E1A9D}"/>
    <cellStyle name="Millares 4 2 6 5" xfId="7417" xr:uid="{6809E808-35DD-4000-8686-6104AA6797F8}"/>
    <cellStyle name="Millares 4 2 6 6" xfId="9089" xr:uid="{42B614B0-6AD5-4661-A868-861FD07D0D74}"/>
    <cellStyle name="Millares 4 2 7" xfId="3352" xr:uid="{4C25C8D4-D8F4-44BF-830C-B7566FDE4122}"/>
    <cellStyle name="Millares 4 2 7 2" xfId="4631" xr:uid="{8C4A6683-917C-4EBD-A486-7FF9C9BE458B}"/>
    <cellStyle name="Millares 4 2 7 2 2" xfId="6304" xr:uid="{66F4C2B0-EEFA-4F62-99FB-95ABE701A7FA}"/>
    <cellStyle name="Millares 4 2 7 2 3" xfId="7976" xr:uid="{91F9F460-533E-4DB4-8E42-9ECBC6AD2863}"/>
    <cellStyle name="Millares 4 2 7 3" xfId="5188" xr:uid="{F79DE8D2-73D9-484F-AC12-635E438E2DC1}"/>
    <cellStyle name="Millares 4 2 7 3 2" xfId="6861" xr:uid="{921AC14D-4EEF-4222-88FF-5E8AE6AECF31}"/>
    <cellStyle name="Millares 4 2 7 3 3" xfId="8533" xr:uid="{27C22DEB-A603-4D4D-B01F-FDA1ACE18A4D}"/>
    <cellStyle name="Millares 4 2 7 4" xfId="5746" xr:uid="{E806DDE1-3DBC-4EE9-844D-3359CE1BC9AC}"/>
    <cellStyle name="Millares 4 2 7 5" xfId="7418" xr:uid="{6CB4EA7B-AA62-4BC2-BA1F-01F72D44F23E}"/>
    <cellStyle name="Millares 4 2 7 6" xfId="9090" xr:uid="{5C0506BE-5861-4B38-9971-4A489EF4F334}"/>
    <cellStyle name="Millares 4 2 8" xfId="3353" xr:uid="{FE8AB244-7ADA-43C8-9DAB-A0978F7E6DAF}"/>
    <cellStyle name="Millares 4 2 8 2" xfId="4632" xr:uid="{0C6B060A-587D-4051-840B-B7E152BAE670}"/>
    <cellStyle name="Millares 4 2 8 2 2" xfId="6305" xr:uid="{E0180761-59BD-4CDC-AAEB-11ACBA9E693A}"/>
    <cellStyle name="Millares 4 2 8 2 3" xfId="7977" xr:uid="{BD37353A-E1A7-4977-B466-42CB135F27AF}"/>
    <cellStyle name="Millares 4 2 8 3" xfId="5189" xr:uid="{6CE07EEB-FD5A-42F0-A33E-FA4AAA542E66}"/>
    <cellStyle name="Millares 4 2 8 3 2" xfId="6862" xr:uid="{6814B4AE-E56D-4A61-8FDA-829A08D9F20C}"/>
    <cellStyle name="Millares 4 2 8 3 3" xfId="8534" xr:uid="{30600D8E-96ED-4B78-9170-EA9F4F8F4742}"/>
    <cellStyle name="Millares 4 2 8 4" xfId="5747" xr:uid="{FC82864B-39ED-413B-B99C-2E60FBBB1336}"/>
    <cellStyle name="Millares 4 2 8 5" xfId="7419" xr:uid="{AC68D679-C249-4D98-B950-49CC07A373AD}"/>
    <cellStyle name="Millares 4 2 8 6" xfId="9091" xr:uid="{B292692D-DC43-455D-B707-0A1AC6DD3310}"/>
    <cellStyle name="Millares 4 2 9" xfId="3354" xr:uid="{A4D8A221-A9A9-4BFC-B733-490496EC8D38}"/>
    <cellStyle name="Millares 4 2 9 2" xfId="4633" xr:uid="{76E9BF31-1533-46D8-A65A-AB04608647D0}"/>
    <cellStyle name="Millares 4 2 9 2 2" xfId="6306" xr:uid="{2CEEEB29-6382-47A1-AC16-FE4E4437A11D}"/>
    <cellStyle name="Millares 4 2 9 2 3" xfId="7978" xr:uid="{EDD89835-AC0D-452B-A790-52BDC0F25098}"/>
    <cellStyle name="Millares 4 2 9 3" xfId="5190" xr:uid="{2B00FD8D-1833-48AC-82FE-DB81037FD4DE}"/>
    <cellStyle name="Millares 4 2 9 3 2" xfId="6863" xr:uid="{3C1BD7BC-4041-48E8-8F42-C1A53390CE8E}"/>
    <cellStyle name="Millares 4 2 9 3 3" xfId="8535" xr:uid="{9C72990D-4BCD-404C-8CEF-57CB731FAB2B}"/>
    <cellStyle name="Millares 4 2 9 4" xfId="5748" xr:uid="{45911F6D-4878-4794-9CB4-902A38F55259}"/>
    <cellStyle name="Millares 4 2 9 5" xfId="7420" xr:uid="{22BFD56F-8619-4376-914E-6F5E6ED0F555}"/>
    <cellStyle name="Millares 4 2 9 6" xfId="9092" xr:uid="{8E03FF13-029C-45C4-A048-3EEE1664A5CD}"/>
    <cellStyle name="Millares 4 3" xfId="3355" xr:uid="{6F4293B0-57A0-4470-8043-A45291305885}"/>
    <cellStyle name="Millares 4 3 10" xfId="3356" xr:uid="{14E6F3FB-D534-4036-BEAB-A55170C2E8BE}"/>
    <cellStyle name="Millares 4 3 10 2" xfId="4635" xr:uid="{E013B348-8AEC-48A9-8E55-C4BE081C7043}"/>
    <cellStyle name="Millares 4 3 10 2 2" xfId="6308" xr:uid="{242B5236-C416-4C68-AA46-ECD8A87E3487}"/>
    <cellStyle name="Millares 4 3 10 2 3" xfId="7980" xr:uid="{989942A6-F3E1-4F3D-B930-14CAE80EF106}"/>
    <cellStyle name="Millares 4 3 10 3" xfId="5192" xr:uid="{05C7DE3E-65E0-4358-A4CD-B817B1228E7F}"/>
    <cellStyle name="Millares 4 3 10 3 2" xfId="6865" xr:uid="{294C0A18-3382-463E-8454-4D89F2CCB4DE}"/>
    <cellStyle name="Millares 4 3 10 3 3" xfId="8537" xr:uid="{8C22E38B-3DBC-45E8-954E-D3AC2AD88D83}"/>
    <cellStyle name="Millares 4 3 10 4" xfId="5750" xr:uid="{5EBBC1D2-0554-4163-B3AA-3547BB29E193}"/>
    <cellStyle name="Millares 4 3 10 5" xfId="7422" xr:uid="{C6B12525-2A31-45B1-82CB-5CABDEABA4C3}"/>
    <cellStyle name="Millares 4 3 10 6" xfId="9094" xr:uid="{642B0DC3-F2C6-4EC1-975B-4321BC08ADD1}"/>
    <cellStyle name="Millares 4 3 11" xfId="3357" xr:uid="{8A17224C-1222-46C3-A36C-E4A0FD636EED}"/>
    <cellStyle name="Millares 4 3 11 2" xfId="4636" xr:uid="{B3D6D0DA-D523-4507-83E8-34400CFA7AD6}"/>
    <cellStyle name="Millares 4 3 11 2 2" xfId="6309" xr:uid="{DCDB2574-E157-4545-ADF2-B4BBCFDB4141}"/>
    <cellStyle name="Millares 4 3 11 2 3" xfId="7981" xr:uid="{963F783D-A6E4-4A4F-9F26-4A1E919DE012}"/>
    <cellStyle name="Millares 4 3 11 3" xfId="5193" xr:uid="{53DABE42-845D-4F50-8050-0FE2F421841A}"/>
    <cellStyle name="Millares 4 3 11 3 2" xfId="6866" xr:uid="{A1059E5D-F954-444D-9B09-1D8D0303EBE2}"/>
    <cellStyle name="Millares 4 3 11 3 3" xfId="8538" xr:uid="{7B789856-EF32-4D04-9858-7A0F8CF83BE2}"/>
    <cellStyle name="Millares 4 3 11 4" xfId="5751" xr:uid="{CAF047E9-6082-4CF3-B3B0-F7160A8C8409}"/>
    <cellStyle name="Millares 4 3 11 5" xfId="7423" xr:uid="{459D7A0E-77BA-4ECE-8799-B94B77B0DAA3}"/>
    <cellStyle name="Millares 4 3 11 6" xfId="9095" xr:uid="{A114C406-07E8-4DFD-AA52-448655DEBB5A}"/>
    <cellStyle name="Millares 4 3 12" xfId="3358" xr:uid="{A8DAE66F-3CC8-42A0-B121-CBA0AA92B823}"/>
    <cellStyle name="Millares 4 3 12 2" xfId="4637" xr:uid="{F80F7124-EB3A-415B-9C20-5C7484849841}"/>
    <cellStyle name="Millares 4 3 12 2 2" xfId="6310" xr:uid="{0E9C0D2C-4E76-4E2C-B5E4-57E54730CDCF}"/>
    <cellStyle name="Millares 4 3 12 2 3" xfId="7982" xr:uid="{6732341E-017F-4889-A3AF-F73DA9986BA2}"/>
    <cellStyle name="Millares 4 3 12 3" xfId="5194" xr:uid="{4E86C66C-7226-4F11-88D9-67EFD41BD774}"/>
    <cellStyle name="Millares 4 3 12 3 2" xfId="6867" xr:uid="{48AED5C2-5F75-412E-B709-703C917BCB53}"/>
    <cellStyle name="Millares 4 3 12 3 3" xfId="8539" xr:uid="{3896CD6C-78A6-4BBC-8D8D-FAFDA2A03CF7}"/>
    <cellStyle name="Millares 4 3 12 4" xfId="5752" xr:uid="{068A374D-879D-48DC-B5D4-1BEC1FA1E0CA}"/>
    <cellStyle name="Millares 4 3 12 5" xfId="7424" xr:uid="{B44A4C78-6CCA-4BF3-B4A7-DE39FEE0D429}"/>
    <cellStyle name="Millares 4 3 12 6" xfId="9096" xr:uid="{179FB76A-E2C2-4540-9D56-8D4F89709986}"/>
    <cellStyle name="Millares 4 3 13" xfId="4634" xr:uid="{F4218AF7-F6BE-4836-A036-93F94F2E1959}"/>
    <cellStyle name="Millares 4 3 13 2" xfId="6307" xr:uid="{D08C411B-A0B9-4261-A12E-8B63915C2406}"/>
    <cellStyle name="Millares 4 3 13 3" xfId="7979" xr:uid="{406E81A3-8340-4CA2-BBD7-3DF55E1CDADF}"/>
    <cellStyle name="Millares 4 3 14" xfId="5191" xr:uid="{CDD3236A-7AEB-4824-96D3-64A35A73EB15}"/>
    <cellStyle name="Millares 4 3 14 2" xfId="6864" xr:uid="{9683A7E7-BE77-4571-AE27-CF59279C2EF0}"/>
    <cellStyle name="Millares 4 3 14 3" xfId="8536" xr:uid="{C267DD84-9D2A-4442-B7A4-A50A8FBD5F1C}"/>
    <cellStyle name="Millares 4 3 15" xfId="5749" xr:uid="{0F50CB0B-9364-4487-BC8C-FC309557D7B9}"/>
    <cellStyle name="Millares 4 3 16" xfId="7421" xr:uid="{1151931E-13A0-4389-B083-DAB87C5B48A1}"/>
    <cellStyle name="Millares 4 3 17" xfId="9093" xr:uid="{09BFAAE4-57B7-46E4-B9D0-D80001E2759E}"/>
    <cellStyle name="Millares 4 3 2" xfId="3359" xr:uid="{2F7C1851-60DC-4EDC-9E39-8271E7A3A34C}"/>
    <cellStyle name="Millares 4 3 2 10" xfId="3360" xr:uid="{7CD7C68B-DAC4-415F-A82A-1FA3E9F3752E}"/>
    <cellStyle name="Millares 4 3 2 10 2" xfId="4639" xr:uid="{A14CFC47-9D16-4E5B-8DB7-531CA01ECBCA}"/>
    <cellStyle name="Millares 4 3 2 10 2 2" xfId="6312" xr:uid="{3076B408-D723-4E72-9A12-F66E0BF3962B}"/>
    <cellStyle name="Millares 4 3 2 10 2 3" xfId="7984" xr:uid="{0DE37702-4594-446B-922D-291CAA5B0285}"/>
    <cellStyle name="Millares 4 3 2 10 3" xfId="5196" xr:uid="{910EFF02-D9A6-401C-A13C-D37B6E31ABBD}"/>
    <cellStyle name="Millares 4 3 2 10 3 2" xfId="6869" xr:uid="{A9D1E2AA-DC74-4B6D-9AA2-3960042CC42B}"/>
    <cellStyle name="Millares 4 3 2 10 3 3" xfId="8541" xr:uid="{6BD8A93C-8C02-4C8F-9CE1-9D903AD9E1E8}"/>
    <cellStyle name="Millares 4 3 2 10 4" xfId="5754" xr:uid="{946FE072-E044-4DA5-A2E8-36EB4C9BEE7E}"/>
    <cellStyle name="Millares 4 3 2 10 5" xfId="7426" xr:uid="{F227E370-16FA-488B-832C-C4B23AC0626E}"/>
    <cellStyle name="Millares 4 3 2 10 6" xfId="9098" xr:uid="{0B4BB161-6F3A-4ED7-A0EB-239844DA6035}"/>
    <cellStyle name="Millares 4 3 2 11" xfId="4638" xr:uid="{3AD254E7-A7C1-4A01-95F7-C4354FA686F0}"/>
    <cellStyle name="Millares 4 3 2 11 2" xfId="6311" xr:uid="{C6175F47-6E9C-4B51-A824-B62A827794AA}"/>
    <cellStyle name="Millares 4 3 2 11 3" xfId="7983" xr:uid="{5062D33A-5486-4F44-BE04-2B6F37A214FE}"/>
    <cellStyle name="Millares 4 3 2 12" xfId="5195" xr:uid="{75522455-03DF-4411-A4AB-C1B370D6F0A5}"/>
    <cellStyle name="Millares 4 3 2 12 2" xfId="6868" xr:uid="{8995A5F3-2055-485B-9ED8-962C49A92D6D}"/>
    <cellStyle name="Millares 4 3 2 12 3" xfId="8540" xr:uid="{F5F0A063-B112-44B9-B3F2-9BCBA795695D}"/>
    <cellStyle name="Millares 4 3 2 13" xfId="5753" xr:uid="{828959DE-A934-4A19-8FE4-69A1508CBAC1}"/>
    <cellStyle name="Millares 4 3 2 14" xfId="7425" xr:uid="{61CF6C46-2870-4FAA-93E8-938E2AAEBC50}"/>
    <cellStyle name="Millares 4 3 2 15" xfId="9097" xr:uid="{5A8EC367-1923-4062-B77C-A956EDB72793}"/>
    <cellStyle name="Millares 4 3 2 2" xfId="3361" xr:uid="{8F95B73B-B523-4819-AB96-53BA1EB04540}"/>
    <cellStyle name="Millares 4 3 2 2 2" xfId="4640" xr:uid="{6544FF01-2F60-41DC-9CA7-7A9F07C3E1FD}"/>
    <cellStyle name="Millares 4 3 2 2 2 2" xfId="6313" xr:uid="{021B74C7-1CBC-4A8A-A4C0-CFB2D2FB4E56}"/>
    <cellStyle name="Millares 4 3 2 2 2 3" xfId="7985" xr:uid="{936C5B73-4BB0-4B9D-9EAC-FDC5EFB48877}"/>
    <cellStyle name="Millares 4 3 2 2 3" xfId="5197" xr:uid="{996DA698-9A34-4214-8B21-C98D8A637962}"/>
    <cellStyle name="Millares 4 3 2 2 3 2" xfId="6870" xr:uid="{9227F65D-6DFB-4D64-A600-4C576C469466}"/>
    <cellStyle name="Millares 4 3 2 2 3 3" xfId="8542" xr:uid="{B5D5D266-C928-44E2-B6EC-DC731B614A23}"/>
    <cellStyle name="Millares 4 3 2 2 4" xfId="5755" xr:uid="{0E1A921A-2346-4A21-AD18-551B3D09B7E1}"/>
    <cellStyle name="Millares 4 3 2 2 5" xfId="7427" xr:uid="{735CA311-07ED-4B54-AC29-3C1E97D07D6F}"/>
    <cellStyle name="Millares 4 3 2 2 6" xfId="9099" xr:uid="{3F07BC52-ABA9-4616-A1BA-55CB77A4D1B0}"/>
    <cellStyle name="Millares 4 3 2 3" xfId="3362" xr:uid="{08F692AC-D4E3-4CB3-925E-6DC0119F6EDD}"/>
    <cellStyle name="Millares 4 3 2 3 2" xfId="4641" xr:uid="{DC1AD47E-3C5A-41E6-9083-77494B760630}"/>
    <cellStyle name="Millares 4 3 2 3 2 2" xfId="6314" xr:uid="{FB925F7A-6D88-41F7-91A0-49BBD3F0BAD1}"/>
    <cellStyle name="Millares 4 3 2 3 2 3" xfId="7986" xr:uid="{7C46715E-4D33-4227-BFC7-18506F4D608D}"/>
    <cellStyle name="Millares 4 3 2 3 3" xfId="5198" xr:uid="{2252469A-D438-446A-AA0C-B7A555A3AD90}"/>
    <cellStyle name="Millares 4 3 2 3 3 2" xfId="6871" xr:uid="{8D4206B0-224B-43CB-829F-10B69BEA85B1}"/>
    <cellStyle name="Millares 4 3 2 3 3 3" xfId="8543" xr:uid="{F1C928F4-FA98-4265-A61D-EEB0E6E67D14}"/>
    <cellStyle name="Millares 4 3 2 3 4" xfId="5756" xr:uid="{AF6E961E-3025-4C2A-A555-E06940B6FE93}"/>
    <cellStyle name="Millares 4 3 2 3 5" xfId="7428" xr:uid="{4FF7739A-635D-4489-A5E4-EFCF1E31C543}"/>
    <cellStyle name="Millares 4 3 2 3 6" xfId="9100" xr:uid="{656605A0-2321-4A4D-8E88-6322FF1079A2}"/>
    <cellStyle name="Millares 4 3 2 4" xfId="3363" xr:uid="{761BE0AB-0D11-460E-98B2-6F3597B46D4C}"/>
    <cellStyle name="Millares 4 3 2 4 2" xfId="4642" xr:uid="{08D112A7-C799-42EB-8C6C-64BDCEBC6D73}"/>
    <cellStyle name="Millares 4 3 2 4 2 2" xfId="6315" xr:uid="{2E4B664F-8CDD-4AEE-84C9-D1409F4B5FF6}"/>
    <cellStyle name="Millares 4 3 2 4 2 3" xfId="7987" xr:uid="{40EEBC04-0CD0-410B-AA4D-2BE16ED398D6}"/>
    <cellStyle name="Millares 4 3 2 4 3" xfId="5199" xr:uid="{C107BCA6-BEAC-414A-9771-8976F6FD639C}"/>
    <cellStyle name="Millares 4 3 2 4 3 2" xfId="6872" xr:uid="{4E0C272D-C06B-48C9-B41B-2E0A8870A69A}"/>
    <cellStyle name="Millares 4 3 2 4 3 3" xfId="8544" xr:uid="{7445A995-4127-4056-9BE8-97DA7C9CB5DF}"/>
    <cellStyle name="Millares 4 3 2 4 4" xfId="5757" xr:uid="{4CA836BE-F682-4BCE-B47D-08E4FDA9F0DA}"/>
    <cellStyle name="Millares 4 3 2 4 5" xfId="7429" xr:uid="{B7B86744-1A5A-4238-BD3B-57B9B275236D}"/>
    <cellStyle name="Millares 4 3 2 4 6" xfId="9101" xr:uid="{060458B8-6247-4489-AC9E-1323B3497427}"/>
    <cellStyle name="Millares 4 3 2 5" xfId="3364" xr:uid="{89BCB3C6-1909-48FB-84C4-0BE0F0A9096D}"/>
    <cellStyle name="Millares 4 3 2 5 2" xfId="4643" xr:uid="{2791EEAD-DAB7-424D-A422-FB05A3E774CC}"/>
    <cellStyle name="Millares 4 3 2 5 2 2" xfId="6316" xr:uid="{FD14FB7E-D39E-499E-B14C-33FF3DD61181}"/>
    <cellStyle name="Millares 4 3 2 5 2 3" xfId="7988" xr:uid="{03622187-CF8D-4337-B24E-147A865BE665}"/>
    <cellStyle name="Millares 4 3 2 5 3" xfId="5200" xr:uid="{A4CFD1C7-175C-4120-97DC-5C97569CF0C3}"/>
    <cellStyle name="Millares 4 3 2 5 3 2" xfId="6873" xr:uid="{63DDE946-77D2-4E2D-9ACC-C04F1E3BC785}"/>
    <cellStyle name="Millares 4 3 2 5 3 3" xfId="8545" xr:uid="{ED62476B-F208-4AEB-90B0-24F7B0603399}"/>
    <cellStyle name="Millares 4 3 2 5 4" xfId="5758" xr:uid="{F9B0D4B5-F984-4DAA-A914-3362935C04D1}"/>
    <cellStyle name="Millares 4 3 2 5 5" xfId="7430" xr:uid="{E9B29F05-12C6-4550-883E-D6EC00C9A5B5}"/>
    <cellStyle name="Millares 4 3 2 5 6" xfId="9102" xr:uid="{A338A4B0-C1DA-49A2-B8B5-7D2B9DD5C415}"/>
    <cellStyle name="Millares 4 3 2 6" xfId="3365" xr:uid="{C7EA2F53-514D-4EE1-9348-56920029EF3C}"/>
    <cellStyle name="Millares 4 3 2 6 2" xfId="4644" xr:uid="{AE5B7383-01E6-41CE-BBE8-A0BA64B2E7C1}"/>
    <cellStyle name="Millares 4 3 2 6 2 2" xfId="6317" xr:uid="{333DE4EF-8235-46CE-BC26-CC80B6EB1942}"/>
    <cellStyle name="Millares 4 3 2 6 2 3" xfId="7989" xr:uid="{1884C052-1E0F-4CBA-8B76-93F5DA874242}"/>
    <cellStyle name="Millares 4 3 2 6 3" xfId="5201" xr:uid="{810CF21F-5EF2-4757-80BF-C61BDDA1D0C0}"/>
    <cellStyle name="Millares 4 3 2 6 3 2" xfId="6874" xr:uid="{861B6D15-D82B-4F2A-A8BA-78CC57EB34AF}"/>
    <cellStyle name="Millares 4 3 2 6 3 3" xfId="8546" xr:uid="{851237D2-2141-4FEC-869D-148B6A337984}"/>
    <cellStyle name="Millares 4 3 2 6 4" xfId="5759" xr:uid="{1DDB629D-ABD3-48BD-BDE8-36C5CB23D177}"/>
    <cellStyle name="Millares 4 3 2 6 5" xfId="7431" xr:uid="{5E0A7EB7-1661-4146-8315-16BCA86167B6}"/>
    <cellStyle name="Millares 4 3 2 6 6" xfId="9103" xr:uid="{BFF74057-56B6-4755-BD8F-1B8A1ECEC62B}"/>
    <cellStyle name="Millares 4 3 2 7" xfId="3366" xr:uid="{9C6F023C-E730-4F77-B451-841DBB5CCC5C}"/>
    <cellStyle name="Millares 4 3 2 7 2" xfId="4645" xr:uid="{A7E0C2B6-6830-4836-B260-9A3179DFF5F1}"/>
    <cellStyle name="Millares 4 3 2 7 2 2" xfId="6318" xr:uid="{26A4A8BA-C8F3-4B96-8B34-965CA633C876}"/>
    <cellStyle name="Millares 4 3 2 7 2 3" xfId="7990" xr:uid="{294C0A66-4D42-4EE6-A3B5-84F697FAD473}"/>
    <cellStyle name="Millares 4 3 2 7 3" xfId="5202" xr:uid="{28EEAD5B-374D-4B70-91C4-FA4B26C30702}"/>
    <cellStyle name="Millares 4 3 2 7 3 2" xfId="6875" xr:uid="{F2C83517-7764-4C52-AC64-1A651971B675}"/>
    <cellStyle name="Millares 4 3 2 7 3 3" xfId="8547" xr:uid="{83C39130-2ABC-40D5-BBFE-09FE6DEBEF67}"/>
    <cellStyle name="Millares 4 3 2 7 4" xfId="5760" xr:uid="{A841FC69-1918-4A6F-8FCA-BC1592AC9840}"/>
    <cellStyle name="Millares 4 3 2 7 5" xfId="7432" xr:uid="{14EF2805-9D65-4F40-9FD8-0162D11D01F2}"/>
    <cellStyle name="Millares 4 3 2 7 6" xfId="9104" xr:uid="{ADEFDD48-896C-4D31-AFE3-108B3FC05C57}"/>
    <cellStyle name="Millares 4 3 2 8" xfId="3367" xr:uid="{E5C097DE-E75F-4E05-B9DF-0D69EC4E9477}"/>
    <cellStyle name="Millares 4 3 2 8 2" xfId="4646" xr:uid="{A7B357A1-849C-4677-B94A-A51AD4052614}"/>
    <cellStyle name="Millares 4 3 2 8 2 2" xfId="6319" xr:uid="{BAC50989-94A7-4019-BFE4-FE3E23937364}"/>
    <cellStyle name="Millares 4 3 2 8 2 3" xfId="7991" xr:uid="{B6475125-EB0B-4455-88FE-FE98E9A4F479}"/>
    <cellStyle name="Millares 4 3 2 8 3" xfId="5203" xr:uid="{42786732-C6A7-4EB4-86E9-2718B6C95590}"/>
    <cellStyle name="Millares 4 3 2 8 3 2" xfId="6876" xr:uid="{4D90CF7C-0805-4490-9999-AC92D53DDF7F}"/>
    <cellStyle name="Millares 4 3 2 8 3 3" xfId="8548" xr:uid="{86B27A8E-0974-4F96-847D-74BA058A03CA}"/>
    <cellStyle name="Millares 4 3 2 8 4" xfId="5761" xr:uid="{01C57BD7-0CBE-414A-B36F-8204DFE556FC}"/>
    <cellStyle name="Millares 4 3 2 8 5" xfId="7433" xr:uid="{60E5F732-AA2A-45F1-8FF5-A4F7B591B973}"/>
    <cellStyle name="Millares 4 3 2 8 6" xfId="9105" xr:uid="{112428EB-CD15-477B-A9AC-0E1B71CDF12E}"/>
    <cellStyle name="Millares 4 3 2 9" xfId="3368" xr:uid="{328734B4-6F2E-4EE4-A11A-8702586F5FCF}"/>
    <cellStyle name="Millares 4 3 2 9 2" xfId="4647" xr:uid="{54B7EFAB-35D9-41EC-88B8-6AE2EC8FC178}"/>
    <cellStyle name="Millares 4 3 2 9 2 2" xfId="6320" xr:uid="{EE4785BC-12AA-427E-BE45-E80EC413B6A2}"/>
    <cellStyle name="Millares 4 3 2 9 2 3" xfId="7992" xr:uid="{99077B2A-9584-42FF-AF1F-C492E05D2AF1}"/>
    <cellStyle name="Millares 4 3 2 9 3" xfId="5204" xr:uid="{F5BED339-2E8C-455F-982F-D7D9F1F85143}"/>
    <cellStyle name="Millares 4 3 2 9 3 2" xfId="6877" xr:uid="{4B5C906D-D7D8-42EB-87CB-7E5659D693F4}"/>
    <cellStyle name="Millares 4 3 2 9 3 3" xfId="8549" xr:uid="{60FA7C1E-6787-4490-B679-2F6D703CD05A}"/>
    <cellStyle name="Millares 4 3 2 9 4" xfId="5762" xr:uid="{74AE9903-8326-4174-AA3A-153AC1F67FE2}"/>
    <cellStyle name="Millares 4 3 2 9 5" xfId="7434" xr:uid="{7207A363-B125-4779-9218-B1864848BFC9}"/>
    <cellStyle name="Millares 4 3 2 9 6" xfId="9106" xr:uid="{29DDDF52-FB91-4F3D-8721-5FE05E4AEDF1}"/>
    <cellStyle name="Millares 4 3 3" xfId="3369" xr:uid="{38A8BAB6-7A01-40E6-8CD5-1ED05C74385D}"/>
    <cellStyle name="Millares 4 3 3 10" xfId="3370" xr:uid="{A75B7437-4A95-4D23-A58A-30DD46A97291}"/>
    <cellStyle name="Millares 4 3 3 10 2" xfId="4649" xr:uid="{F63E2EC1-19DC-4649-8F68-982BE664F1FE}"/>
    <cellStyle name="Millares 4 3 3 10 2 2" xfId="6322" xr:uid="{F118F415-8E1D-4EA1-A625-7285D6D75A93}"/>
    <cellStyle name="Millares 4 3 3 10 2 3" xfId="7994" xr:uid="{EBC796D0-8064-4B2F-9C0B-CD50587E5695}"/>
    <cellStyle name="Millares 4 3 3 10 3" xfId="5206" xr:uid="{AFC45DC3-68F8-433C-98EE-E1F359D59D83}"/>
    <cellStyle name="Millares 4 3 3 10 3 2" xfId="6879" xr:uid="{26D9BBC2-5C00-47F8-BF87-D6530FE7EDD6}"/>
    <cellStyle name="Millares 4 3 3 10 3 3" xfId="8551" xr:uid="{08CAF74F-6A4A-4659-8A65-4CE59DB6B426}"/>
    <cellStyle name="Millares 4 3 3 10 4" xfId="5764" xr:uid="{E962031A-F028-4E2D-85FC-80496B80EF55}"/>
    <cellStyle name="Millares 4 3 3 10 5" xfId="7436" xr:uid="{C5E42777-04D7-419D-90AD-6905F7CC98CD}"/>
    <cellStyle name="Millares 4 3 3 10 6" xfId="9108" xr:uid="{6CDAE989-FDCB-435D-A78F-6E3167885E75}"/>
    <cellStyle name="Millares 4 3 3 11" xfId="4648" xr:uid="{F1E7D60B-7196-4BBF-A281-78AEEE978320}"/>
    <cellStyle name="Millares 4 3 3 11 2" xfId="6321" xr:uid="{941784AB-2F15-4AFB-BF94-858C783ECF19}"/>
    <cellStyle name="Millares 4 3 3 11 3" xfId="7993" xr:uid="{B177294F-93C1-4B37-B314-897A8E207713}"/>
    <cellStyle name="Millares 4 3 3 12" xfId="5205" xr:uid="{97872236-1F08-49B7-851B-72993B138010}"/>
    <cellStyle name="Millares 4 3 3 12 2" xfId="6878" xr:uid="{D9A7FAAD-F55F-4053-AAF4-AE4AD3645CCC}"/>
    <cellStyle name="Millares 4 3 3 12 3" xfId="8550" xr:uid="{2C9EC3D9-C9AA-49DB-B933-933769CA22AE}"/>
    <cellStyle name="Millares 4 3 3 13" xfId="5763" xr:uid="{AEECCEE4-E4AC-4BD2-A2A7-6C8EE28D5A2E}"/>
    <cellStyle name="Millares 4 3 3 14" xfId="7435" xr:uid="{C6B34739-0A0E-40E8-9A0F-5C2934AEEE6B}"/>
    <cellStyle name="Millares 4 3 3 15" xfId="9107" xr:uid="{E8F2A861-CF38-49A5-B9D8-D8129EA7323D}"/>
    <cellStyle name="Millares 4 3 3 2" xfId="3371" xr:uid="{7FB87185-ABC1-4E72-82F6-F18B00FD0FFD}"/>
    <cellStyle name="Millares 4 3 3 2 2" xfId="4650" xr:uid="{E6DE4FD6-CF3B-4307-BDFD-2CF1EFD8625A}"/>
    <cellStyle name="Millares 4 3 3 2 2 2" xfId="6323" xr:uid="{315959BA-DA5E-4D6C-B138-E70D07FD48BB}"/>
    <cellStyle name="Millares 4 3 3 2 2 3" xfId="7995" xr:uid="{DF2F54D5-263B-4492-8CED-56EA156D2358}"/>
    <cellStyle name="Millares 4 3 3 2 3" xfId="5207" xr:uid="{7F4AF8AC-00AF-4309-B236-B976121FB08E}"/>
    <cellStyle name="Millares 4 3 3 2 3 2" xfId="6880" xr:uid="{D682E34B-41B9-48D0-ABA4-4DC8C2C69C72}"/>
    <cellStyle name="Millares 4 3 3 2 3 3" xfId="8552" xr:uid="{98AB782E-9168-4A7A-9F43-43F5D99E621E}"/>
    <cellStyle name="Millares 4 3 3 2 4" xfId="5765" xr:uid="{0FB116E1-EC8E-46F6-9F59-6AB817C50B4F}"/>
    <cellStyle name="Millares 4 3 3 2 5" xfId="7437" xr:uid="{BE246EAD-412B-4B04-961A-083F0C6FF5ED}"/>
    <cellStyle name="Millares 4 3 3 2 6" xfId="9109" xr:uid="{6D363A0D-F065-4600-B8EC-91C63E35B512}"/>
    <cellStyle name="Millares 4 3 3 3" xfId="3372" xr:uid="{0991BF63-5499-4502-AC91-EB59B972D5E5}"/>
    <cellStyle name="Millares 4 3 3 3 2" xfId="4651" xr:uid="{46C3CA9F-A793-4DCA-90EE-E7CFA6DA5B31}"/>
    <cellStyle name="Millares 4 3 3 3 2 2" xfId="6324" xr:uid="{2BDB09AB-3B06-4DE9-8894-8804E40AE30B}"/>
    <cellStyle name="Millares 4 3 3 3 2 3" xfId="7996" xr:uid="{37148E6F-B471-4079-84E4-B169C94D7A9A}"/>
    <cellStyle name="Millares 4 3 3 3 3" xfId="5208" xr:uid="{E766396A-34A9-4CD4-9E50-40A97465093A}"/>
    <cellStyle name="Millares 4 3 3 3 3 2" xfId="6881" xr:uid="{4F90A843-F3C9-4823-B4AC-3B0CFD2C8E07}"/>
    <cellStyle name="Millares 4 3 3 3 3 3" xfId="8553" xr:uid="{74FB0265-919E-4BE4-A25E-1D8306F2227A}"/>
    <cellStyle name="Millares 4 3 3 3 4" xfId="5766" xr:uid="{D1D0DCB4-6369-460C-BD71-B01682ECC6F8}"/>
    <cellStyle name="Millares 4 3 3 3 5" xfId="7438" xr:uid="{D18D6E2B-E852-45B2-9596-A82E7BF230F7}"/>
    <cellStyle name="Millares 4 3 3 3 6" xfId="9110" xr:uid="{56E318ED-6C3E-4DC4-88ED-DF6AE6BEC45C}"/>
    <cellStyle name="Millares 4 3 3 4" xfId="3373" xr:uid="{1DB2D07F-19F1-4406-844E-7078E8FB6A94}"/>
    <cellStyle name="Millares 4 3 3 4 2" xfId="4652" xr:uid="{027E9E0E-0C3C-4BC0-89F4-449DA4BC3909}"/>
    <cellStyle name="Millares 4 3 3 4 2 2" xfId="6325" xr:uid="{43BDB874-8754-47CA-AD8C-894C642954BC}"/>
    <cellStyle name="Millares 4 3 3 4 2 3" xfId="7997" xr:uid="{A9A49F18-62FF-426A-8BBA-2ACAF709072E}"/>
    <cellStyle name="Millares 4 3 3 4 3" xfId="5209" xr:uid="{B7A3FB91-D929-4780-8F41-D2ECF3CA9020}"/>
    <cellStyle name="Millares 4 3 3 4 3 2" xfId="6882" xr:uid="{EA2EC8E6-8C03-4318-8F86-5047860DFA7C}"/>
    <cellStyle name="Millares 4 3 3 4 3 3" xfId="8554" xr:uid="{DB5CED6D-432C-44E6-A9C0-C39BC0D3F689}"/>
    <cellStyle name="Millares 4 3 3 4 4" xfId="5767" xr:uid="{B6C1F37C-49B2-4F0C-9754-936F854782FD}"/>
    <cellStyle name="Millares 4 3 3 4 5" xfId="7439" xr:uid="{98EC8C80-B20F-4EDB-A060-7EF53BEF9803}"/>
    <cellStyle name="Millares 4 3 3 4 6" xfId="9111" xr:uid="{44D52BEA-F818-4CE3-9D7E-08265EEB249F}"/>
    <cellStyle name="Millares 4 3 3 5" xfId="3374" xr:uid="{4A79F4DC-5F90-4D27-8CBA-0C13676B1DBF}"/>
    <cellStyle name="Millares 4 3 3 5 2" xfId="4653" xr:uid="{0CEA7407-E4D9-4717-8FDB-3D93C6CDCABA}"/>
    <cellStyle name="Millares 4 3 3 5 2 2" xfId="6326" xr:uid="{9F15B5B7-E02B-4B49-AB9D-79E1CF84A3B5}"/>
    <cellStyle name="Millares 4 3 3 5 2 3" xfId="7998" xr:uid="{FC277579-B223-4BD6-9245-1AFFD2EED64B}"/>
    <cellStyle name="Millares 4 3 3 5 3" xfId="5210" xr:uid="{DC2465E2-28FB-40E0-B365-18F6E25F79EB}"/>
    <cellStyle name="Millares 4 3 3 5 3 2" xfId="6883" xr:uid="{CCB8DA38-E5A7-4D73-8301-51CD9641C6AA}"/>
    <cellStyle name="Millares 4 3 3 5 3 3" xfId="8555" xr:uid="{D900E43E-D10B-44C3-9049-4279B6181736}"/>
    <cellStyle name="Millares 4 3 3 5 4" xfId="5768" xr:uid="{354E4CD9-BC7C-4F63-8E42-F32DEA6C6A3E}"/>
    <cellStyle name="Millares 4 3 3 5 5" xfId="7440" xr:uid="{A54E305A-6FF1-4F5D-8ECA-2A475451E227}"/>
    <cellStyle name="Millares 4 3 3 5 6" xfId="9112" xr:uid="{2E6B9FF3-28EC-496F-9ACD-DD3136E86683}"/>
    <cellStyle name="Millares 4 3 3 6" xfId="3375" xr:uid="{2B53CE8D-5E0E-4CC0-914E-F9146AF379F9}"/>
    <cellStyle name="Millares 4 3 3 6 2" xfId="4654" xr:uid="{1735A498-04B2-4E03-811F-217BC832B86A}"/>
    <cellStyle name="Millares 4 3 3 6 2 2" xfId="6327" xr:uid="{48D68FC1-A1B2-4CF9-B414-FEEDCB476A26}"/>
    <cellStyle name="Millares 4 3 3 6 2 3" xfId="7999" xr:uid="{835B10C3-7E5C-44AE-971A-D799A3E4644A}"/>
    <cellStyle name="Millares 4 3 3 6 3" xfId="5211" xr:uid="{64C9E847-B082-4262-B93C-7DDA12DEC7D2}"/>
    <cellStyle name="Millares 4 3 3 6 3 2" xfId="6884" xr:uid="{58E9FF8F-7040-43BD-A0E9-5580595E4A65}"/>
    <cellStyle name="Millares 4 3 3 6 3 3" xfId="8556" xr:uid="{AFAC784C-9B5B-4634-BA8E-976EFC60A93B}"/>
    <cellStyle name="Millares 4 3 3 6 4" xfId="5769" xr:uid="{3B52E975-CDE2-489E-8797-72EF9F810ACE}"/>
    <cellStyle name="Millares 4 3 3 6 5" xfId="7441" xr:uid="{3894555B-1AA5-4DDD-9081-75086FBFFF6B}"/>
    <cellStyle name="Millares 4 3 3 6 6" xfId="9113" xr:uid="{6BE7FED9-7474-4F5E-A7D3-40A4CC53B5E5}"/>
    <cellStyle name="Millares 4 3 3 7" xfId="3376" xr:uid="{42374A84-A84F-41CB-BE66-1678C731AF57}"/>
    <cellStyle name="Millares 4 3 3 7 2" xfId="4655" xr:uid="{FEDD3F27-C88F-445B-AEF0-405D0795BE05}"/>
    <cellStyle name="Millares 4 3 3 7 2 2" xfId="6328" xr:uid="{CD81FAC2-7B54-4664-B0EA-5D3CFB2B2692}"/>
    <cellStyle name="Millares 4 3 3 7 2 3" xfId="8000" xr:uid="{DE92AF59-5A74-45F9-9E51-14734348D343}"/>
    <cellStyle name="Millares 4 3 3 7 3" xfId="5212" xr:uid="{70E69084-C16B-41BD-88E3-F01A30709FFF}"/>
    <cellStyle name="Millares 4 3 3 7 3 2" xfId="6885" xr:uid="{CD0F7989-073B-43C2-BD98-D744632AEADB}"/>
    <cellStyle name="Millares 4 3 3 7 3 3" xfId="8557" xr:uid="{88E4AF14-1D16-49BD-B128-668F95D6C3E7}"/>
    <cellStyle name="Millares 4 3 3 7 4" xfId="5770" xr:uid="{E3F39E30-7DF5-4D0B-8356-FD89146928A4}"/>
    <cellStyle name="Millares 4 3 3 7 5" xfId="7442" xr:uid="{32915A0F-D9D7-4B84-A4A6-9CE08A042F36}"/>
    <cellStyle name="Millares 4 3 3 7 6" xfId="9114" xr:uid="{39098856-B41B-4943-960F-96987F0B515E}"/>
    <cellStyle name="Millares 4 3 3 8" xfId="3377" xr:uid="{EC1B0C18-0A60-42FB-828D-3D9F8D3CA072}"/>
    <cellStyle name="Millares 4 3 3 8 2" xfId="4656" xr:uid="{CFB17ED0-D1D3-4A8A-8729-8CD68B39B3C9}"/>
    <cellStyle name="Millares 4 3 3 8 2 2" xfId="6329" xr:uid="{0D82C8E9-3BDB-4999-AEC3-5192932D8291}"/>
    <cellStyle name="Millares 4 3 3 8 2 3" xfId="8001" xr:uid="{7C4A0E64-6A46-4D3B-8EC2-6F196429902B}"/>
    <cellStyle name="Millares 4 3 3 8 3" xfId="5213" xr:uid="{DFE7F264-A430-4C26-B7B9-890D7AA2A2D1}"/>
    <cellStyle name="Millares 4 3 3 8 3 2" xfId="6886" xr:uid="{A9666447-BB36-45A7-B711-DC32F1A01009}"/>
    <cellStyle name="Millares 4 3 3 8 3 3" xfId="8558" xr:uid="{22CB0E9C-DFB7-453F-9C13-C99F1232EDFC}"/>
    <cellStyle name="Millares 4 3 3 8 4" xfId="5771" xr:uid="{D8B74065-8657-432F-AE83-B9DDE4866A30}"/>
    <cellStyle name="Millares 4 3 3 8 5" xfId="7443" xr:uid="{00126501-7F2A-402B-BD27-426CE315F02B}"/>
    <cellStyle name="Millares 4 3 3 8 6" xfId="9115" xr:uid="{29BBC898-F718-4AD4-8B82-FA8B1D194A2B}"/>
    <cellStyle name="Millares 4 3 3 9" xfId="3378" xr:uid="{5B133F9B-6462-471B-8799-DA4E729E8344}"/>
    <cellStyle name="Millares 4 3 3 9 2" xfId="4657" xr:uid="{FED23BA1-E8E3-4549-8BF3-0CC707ED43B4}"/>
    <cellStyle name="Millares 4 3 3 9 2 2" xfId="6330" xr:uid="{F0EAFD2D-432B-46A0-A184-FB8A143793A7}"/>
    <cellStyle name="Millares 4 3 3 9 2 3" xfId="8002" xr:uid="{44B58149-E082-43C7-B809-F226AB27D862}"/>
    <cellStyle name="Millares 4 3 3 9 3" xfId="5214" xr:uid="{16A4BC70-9361-4F77-9865-F53F4D631C63}"/>
    <cellStyle name="Millares 4 3 3 9 3 2" xfId="6887" xr:uid="{CBE2ECC2-3DC0-4894-A368-E37791E5D5EC}"/>
    <cellStyle name="Millares 4 3 3 9 3 3" xfId="8559" xr:uid="{A1CA8FE5-F128-4CCA-A238-1BE3821273D9}"/>
    <cellStyle name="Millares 4 3 3 9 4" xfId="5772" xr:uid="{6B09C27B-2E1F-4B50-A2AC-3CB8D32E0580}"/>
    <cellStyle name="Millares 4 3 3 9 5" xfId="7444" xr:uid="{9D346FB1-6C82-404B-A4FA-7E6D6E78D40C}"/>
    <cellStyle name="Millares 4 3 3 9 6" xfId="9116" xr:uid="{02C387EA-336C-494D-9CDC-31772CDC459B}"/>
    <cellStyle name="Millares 4 3 4" xfId="3379" xr:uid="{857D537A-4DE8-4B11-AA4E-E7EF92E7AB42}"/>
    <cellStyle name="Millares 4 3 4 2" xfId="4658" xr:uid="{BEED9BF1-CB9E-4FC3-9780-D8932545D82B}"/>
    <cellStyle name="Millares 4 3 4 2 2" xfId="6331" xr:uid="{C1D8E354-1D23-4173-872B-F5EB3FE7DF93}"/>
    <cellStyle name="Millares 4 3 4 2 3" xfId="8003" xr:uid="{714D2BAB-D551-40EB-BFE7-1345EA20E363}"/>
    <cellStyle name="Millares 4 3 4 3" xfId="5215" xr:uid="{0B9EB707-A289-4672-97BB-CA8CCBEF68AD}"/>
    <cellStyle name="Millares 4 3 4 3 2" xfId="6888" xr:uid="{6ADBF557-2F1B-47BD-BFF2-D93950B6CEA2}"/>
    <cellStyle name="Millares 4 3 4 3 3" xfId="8560" xr:uid="{612D1239-B702-4D81-9E50-1AD35385A933}"/>
    <cellStyle name="Millares 4 3 4 4" xfId="5773" xr:uid="{DC2CF0A5-1D88-4F59-BD79-23A5313F3983}"/>
    <cellStyle name="Millares 4 3 4 5" xfId="7445" xr:uid="{98C86296-E7EF-43D4-8804-726310A8543D}"/>
    <cellStyle name="Millares 4 3 4 6" xfId="9117" xr:uid="{90054DE8-5F65-4BBA-BEE9-466CDAC9D13E}"/>
    <cellStyle name="Millares 4 3 5" xfId="3380" xr:uid="{541B0DA8-B0B7-483A-9EB6-EEFE82F5EABC}"/>
    <cellStyle name="Millares 4 3 5 2" xfId="4659" xr:uid="{FE28179B-07AC-4D6E-BB2D-2EC149FDE105}"/>
    <cellStyle name="Millares 4 3 5 2 2" xfId="6332" xr:uid="{CFC8D30C-BB50-477F-90CA-52667646FDD3}"/>
    <cellStyle name="Millares 4 3 5 2 3" xfId="8004" xr:uid="{F1F6B12D-C014-4CA3-BD3A-15A585ECC17B}"/>
    <cellStyle name="Millares 4 3 5 3" xfId="5216" xr:uid="{F28CC002-7CE0-43D0-B868-B04257613732}"/>
    <cellStyle name="Millares 4 3 5 3 2" xfId="6889" xr:uid="{8CFBF0E8-CF7A-4EC1-A86E-BD394E81159E}"/>
    <cellStyle name="Millares 4 3 5 3 3" xfId="8561" xr:uid="{D16A38EE-BEB3-454F-8A7F-D899E0CB96C6}"/>
    <cellStyle name="Millares 4 3 5 4" xfId="5774" xr:uid="{22CBE120-1CD4-4B51-AB04-EC3F495DC0D7}"/>
    <cellStyle name="Millares 4 3 5 5" xfId="7446" xr:uid="{F182412E-A370-4F0D-8AD5-62647897577B}"/>
    <cellStyle name="Millares 4 3 5 6" xfId="9118" xr:uid="{E325852D-5D90-4E84-944C-1FF92A1C825B}"/>
    <cellStyle name="Millares 4 3 6" xfId="3381" xr:uid="{17A54ACB-1EBF-4100-95B9-C5AA2D22EBDC}"/>
    <cellStyle name="Millares 4 3 6 2" xfId="4660" xr:uid="{E0E2072A-9DAC-4368-A932-A6A3FF94A176}"/>
    <cellStyle name="Millares 4 3 6 2 2" xfId="6333" xr:uid="{F95B875A-6F8E-4731-A57A-0E6B923F9597}"/>
    <cellStyle name="Millares 4 3 6 2 3" xfId="8005" xr:uid="{6F63CAE8-F377-45FA-A1B8-DD0B2C9150E5}"/>
    <cellStyle name="Millares 4 3 6 3" xfId="5217" xr:uid="{28F4F39C-9F9A-44E9-8D69-7D3B56C75C72}"/>
    <cellStyle name="Millares 4 3 6 3 2" xfId="6890" xr:uid="{4BA87CDC-3A51-447D-BE69-57EB12D7A316}"/>
    <cellStyle name="Millares 4 3 6 3 3" xfId="8562" xr:uid="{A4072463-22BC-4588-B3C7-9CECAE3A65BF}"/>
    <cellStyle name="Millares 4 3 6 4" xfId="5775" xr:uid="{B54CF352-170A-4D25-ABA3-0F04162762EA}"/>
    <cellStyle name="Millares 4 3 6 5" xfId="7447" xr:uid="{7822B21C-3B84-4D89-9D55-3BE6FAA6A756}"/>
    <cellStyle name="Millares 4 3 6 6" xfId="9119" xr:uid="{2C747DCE-0888-4892-BAE9-747DDCB2E7A9}"/>
    <cellStyle name="Millares 4 3 7" xfId="3382" xr:uid="{04E61768-ADDE-4AB2-B1F1-5E70E38290DD}"/>
    <cellStyle name="Millares 4 3 7 2" xfId="4661" xr:uid="{60378F1B-F22A-463E-9AEA-030662A89078}"/>
    <cellStyle name="Millares 4 3 7 2 2" xfId="6334" xr:uid="{7B1DD2A5-1E17-4EEE-A5EE-8E0060DF85CE}"/>
    <cellStyle name="Millares 4 3 7 2 3" xfId="8006" xr:uid="{9D7B2F77-6D05-41D6-B5E0-3D65C814B88A}"/>
    <cellStyle name="Millares 4 3 7 3" xfId="5218" xr:uid="{74A28BCB-02B6-498C-A344-CFF975A939A5}"/>
    <cellStyle name="Millares 4 3 7 3 2" xfId="6891" xr:uid="{DC872FF8-2681-4853-9F45-C52083216A56}"/>
    <cellStyle name="Millares 4 3 7 3 3" xfId="8563" xr:uid="{EA910BCF-6C0C-43F8-BF13-4E3AD95D9E5E}"/>
    <cellStyle name="Millares 4 3 7 4" xfId="5776" xr:uid="{4610ADE6-DADA-47FE-ADAE-1757EC3EECDB}"/>
    <cellStyle name="Millares 4 3 7 5" xfId="7448" xr:uid="{1716FDF5-B85B-42BB-872F-ED55F0B2F50C}"/>
    <cellStyle name="Millares 4 3 7 6" xfId="9120" xr:uid="{80286520-336D-469A-91C3-04FA52539FA7}"/>
    <cellStyle name="Millares 4 3 8" xfId="3383" xr:uid="{2E81988D-FE49-4273-B49A-BABD35F19C04}"/>
    <cellStyle name="Millares 4 3 8 2" xfId="4662" xr:uid="{61DE3D80-EB17-4456-8EAD-EB0C76C1EC99}"/>
    <cellStyle name="Millares 4 3 8 2 2" xfId="6335" xr:uid="{C263E144-BAE7-4201-B816-E601650D83B0}"/>
    <cellStyle name="Millares 4 3 8 2 3" xfId="8007" xr:uid="{A0DFD240-C3AA-4B30-A604-50C00C93324E}"/>
    <cellStyle name="Millares 4 3 8 3" xfId="5219" xr:uid="{75099B9E-DE03-4F22-AF9C-D037DDB14A8F}"/>
    <cellStyle name="Millares 4 3 8 3 2" xfId="6892" xr:uid="{26E3902A-E70F-412C-821A-0C5CA5738E45}"/>
    <cellStyle name="Millares 4 3 8 3 3" xfId="8564" xr:uid="{80413AAA-7DD8-49E9-B18D-0A532B4655E2}"/>
    <cellStyle name="Millares 4 3 8 4" xfId="5777" xr:uid="{2722987A-A368-43FD-8A51-C4825AD55984}"/>
    <cellStyle name="Millares 4 3 8 5" xfId="7449" xr:uid="{B2D9C381-CB09-4992-B172-599B23AAF621}"/>
    <cellStyle name="Millares 4 3 8 6" xfId="9121" xr:uid="{63885FC4-C7B2-4361-A927-4B7461F88384}"/>
    <cellStyle name="Millares 4 3 9" xfId="3384" xr:uid="{12DE6AFD-F258-45C7-AB87-0574A1A154C1}"/>
    <cellStyle name="Millares 4 3 9 2" xfId="4663" xr:uid="{66077355-599E-47FD-AE6B-C38B5EF1B476}"/>
    <cellStyle name="Millares 4 3 9 2 2" xfId="6336" xr:uid="{C3CDC6D3-5268-424F-8E74-63FF30A7D97A}"/>
    <cellStyle name="Millares 4 3 9 2 3" xfId="8008" xr:uid="{35A4F757-15FE-43E8-8A2A-A48D2EF2E03C}"/>
    <cellStyle name="Millares 4 3 9 3" xfId="5220" xr:uid="{75D3C84F-2EDA-42A0-A6B6-2998C5B56D9C}"/>
    <cellStyle name="Millares 4 3 9 3 2" xfId="6893" xr:uid="{8FB4ED97-BDE0-4738-9A85-15560702FF59}"/>
    <cellStyle name="Millares 4 3 9 3 3" xfId="8565" xr:uid="{899A8381-4AB2-4DAC-BDA6-1C597448FB8A}"/>
    <cellStyle name="Millares 4 3 9 4" xfId="5778" xr:uid="{116BB019-A24D-4BF0-852D-554B2284DB91}"/>
    <cellStyle name="Millares 4 3 9 5" xfId="7450" xr:uid="{F82BA345-7605-4620-938B-9A36D5B770E0}"/>
    <cellStyle name="Millares 4 3 9 6" xfId="9122" xr:uid="{D3EE7EC6-94A5-494D-A17C-4DF84E5A36CA}"/>
    <cellStyle name="Millares 4 4" xfId="3385" xr:uid="{AA87FF68-40EC-4F3B-92EB-F8BD3260A53A}"/>
    <cellStyle name="Millares 4 4 10" xfId="3386" xr:uid="{4341D1A2-721C-4A50-B011-1603D584BAC2}"/>
    <cellStyle name="Millares 4 4 10 2" xfId="4665" xr:uid="{C8C35823-2174-4BA7-A7AD-90C48C1B5657}"/>
    <cellStyle name="Millares 4 4 10 2 2" xfId="6338" xr:uid="{F65D950B-B9CE-4A6D-9449-2EA5ED520253}"/>
    <cellStyle name="Millares 4 4 10 2 3" xfId="8010" xr:uid="{6F7F97D6-D85E-4DEA-BF5C-53A48B1D0378}"/>
    <cellStyle name="Millares 4 4 10 3" xfId="5222" xr:uid="{F3744385-C9C0-4A5B-8A76-EDFC42015DE4}"/>
    <cellStyle name="Millares 4 4 10 3 2" xfId="6895" xr:uid="{2228B4CE-A3AB-43E9-BF7F-EBE69E058C46}"/>
    <cellStyle name="Millares 4 4 10 3 3" xfId="8567" xr:uid="{8799BF74-D5EB-4444-A63D-4255B45A6E3B}"/>
    <cellStyle name="Millares 4 4 10 4" xfId="5780" xr:uid="{6A63F2C1-93CF-4136-81C1-DCC8FC5990FE}"/>
    <cellStyle name="Millares 4 4 10 5" xfId="7452" xr:uid="{C723E9B6-CC53-4293-9C34-959550C25E60}"/>
    <cellStyle name="Millares 4 4 10 6" xfId="9124" xr:uid="{59132338-A1D7-4962-B2CA-391F34F5CAED}"/>
    <cellStyle name="Millares 4 4 11" xfId="4664" xr:uid="{0DA79F13-CA48-4941-B7E7-DA866634E9CB}"/>
    <cellStyle name="Millares 4 4 11 2" xfId="6337" xr:uid="{F5FB32C1-FF85-4C1E-A2C6-E495167F0D4E}"/>
    <cellStyle name="Millares 4 4 11 3" xfId="8009" xr:uid="{7685EA80-3886-4CF2-B308-7DE13A21674D}"/>
    <cellStyle name="Millares 4 4 12" xfId="5221" xr:uid="{5AFC2D33-CB74-4A13-B951-9AF63348ED0F}"/>
    <cellStyle name="Millares 4 4 12 2" xfId="6894" xr:uid="{EFFAD3D8-2FFD-4AFC-9B94-338D0FC15395}"/>
    <cellStyle name="Millares 4 4 12 3" xfId="8566" xr:uid="{06F55EB0-A61C-4ECA-A257-FB7649D03CC3}"/>
    <cellStyle name="Millares 4 4 13" xfId="5779" xr:uid="{2C5D09E4-C0E2-4184-9653-5EDDAFCFEA06}"/>
    <cellStyle name="Millares 4 4 14" xfId="7451" xr:uid="{640E4535-1173-4A56-BFF2-D62AF5C470F5}"/>
    <cellStyle name="Millares 4 4 15" xfId="9123" xr:uid="{709306E2-F00F-47AE-99AE-74E56CC01C59}"/>
    <cellStyle name="Millares 4 4 2" xfId="3387" xr:uid="{39CA296E-E7B1-4E01-A7DD-42871A8268A0}"/>
    <cellStyle name="Millares 4 4 2 2" xfId="4666" xr:uid="{91882BAC-C8C9-4AB0-ABC1-B09D93B01697}"/>
    <cellStyle name="Millares 4 4 2 2 2" xfId="6339" xr:uid="{F64D7983-B3B4-4CF5-9388-E34C42679B5F}"/>
    <cellStyle name="Millares 4 4 2 2 3" xfId="8011" xr:uid="{DF19184A-41D5-42F2-B381-9AEB1E0D6230}"/>
    <cellStyle name="Millares 4 4 2 3" xfId="5223" xr:uid="{562D82B3-FFA0-4D15-8A7B-E707F1FFFC99}"/>
    <cellStyle name="Millares 4 4 2 3 2" xfId="6896" xr:uid="{5603139B-B014-444C-8C7D-29E60BA635AB}"/>
    <cellStyle name="Millares 4 4 2 3 3" xfId="8568" xr:uid="{14C529A7-E657-4C36-A3CE-74B7731D0050}"/>
    <cellStyle name="Millares 4 4 2 4" xfId="5781" xr:uid="{50DA72DA-F2C2-48BB-B049-7697DB1F08DF}"/>
    <cellStyle name="Millares 4 4 2 5" xfId="7453" xr:uid="{1CFF2626-3714-4F09-B94D-1E1F625D20E9}"/>
    <cellStyle name="Millares 4 4 2 6" xfId="9125" xr:uid="{740B6607-0334-40A3-8FCB-64B75E074166}"/>
    <cellStyle name="Millares 4 4 3" xfId="3388" xr:uid="{660E6142-8F37-4F9C-8484-0A6ADAE47019}"/>
    <cellStyle name="Millares 4 4 3 2" xfId="4667" xr:uid="{399D99EC-5050-48CD-8DDC-26047963DD14}"/>
    <cellStyle name="Millares 4 4 3 2 2" xfId="6340" xr:uid="{B5057BFE-71ED-4AC4-A398-9EBBDEA25987}"/>
    <cellStyle name="Millares 4 4 3 2 3" xfId="8012" xr:uid="{D76C2310-3C83-4859-89D4-B407EFDFD938}"/>
    <cellStyle name="Millares 4 4 3 3" xfId="5224" xr:uid="{26132B7A-BAEC-4A70-81FD-79D5CEB5A691}"/>
    <cellStyle name="Millares 4 4 3 3 2" xfId="6897" xr:uid="{8860C7B7-D264-4BF8-8D88-89CAFDF6CC9A}"/>
    <cellStyle name="Millares 4 4 3 3 3" xfId="8569" xr:uid="{5A012EF0-6D6B-418F-9327-BB919E74E552}"/>
    <cellStyle name="Millares 4 4 3 4" xfId="5782" xr:uid="{7ACA910D-C540-4F16-B02D-742F518FB55F}"/>
    <cellStyle name="Millares 4 4 3 5" xfId="7454" xr:uid="{3CF99620-D7E8-4723-AA90-1E0363961D0B}"/>
    <cellStyle name="Millares 4 4 3 6" xfId="9126" xr:uid="{1F899AA9-88B3-4160-B1C5-737C495F8139}"/>
    <cellStyle name="Millares 4 4 4" xfId="3389" xr:uid="{77344D44-5445-486F-84F7-AEC576FA6F9B}"/>
    <cellStyle name="Millares 4 4 4 2" xfId="4668" xr:uid="{D5B8C42B-F51E-4C6A-95CA-5982B3CDAE37}"/>
    <cellStyle name="Millares 4 4 4 2 2" xfId="6341" xr:uid="{64CA3540-A804-4934-97B4-BAA147BA04A5}"/>
    <cellStyle name="Millares 4 4 4 2 3" xfId="8013" xr:uid="{D08B7D0F-09A6-4FDF-9467-41D67DE721AF}"/>
    <cellStyle name="Millares 4 4 4 3" xfId="5225" xr:uid="{A1729957-AA3C-4929-BC04-CA4935861CAD}"/>
    <cellStyle name="Millares 4 4 4 3 2" xfId="6898" xr:uid="{FBB4D01B-CBE9-4E2F-B3C4-2642B0106BD9}"/>
    <cellStyle name="Millares 4 4 4 3 3" xfId="8570" xr:uid="{AA0956D2-4F48-40F5-AA4E-9A1D9FACEF90}"/>
    <cellStyle name="Millares 4 4 4 4" xfId="5783" xr:uid="{F47F58B1-58DF-492A-8F8F-68C5A755C9ED}"/>
    <cellStyle name="Millares 4 4 4 5" xfId="7455" xr:uid="{541CBF28-8C39-40B2-A068-2F6482C3549F}"/>
    <cellStyle name="Millares 4 4 4 6" xfId="9127" xr:uid="{3B67FB6B-0648-41CA-8F99-218A02DCDF1E}"/>
    <cellStyle name="Millares 4 4 5" xfId="3390" xr:uid="{99466E04-7EA9-4CF9-BFF3-A51305DAEAFB}"/>
    <cellStyle name="Millares 4 4 5 2" xfId="4669" xr:uid="{2BC5851C-B72B-47CC-B6D8-5C0581333203}"/>
    <cellStyle name="Millares 4 4 5 2 2" xfId="6342" xr:uid="{F2C810CC-10C8-4857-8C55-80EF5656C4F9}"/>
    <cellStyle name="Millares 4 4 5 2 3" xfId="8014" xr:uid="{F5BCAC5C-623A-4C09-95E9-729117A0E087}"/>
    <cellStyle name="Millares 4 4 5 3" xfId="5226" xr:uid="{2C7A4099-4073-434F-9F0A-3AB5C76A481E}"/>
    <cellStyle name="Millares 4 4 5 3 2" xfId="6899" xr:uid="{16BB3520-B6D6-4EB3-B780-DB9C5D09D4E4}"/>
    <cellStyle name="Millares 4 4 5 3 3" xfId="8571" xr:uid="{6B552A15-61EB-4EB9-AEB1-EE98C3132FBD}"/>
    <cellStyle name="Millares 4 4 5 4" xfId="5784" xr:uid="{28AEBA68-320E-4609-8C7B-75A60056AA82}"/>
    <cellStyle name="Millares 4 4 5 5" xfId="7456" xr:uid="{BBC1F22D-C7B5-46BF-8736-7A1E2AF10462}"/>
    <cellStyle name="Millares 4 4 5 6" xfId="9128" xr:uid="{B63858D6-12ED-4A78-B0B5-C126800FBA7B}"/>
    <cellStyle name="Millares 4 4 6" xfId="3391" xr:uid="{BAAFEE58-348B-4B8D-A965-36CDEBD82863}"/>
    <cellStyle name="Millares 4 4 6 2" xfId="4670" xr:uid="{B579ECA5-C14C-4723-96A7-2BF1581F43C0}"/>
    <cellStyle name="Millares 4 4 6 2 2" xfId="6343" xr:uid="{5FC2D01B-B9B8-4291-989D-767BFC74248D}"/>
    <cellStyle name="Millares 4 4 6 2 3" xfId="8015" xr:uid="{9DD05175-9CE9-478E-A737-71C08FE09AA4}"/>
    <cellStyle name="Millares 4 4 6 3" xfId="5227" xr:uid="{3659DDEB-F710-4F80-A2E7-088DF47C5FE2}"/>
    <cellStyle name="Millares 4 4 6 3 2" xfId="6900" xr:uid="{C867C5D5-695F-4A65-9896-4ED9E14CE68B}"/>
    <cellStyle name="Millares 4 4 6 3 3" xfId="8572" xr:uid="{83040DE3-BFDF-43AB-810E-2485610C2C81}"/>
    <cellStyle name="Millares 4 4 6 4" xfId="5785" xr:uid="{E2A3D885-6544-4547-8944-0E978B5D2738}"/>
    <cellStyle name="Millares 4 4 6 5" xfId="7457" xr:uid="{31CF072E-4DDD-4AA5-AE88-A3B8F111F087}"/>
    <cellStyle name="Millares 4 4 6 6" xfId="9129" xr:uid="{280F196A-1F5A-4838-B115-BA0A5CBF396C}"/>
    <cellStyle name="Millares 4 4 7" xfId="3392" xr:uid="{94B02856-65E8-45C0-B3C0-C6ECBFFDD934}"/>
    <cellStyle name="Millares 4 4 7 2" xfId="4671" xr:uid="{537B28D1-7359-4E98-90A7-3825181F3F5F}"/>
    <cellStyle name="Millares 4 4 7 2 2" xfId="6344" xr:uid="{1CC4DFDE-93C4-4CCA-BA6C-74AD9677F23B}"/>
    <cellStyle name="Millares 4 4 7 2 3" xfId="8016" xr:uid="{293B675C-0B2E-4ED5-B0D4-607096CA9821}"/>
    <cellStyle name="Millares 4 4 7 3" xfId="5228" xr:uid="{9E36A77A-E976-485E-AAA3-445D75447920}"/>
    <cellStyle name="Millares 4 4 7 3 2" xfId="6901" xr:uid="{2906C7F4-E0DC-4992-B64B-4517EC2E9C8B}"/>
    <cellStyle name="Millares 4 4 7 3 3" xfId="8573" xr:uid="{FB0C91AC-6BCE-4631-9DD6-A6734AD549F9}"/>
    <cellStyle name="Millares 4 4 7 4" xfId="5786" xr:uid="{FEBC35DB-06E7-4567-813B-DC43F5E4B9F1}"/>
    <cellStyle name="Millares 4 4 7 5" xfId="7458" xr:uid="{86B0C746-DB9B-4086-A4D7-AD8DB547BCC8}"/>
    <cellStyle name="Millares 4 4 7 6" xfId="9130" xr:uid="{BEB580C8-FF81-42F4-AC38-2A101B04F362}"/>
    <cellStyle name="Millares 4 4 8" xfId="3393" xr:uid="{2870D575-B15C-4844-A1BE-BE4BD4521C19}"/>
    <cellStyle name="Millares 4 4 8 2" xfId="4672" xr:uid="{AD17E8E8-AAF2-42B2-B6E3-903C0F353828}"/>
    <cellStyle name="Millares 4 4 8 2 2" xfId="6345" xr:uid="{AF4E2DD9-C20A-4CF8-96EE-343FC070492A}"/>
    <cellStyle name="Millares 4 4 8 2 3" xfId="8017" xr:uid="{0688F935-F49A-4F6E-95B0-B0D01C3EA540}"/>
    <cellStyle name="Millares 4 4 8 3" xfId="5229" xr:uid="{CA2BA584-C503-4961-8B5A-86B331F3CEC5}"/>
    <cellStyle name="Millares 4 4 8 3 2" xfId="6902" xr:uid="{2C6EF58B-94EC-4C52-9342-7389216298C3}"/>
    <cellStyle name="Millares 4 4 8 3 3" xfId="8574" xr:uid="{6A3935ED-3983-4469-8AC7-B75BBDAE38E8}"/>
    <cellStyle name="Millares 4 4 8 4" xfId="5787" xr:uid="{6B1258BA-BC4A-44F7-8CCA-FFBD1C83DB37}"/>
    <cellStyle name="Millares 4 4 8 5" xfId="7459" xr:uid="{D8C7D1C8-FD4F-492C-A539-C3CEAA7E66D2}"/>
    <cellStyle name="Millares 4 4 8 6" xfId="9131" xr:uid="{C10E9B95-0A40-424F-A1D0-57B2CA67D60B}"/>
    <cellStyle name="Millares 4 4 9" xfId="3394" xr:uid="{18789BFC-0A18-4108-A571-CA562462E738}"/>
    <cellStyle name="Millares 4 4 9 2" xfId="4673" xr:uid="{6EEBD65F-2929-4D4F-B987-D8E6C0B786A0}"/>
    <cellStyle name="Millares 4 4 9 2 2" xfId="6346" xr:uid="{6DE7EAB8-72DE-4CA5-8630-697FFF3F9F9D}"/>
    <cellStyle name="Millares 4 4 9 2 3" xfId="8018" xr:uid="{4253A65A-AFE2-4748-A130-262DE8981C59}"/>
    <cellStyle name="Millares 4 4 9 3" xfId="5230" xr:uid="{59129983-6FA4-45A5-853E-F80215E9CDD2}"/>
    <cellStyle name="Millares 4 4 9 3 2" xfId="6903" xr:uid="{5366858B-0E26-47B4-877F-5A26FAC88C4F}"/>
    <cellStyle name="Millares 4 4 9 3 3" xfId="8575" xr:uid="{8E40A61D-DC12-4F70-B28F-2C36271A0F8B}"/>
    <cellStyle name="Millares 4 4 9 4" xfId="5788" xr:uid="{C4624097-1450-4BA1-B48A-B8823D56D423}"/>
    <cellStyle name="Millares 4 4 9 5" xfId="7460" xr:uid="{F654BFC4-7194-4149-B5FF-CDE6DCFB9855}"/>
    <cellStyle name="Millares 4 4 9 6" xfId="9132" xr:uid="{71F4101F-D341-4FD0-8295-F0995414204F}"/>
    <cellStyle name="Millares 4 5" xfId="3395" xr:uid="{E0E326EC-89BC-486C-A8E2-EE20624B98C4}"/>
    <cellStyle name="Millares 4 5 10" xfId="3396" xr:uid="{D1BED994-CC81-4F58-A74D-A827645C2C10}"/>
    <cellStyle name="Millares 4 5 10 2" xfId="4675" xr:uid="{D841B232-DAA6-4F4E-AC9D-4C59EA6B3AA1}"/>
    <cellStyle name="Millares 4 5 10 2 2" xfId="6348" xr:uid="{F1203527-3417-48E7-AF3C-B81E2E623F79}"/>
    <cellStyle name="Millares 4 5 10 2 3" xfId="8020" xr:uid="{A280A24D-9510-4368-ADA9-A2D47B3F4DD9}"/>
    <cellStyle name="Millares 4 5 10 3" xfId="5232" xr:uid="{131FEE06-AB53-4779-9FA8-6855C5A557BF}"/>
    <cellStyle name="Millares 4 5 10 3 2" xfId="6905" xr:uid="{8B47DE0A-A1C0-4242-92AC-292FA5A747F4}"/>
    <cellStyle name="Millares 4 5 10 3 3" xfId="8577" xr:uid="{1BCAC0B0-E64F-4CF7-9BF7-15619D377C9B}"/>
    <cellStyle name="Millares 4 5 10 4" xfId="5790" xr:uid="{6A664058-53E5-4347-9360-413249F3328E}"/>
    <cellStyle name="Millares 4 5 10 5" xfId="7462" xr:uid="{D7024949-67DC-4CFB-874F-96ECE28834B3}"/>
    <cellStyle name="Millares 4 5 10 6" xfId="9134" xr:uid="{7C7531B7-8296-4637-A2C9-D87D595B5ED2}"/>
    <cellStyle name="Millares 4 5 11" xfId="4674" xr:uid="{42276427-BBE1-4638-AB6A-39CC5D2652BF}"/>
    <cellStyle name="Millares 4 5 11 2" xfId="6347" xr:uid="{1322F2DD-1249-45DE-91A7-73293EECF462}"/>
    <cellStyle name="Millares 4 5 11 3" xfId="8019" xr:uid="{D693B551-46BD-48A9-8001-6E62D97A54C5}"/>
    <cellStyle name="Millares 4 5 12" xfId="5231" xr:uid="{0FDF01EF-4302-4B36-8C42-5B7349E57DFB}"/>
    <cellStyle name="Millares 4 5 12 2" xfId="6904" xr:uid="{69D9B8D0-921D-49E9-99AC-61364F70B476}"/>
    <cellStyle name="Millares 4 5 12 3" xfId="8576" xr:uid="{12EEC940-A4DF-4095-8369-2557855ABE2D}"/>
    <cellStyle name="Millares 4 5 13" xfId="5789" xr:uid="{33F7D618-3687-4974-9CEE-528C63768B3A}"/>
    <cellStyle name="Millares 4 5 14" xfId="7461" xr:uid="{19F09EA8-23A3-4EB8-BAC3-3670FF724925}"/>
    <cellStyle name="Millares 4 5 15" xfId="9133" xr:uid="{29048931-64DA-44D4-BED1-2E89174C3933}"/>
    <cellStyle name="Millares 4 5 2" xfId="3397" xr:uid="{3A861D18-AC06-4E6D-A1A7-81CA53E7579C}"/>
    <cellStyle name="Millares 4 5 2 2" xfId="4676" xr:uid="{946E4AC9-8201-4C21-96F5-25F2D5D48B81}"/>
    <cellStyle name="Millares 4 5 2 2 2" xfId="6349" xr:uid="{C6F07091-204A-4527-938E-F6CC9DD7B0C5}"/>
    <cellStyle name="Millares 4 5 2 2 3" xfId="8021" xr:uid="{926F6613-A34D-438D-8B80-714A35F3140A}"/>
    <cellStyle name="Millares 4 5 2 3" xfId="5233" xr:uid="{69DCC4F2-202D-490E-A257-DB4B7AEB4D2B}"/>
    <cellStyle name="Millares 4 5 2 3 2" xfId="6906" xr:uid="{37FB7C4E-B336-4616-9DFE-D1EBAD1516C6}"/>
    <cellStyle name="Millares 4 5 2 3 3" xfId="8578" xr:uid="{702D88ED-E5C9-4A16-8D15-B948CD9E20D8}"/>
    <cellStyle name="Millares 4 5 2 4" xfId="5791" xr:uid="{227BB9E1-9F62-4F6C-9AFB-3766B2106A41}"/>
    <cellStyle name="Millares 4 5 2 5" xfId="7463" xr:uid="{AA0B4270-9F2A-44FC-BDBE-64750661A776}"/>
    <cellStyle name="Millares 4 5 2 6" xfId="9135" xr:uid="{6BFF561D-22CF-45DD-9969-F2971FAB1860}"/>
    <cellStyle name="Millares 4 5 3" xfId="3398" xr:uid="{E24A5FC6-EEC7-4BAB-A6AC-B7920101E5D6}"/>
    <cellStyle name="Millares 4 5 3 2" xfId="4677" xr:uid="{424FAD40-716C-42B3-914D-C6EFACF9AF9F}"/>
    <cellStyle name="Millares 4 5 3 2 2" xfId="6350" xr:uid="{4D12B2BC-2337-475D-983C-A1D4A5BB2F7C}"/>
    <cellStyle name="Millares 4 5 3 2 3" xfId="8022" xr:uid="{089D871B-2E7A-4A65-BEF0-50D05525589B}"/>
    <cellStyle name="Millares 4 5 3 3" xfId="5234" xr:uid="{63593434-2B22-48EA-A3E1-1F89CDB5D2D3}"/>
    <cellStyle name="Millares 4 5 3 3 2" xfId="6907" xr:uid="{961A48FA-A149-4776-A12B-6E9348A7E553}"/>
    <cellStyle name="Millares 4 5 3 3 3" xfId="8579" xr:uid="{9784FBD6-70F3-4D9F-B06F-C0147586D7F9}"/>
    <cellStyle name="Millares 4 5 3 4" xfId="5792" xr:uid="{0C9B8B2D-3A31-4E07-BE42-A2B55CBC090B}"/>
    <cellStyle name="Millares 4 5 3 5" xfId="7464" xr:uid="{D5B80DA7-E93B-47BD-B77E-3820718D2D1F}"/>
    <cellStyle name="Millares 4 5 3 6" xfId="9136" xr:uid="{2D5A4128-98E2-407B-B5AA-11F95A29E693}"/>
    <cellStyle name="Millares 4 5 4" xfId="3399" xr:uid="{857E45CC-163A-452E-B173-B8FE0D4387D1}"/>
    <cellStyle name="Millares 4 5 4 2" xfId="4678" xr:uid="{504F24B4-81CB-48E0-992B-015CDB4A4B4C}"/>
    <cellStyle name="Millares 4 5 4 2 2" xfId="6351" xr:uid="{F9AA1286-077B-4E09-9C90-87E1D97FC7EF}"/>
    <cellStyle name="Millares 4 5 4 2 3" xfId="8023" xr:uid="{56929B91-1198-4E13-A6A4-5C5DCB959541}"/>
    <cellStyle name="Millares 4 5 4 3" xfId="5235" xr:uid="{3E1AE584-9655-471B-95FE-EA65A5A96E08}"/>
    <cellStyle name="Millares 4 5 4 3 2" xfId="6908" xr:uid="{BEF6650F-7123-4D0F-A2A0-FBBBA8852FDB}"/>
    <cellStyle name="Millares 4 5 4 3 3" xfId="8580" xr:uid="{E009DD99-1E78-4171-BA9B-B419FCBC9F0C}"/>
    <cellStyle name="Millares 4 5 4 4" xfId="5793" xr:uid="{850E9814-2245-40A9-8915-A2FEE2BFBE41}"/>
    <cellStyle name="Millares 4 5 4 5" xfId="7465" xr:uid="{65EA04EA-0535-4A15-959E-F64224195D07}"/>
    <cellStyle name="Millares 4 5 4 6" xfId="9137" xr:uid="{F8CA2D72-B9DE-4803-B3D6-86B7F30D4AC6}"/>
    <cellStyle name="Millares 4 5 5" xfId="3400" xr:uid="{E8CAD25A-4751-44F8-8220-816484452F84}"/>
    <cellStyle name="Millares 4 5 5 2" xfId="4679" xr:uid="{E547A710-81F0-4E4C-8134-62298EB8B96E}"/>
    <cellStyle name="Millares 4 5 5 2 2" xfId="6352" xr:uid="{94DC3155-4F7B-420D-A85A-664DAD8DB6C8}"/>
    <cellStyle name="Millares 4 5 5 2 3" xfId="8024" xr:uid="{20DEB51E-0DF5-4756-A248-F061F688E671}"/>
    <cellStyle name="Millares 4 5 5 3" xfId="5236" xr:uid="{DABDF377-CEA3-40D4-9373-AF19D488EDC8}"/>
    <cellStyle name="Millares 4 5 5 3 2" xfId="6909" xr:uid="{B14C11D2-4DC5-47E9-A450-85C8014EE599}"/>
    <cellStyle name="Millares 4 5 5 3 3" xfId="8581" xr:uid="{2AD2EFD4-05B3-4FEE-BFAB-D45BBF9FB337}"/>
    <cellStyle name="Millares 4 5 5 4" xfId="5794" xr:uid="{EF87A53A-ABE0-4FAF-8853-2A35ADBA32AE}"/>
    <cellStyle name="Millares 4 5 5 5" xfId="7466" xr:uid="{CDA9F4CF-3DC4-4FC6-AD4E-F4CB0662A360}"/>
    <cellStyle name="Millares 4 5 5 6" xfId="9138" xr:uid="{62B5EBFC-550D-4922-921C-25CA7CCF5481}"/>
    <cellStyle name="Millares 4 5 6" xfId="3401" xr:uid="{4E9038CA-B249-4F5C-8FA0-E2FD1EF379F1}"/>
    <cellStyle name="Millares 4 5 6 2" xfId="4680" xr:uid="{A98BB4CC-A766-4667-9624-5C92CF26650C}"/>
    <cellStyle name="Millares 4 5 6 2 2" xfId="6353" xr:uid="{86D5046E-E423-4632-A587-AD960AC76192}"/>
    <cellStyle name="Millares 4 5 6 2 3" xfId="8025" xr:uid="{E1687305-92C3-47A8-A118-38ABA4D0E0BF}"/>
    <cellStyle name="Millares 4 5 6 3" xfId="5237" xr:uid="{2C40E62C-AA28-4189-A227-2F79520CC447}"/>
    <cellStyle name="Millares 4 5 6 3 2" xfId="6910" xr:uid="{B82D3A87-458A-4BB0-989B-382201FE8457}"/>
    <cellStyle name="Millares 4 5 6 3 3" xfId="8582" xr:uid="{B739C3BD-4422-454B-88C4-D1E42C9A824F}"/>
    <cellStyle name="Millares 4 5 6 4" xfId="5795" xr:uid="{49A7E7B3-02AC-4C58-AC0E-AB94E4F1FA96}"/>
    <cellStyle name="Millares 4 5 6 5" xfId="7467" xr:uid="{E63EE101-B6C0-4458-82B1-EE39B7A2A83E}"/>
    <cellStyle name="Millares 4 5 6 6" xfId="9139" xr:uid="{F24E3F33-0E4C-4B30-B3E3-520ADD8E93DB}"/>
    <cellStyle name="Millares 4 5 7" xfId="3402" xr:uid="{998F23BA-9917-4300-A51D-4D6F73AB3856}"/>
    <cellStyle name="Millares 4 5 7 2" xfId="4681" xr:uid="{ED514F5F-A40E-46F8-A3FB-22AAEF2AB6F8}"/>
    <cellStyle name="Millares 4 5 7 2 2" xfId="6354" xr:uid="{1EF76F2C-1FA8-4C89-9014-408031025D1C}"/>
    <cellStyle name="Millares 4 5 7 2 3" xfId="8026" xr:uid="{60A8FFE4-A23C-4C1B-8E09-7AC29B1DAADA}"/>
    <cellStyle name="Millares 4 5 7 3" xfId="5238" xr:uid="{A94DF121-1D49-42A0-A661-DCB8E33B07D9}"/>
    <cellStyle name="Millares 4 5 7 3 2" xfId="6911" xr:uid="{09A941C9-0377-447E-BFBA-A7A902F32906}"/>
    <cellStyle name="Millares 4 5 7 3 3" xfId="8583" xr:uid="{8231AA17-4454-4266-9D7F-8883B046CF8E}"/>
    <cellStyle name="Millares 4 5 7 4" xfId="5796" xr:uid="{B04E8630-4216-4A45-AC25-AD02E7D2A2DB}"/>
    <cellStyle name="Millares 4 5 7 5" xfId="7468" xr:uid="{CAE94257-AA13-462A-8CC4-BCFDA6EF81FD}"/>
    <cellStyle name="Millares 4 5 7 6" xfId="9140" xr:uid="{D89DFD0B-BC0D-46E0-8905-0EF0CD6CBB24}"/>
    <cellStyle name="Millares 4 5 8" xfId="3403" xr:uid="{0D21DD03-4397-47D7-86D3-C5241B251CCC}"/>
    <cellStyle name="Millares 4 5 8 2" xfId="4682" xr:uid="{4592B234-3B8E-4974-95F0-4E2E34156227}"/>
    <cellStyle name="Millares 4 5 8 2 2" xfId="6355" xr:uid="{B1F59356-F89E-4A10-A9FE-750E461FE9F5}"/>
    <cellStyle name="Millares 4 5 8 2 3" xfId="8027" xr:uid="{BF648BD7-05A5-4D3B-815A-A62235AEEB01}"/>
    <cellStyle name="Millares 4 5 8 3" xfId="5239" xr:uid="{95EFCF5F-709F-4F9A-B6E8-76A032DCB39C}"/>
    <cellStyle name="Millares 4 5 8 3 2" xfId="6912" xr:uid="{7F9C87F4-6001-42AE-8058-F516F7031CF3}"/>
    <cellStyle name="Millares 4 5 8 3 3" xfId="8584" xr:uid="{99AFA4C9-6E65-49B8-881A-DEB988B09FCE}"/>
    <cellStyle name="Millares 4 5 8 4" xfId="5797" xr:uid="{2F9A8282-B1CD-43DC-8CDC-7BEE629874F2}"/>
    <cellStyle name="Millares 4 5 8 5" xfId="7469" xr:uid="{EA76C972-D4D2-48D3-AF18-5A0356EA571D}"/>
    <cellStyle name="Millares 4 5 8 6" xfId="9141" xr:uid="{A9B58225-AF7B-48CF-A139-399E66FD1C15}"/>
    <cellStyle name="Millares 4 5 9" xfId="3404" xr:uid="{004A4D7F-B338-43B0-870C-1B70495614CF}"/>
    <cellStyle name="Millares 4 5 9 2" xfId="4683" xr:uid="{ED357A3A-EFEE-436C-BD5C-5C92080213C2}"/>
    <cellStyle name="Millares 4 5 9 2 2" xfId="6356" xr:uid="{4A4EE1AB-F10C-4DD9-B1EB-D4283F7DF805}"/>
    <cellStyle name="Millares 4 5 9 2 3" xfId="8028" xr:uid="{C7EEE86A-9AB5-4DD3-B52C-E54A94A3EBB3}"/>
    <cellStyle name="Millares 4 5 9 3" xfId="5240" xr:uid="{8D22E507-988F-43DC-9B2A-33EA02DCEB59}"/>
    <cellStyle name="Millares 4 5 9 3 2" xfId="6913" xr:uid="{2F298DA7-4C72-4CB3-B95D-ED849BFB230C}"/>
    <cellStyle name="Millares 4 5 9 3 3" xfId="8585" xr:uid="{DFCEFB57-952D-4783-B66B-001953E1FF6D}"/>
    <cellStyle name="Millares 4 5 9 4" xfId="5798" xr:uid="{23949A8F-5B51-45D2-8EAA-FE9C46186297}"/>
    <cellStyle name="Millares 4 5 9 5" xfId="7470" xr:uid="{A1D5A52A-38D8-474D-BC0D-C37B38EDE526}"/>
    <cellStyle name="Millares 4 5 9 6" xfId="9142" xr:uid="{B0392E03-8167-4658-945D-7A6D2E8B34DB}"/>
    <cellStyle name="Millares 4 6" xfId="3405" xr:uid="{E5F367C6-B32F-4A7E-9126-0EEAE03A5B70}"/>
    <cellStyle name="Millares 4 6 2" xfId="4684" xr:uid="{C893E356-BE0F-450C-BC3C-C7BC7AEDF318}"/>
    <cellStyle name="Millares 4 6 2 2" xfId="6357" xr:uid="{3B7D4AD2-5D2E-41A0-873F-E132060FBF78}"/>
    <cellStyle name="Millares 4 6 2 3" xfId="8029" xr:uid="{D68F7158-C8FE-45AA-BE85-894F1CD4844E}"/>
    <cellStyle name="Millares 4 6 3" xfId="5241" xr:uid="{7ED330D2-AEB2-4590-B463-8AACA8470602}"/>
    <cellStyle name="Millares 4 6 3 2" xfId="6914" xr:uid="{57C49864-5846-4529-BBBF-F428266C4EDE}"/>
    <cellStyle name="Millares 4 6 3 3" xfId="8586" xr:uid="{EF0DE938-FD22-47EA-8046-10EA27B49569}"/>
    <cellStyle name="Millares 4 6 4" xfId="5799" xr:uid="{07BEB56E-83F0-4C81-A65E-080B0DAB03DD}"/>
    <cellStyle name="Millares 4 6 5" xfId="7471" xr:uid="{4CBF544E-B612-448B-A464-A060032EA5C4}"/>
    <cellStyle name="Millares 4 6 6" xfId="9143" xr:uid="{27032001-BE6E-467F-B6B2-D5ACC333B92F}"/>
    <cellStyle name="Millares 4 7" xfId="3406" xr:uid="{5ED436A8-FD14-4129-8E02-4E0B06B5C6C6}"/>
    <cellStyle name="Millares 4 7 2" xfId="4685" xr:uid="{97F3C571-5B6D-42C8-92EC-8C2DFC8AFF75}"/>
    <cellStyle name="Millares 4 7 2 2" xfId="6358" xr:uid="{CC503049-F183-40E8-9C30-8F728DE120AB}"/>
    <cellStyle name="Millares 4 7 2 3" xfId="8030" xr:uid="{4862E25F-7730-431B-9BDD-FB89AAE62D1D}"/>
    <cellStyle name="Millares 4 7 3" xfId="5242" xr:uid="{FC923126-209F-4460-9F2C-FB7C47D342E2}"/>
    <cellStyle name="Millares 4 7 3 2" xfId="6915" xr:uid="{90A71E64-C5CA-462D-8466-651B77A871A4}"/>
    <cellStyle name="Millares 4 7 3 3" xfId="8587" xr:uid="{2B4532AF-0D38-4E63-A44B-5B6C4004A569}"/>
    <cellStyle name="Millares 4 7 4" xfId="5800" xr:uid="{B96A71C9-CF1C-414D-B27D-05A6B21B0464}"/>
    <cellStyle name="Millares 4 7 5" xfId="7472" xr:uid="{D7A596C4-C4BD-4356-BFA4-2E2F22E8DCE9}"/>
    <cellStyle name="Millares 4 7 6" xfId="9144" xr:uid="{A8F4BCC1-01B3-475D-9634-28EAD8992A34}"/>
    <cellStyle name="Millares 4 8" xfId="3407" xr:uid="{4356601D-2C01-49E9-A993-F5A6A7B93F0C}"/>
    <cellStyle name="Millares 4 8 2" xfId="4686" xr:uid="{A8BF32D0-0237-4F1A-9695-E4E2C7E22563}"/>
    <cellStyle name="Millares 4 8 2 2" xfId="6359" xr:uid="{2F68007F-2175-491F-88CD-8A2DA40202E8}"/>
    <cellStyle name="Millares 4 8 2 3" xfId="8031" xr:uid="{09B6EAF7-7662-4B77-934C-0B678185CAA3}"/>
    <cellStyle name="Millares 4 8 3" xfId="5243" xr:uid="{5BFE2999-AC40-4A0E-9129-0FAFD717AF0E}"/>
    <cellStyle name="Millares 4 8 3 2" xfId="6916" xr:uid="{0744FE2A-5705-47D0-A9F3-E6AE7286B3FE}"/>
    <cellStyle name="Millares 4 8 3 3" xfId="8588" xr:uid="{F60A882D-006B-49C6-971B-ACB063E8B07E}"/>
    <cellStyle name="Millares 4 8 4" xfId="5801" xr:uid="{D77213B4-4B87-4D2C-A5D9-BEFBC6AB0269}"/>
    <cellStyle name="Millares 4 8 5" xfId="7473" xr:uid="{759DF68D-35EF-4792-891B-11077A11EEFA}"/>
    <cellStyle name="Millares 4 8 6" xfId="9145" xr:uid="{B6D83F11-6331-4E32-8008-EEB066ECD680}"/>
    <cellStyle name="Millares 4 9" xfId="3408" xr:uid="{F6C6606E-C21A-4B0D-8D30-2466712B4CFD}"/>
    <cellStyle name="Millares 4 9 2" xfId="4687" xr:uid="{416754B3-2B12-4B23-A8F9-7A0E01328EED}"/>
    <cellStyle name="Millares 4 9 2 2" xfId="6360" xr:uid="{E4BAF2FD-45FE-4DB2-9BAD-90BF8B180A8E}"/>
    <cellStyle name="Millares 4 9 2 3" xfId="8032" xr:uid="{EBB4B228-1331-477D-AC12-EE8A1AA7D789}"/>
    <cellStyle name="Millares 4 9 3" xfId="5244" xr:uid="{EFAC5DD6-F667-4D07-941E-1B0EBEF83855}"/>
    <cellStyle name="Millares 4 9 3 2" xfId="6917" xr:uid="{2F1F57AB-5667-4D0F-B380-B5FE53E1B907}"/>
    <cellStyle name="Millares 4 9 3 3" xfId="8589" xr:uid="{B12EE767-EDA7-4586-88F0-5CEFF0E378DD}"/>
    <cellStyle name="Millares 4 9 4" xfId="5802" xr:uid="{85429A67-3E4B-4A32-B6CF-A7CF387F4C5E}"/>
    <cellStyle name="Millares 4 9 5" xfId="7474" xr:uid="{A7B06527-1AE6-4F1A-B633-7BACF53B4799}"/>
    <cellStyle name="Millares 4 9 6" xfId="9146" xr:uid="{54E6A8FF-99AE-4FCC-A938-097C6BB6089D}"/>
    <cellStyle name="Millares 5" xfId="3409" xr:uid="{E3050C30-FC62-4565-9055-EF094327A768}"/>
    <cellStyle name="Millares 5 10" xfId="3410" xr:uid="{5451E56F-B4E6-44B4-ADDF-FF5E58BDDBC2}"/>
    <cellStyle name="Millares 5 10 2" xfId="4689" xr:uid="{7BE620DB-AD6E-470A-8E8F-22D6B5ABB7B0}"/>
    <cellStyle name="Millares 5 10 2 2" xfId="6362" xr:uid="{DEE775C9-AB2F-4A58-8E1B-CADC60AE66DB}"/>
    <cellStyle name="Millares 5 10 2 3" xfId="8034" xr:uid="{E8E18F37-5C62-4267-9923-6D49AB3A6886}"/>
    <cellStyle name="Millares 5 10 3" xfId="5246" xr:uid="{138E0592-17FD-40CC-83DD-E89B003E3EF3}"/>
    <cellStyle name="Millares 5 10 3 2" xfId="6919" xr:uid="{E049FB33-9E51-4CBF-B478-B66C6D98E92D}"/>
    <cellStyle name="Millares 5 10 3 3" xfId="8591" xr:uid="{CA5C2E8D-30F1-4C2C-BA7B-EAC21F46517F}"/>
    <cellStyle name="Millares 5 10 4" xfId="5804" xr:uid="{0A6FF0C3-3514-4C3B-8922-4EEEE74C6A37}"/>
    <cellStyle name="Millares 5 10 5" xfId="7476" xr:uid="{FBA52169-D247-43A4-B3E8-4273AE15A7D6}"/>
    <cellStyle name="Millares 5 10 6" xfId="9148" xr:uid="{1CD56BDA-5103-4262-9FB0-11742F1FDE41}"/>
    <cellStyle name="Millares 5 11" xfId="3411" xr:uid="{844A340D-58C6-4E18-A113-44A5244654E8}"/>
    <cellStyle name="Millares 5 11 2" xfId="4690" xr:uid="{60D2B302-839B-4AC5-B012-5CFB1ADE4C03}"/>
    <cellStyle name="Millares 5 11 2 2" xfId="6363" xr:uid="{14949EDC-F957-4449-B51A-A96F82DF141D}"/>
    <cellStyle name="Millares 5 11 2 3" xfId="8035" xr:uid="{AA3B445F-E600-4901-8AA7-607B6F24ADCB}"/>
    <cellStyle name="Millares 5 11 3" xfId="5247" xr:uid="{B5CB5563-EBDD-4C58-B0DF-D83EA8D054E9}"/>
    <cellStyle name="Millares 5 11 3 2" xfId="6920" xr:uid="{E58F1084-B49B-40B4-8E48-0F2F9E477BC8}"/>
    <cellStyle name="Millares 5 11 3 3" xfId="8592" xr:uid="{9B4C2010-1332-4B91-B0A8-F46F4B6F6FE3}"/>
    <cellStyle name="Millares 5 11 4" xfId="5805" xr:uid="{97100881-2053-46EC-84B2-81889B675C00}"/>
    <cellStyle name="Millares 5 11 5" xfId="7477" xr:uid="{086AE59B-5F43-421F-84E1-AAEA00121FF7}"/>
    <cellStyle name="Millares 5 11 6" xfId="9149" xr:uid="{45225D22-6812-4C42-A239-90D9345139D5}"/>
    <cellStyle name="Millares 5 12" xfId="3412" xr:uid="{D1ACB540-4101-4415-BC7B-799D3101F01E}"/>
    <cellStyle name="Millares 5 12 2" xfId="4691" xr:uid="{817E784C-E6A2-404A-86E6-BAD70BD365C5}"/>
    <cellStyle name="Millares 5 12 2 2" xfId="6364" xr:uid="{68091032-1929-4F75-9259-727CB2A3FB19}"/>
    <cellStyle name="Millares 5 12 2 3" xfId="8036" xr:uid="{7F493A04-D72B-4EBC-A087-138F2A0CA0CB}"/>
    <cellStyle name="Millares 5 12 3" xfId="5248" xr:uid="{67C1E941-3912-4B1E-923C-3BD8132E0B8F}"/>
    <cellStyle name="Millares 5 12 3 2" xfId="6921" xr:uid="{EF52E037-B37B-454C-AFFC-47C2454DF41A}"/>
    <cellStyle name="Millares 5 12 3 3" xfId="8593" xr:uid="{5ABAF97E-2549-4D2C-B542-6066E047F0E2}"/>
    <cellStyle name="Millares 5 12 4" xfId="5806" xr:uid="{E07F8BD2-3ECD-4E3B-8B87-60388BD35AC4}"/>
    <cellStyle name="Millares 5 12 5" xfId="7478" xr:uid="{9EA1053A-CA19-4178-A659-8F591BC96EED}"/>
    <cellStyle name="Millares 5 12 6" xfId="9150" xr:uid="{0AECC399-FD45-42BA-9160-5D9A0332F83F}"/>
    <cellStyle name="Millares 5 13" xfId="4688" xr:uid="{5B2ED7D5-6CC4-4299-BF63-30FA1CC5164B}"/>
    <cellStyle name="Millares 5 13 2" xfId="6361" xr:uid="{29ACD6D2-A370-4242-92EE-06EC06F7D088}"/>
    <cellStyle name="Millares 5 13 3" xfId="8033" xr:uid="{18083CA3-6417-40B9-AC81-DD9336C1DBFA}"/>
    <cellStyle name="Millares 5 14" xfId="5245" xr:uid="{28EF792D-DFDE-4886-8CE5-9A3FF1E53A28}"/>
    <cellStyle name="Millares 5 14 2" xfId="6918" xr:uid="{FC0C759E-971B-4BC8-867B-426D5FB5A9D1}"/>
    <cellStyle name="Millares 5 14 3" xfId="8590" xr:uid="{B5EA3AE6-842F-4BF9-A2EE-FBE2BF11D505}"/>
    <cellStyle name="Millares 5 15" xfId="5803" xr:uid="{09FE4BF6-1E21-49F4-B3FF-015121F2BB44}"/>
    <cellStyle name="Millares 5 16" xfId="7475" xr:uid="{E07B5B22-72E6-43AF-AAAA-BCCF7BD1DB2F}"/>
    <cellStyle name="Millares 5 17" xfId="9147" xr:uid="{6358CF8D-0D6A-4233-9B5A-B6D5D86A7F93}"/>
    <cellStyle name="Millares 5 2" xfId="3413" xr:uid="{752888F8-A340-4AC2-ACD6-283F7F8F401A}"/>
    <cellStyle name="Millares 5 2 10" xfId="3414" xr:uid="{00F9E9D3-7002-40C0-A79B-236FDC5E4AE7}"/>
    <cellStyle name="Millares 5 2 10 2" xfId="4693" xr:uid="{562E60F7-1AB9-443B-B682-2BCFF676C972}"/>
    <cellStyle name="Millares 5 2 10 2 2" xfId="6366" xr:uid="{36BCED6B-531D-4C09-8FFF-8B079C5E29AE}"/>
    <cellStyle name="Millares 5 2 10 2 3" xfId="8038" xr:uid="{91709818-9D42-43CE-91AD-D7134918DD4D}"/>
    <cellStyle name="Millares 5 2 10 3" xfId="5250" xr:uid="{48AF2948-1701-4F06-BA8C-49231701BF97}"/>
    <cellStyle name="Millares 5 2 10 3 2" xfId="6923" xr:uid="{A1568CFA-AEB1-4014-8065-A48DF0DC77B3}"/>
    <cellStyle name="Millares 5 2 10 3 3" xfId="8595" xr:uid="{416BB41D-DF34-4E6F-BDB4-1DFAF3B223FD}"/>
    <cellStyle name="Millares 5 2 10 4" xfId="5808" xr:uid="{81400AF6-C908-4068-86DB-C7B0F212EC76}"/>
    <cellStyle name="Millares 5 2 10 5" xfId="7480" xr:uid="{2BE183CD-5D06-4C1D-A4CD-C49F88C270E9}"/>
    <cellStyle name="Millares 5 2 10 6" xfId="9152" xr:uid="{991E06B4-D25D-4748-AC32-001A3206AE30}"/>
    <cellStyle name="Millares 5 2 11" xfId="4692" xr:uid="{72CB2AD4-E399-460C-A4B3-F95FB8E5524D}"/>
    <cellStyle name="Millares 5 2 11 2" xfId="6365" xr:uid="{274B20BB-130D-4FEB-890A-CACA52EB2F77}"/>
    <cellStyle name="Millares 5 2 11 3" xfId="8037" xr:uid="{90376DF9-0557-4F6C-9CC2-7D37B6661A29}"/>
    <cellStyle name="Millares 5 2 12" xfId="5249" xr:uid="{8278A89D-B52B-4957-A569-7560D065E917}"/>
    <cellStyle name="Millares 5 2 12 2" xfId="6922" xr:uid="{5DF52D35-D401-42A3-803F-3D6FAD508D0D}"/>
    <cellStyle name="Millares 5 2 12 3" xfId="8594" xr:uid="{B52B4244-5053-4BB0-BE8F-055E1D51877F}"/>
    <cellStyle name="Millares 5 2 13" xfId="5807" xr:uid="{C392C24A-73B4-44E9-AEDF-B71633CCEB08}"/>
    <cellStyle name="Millares 5 2 14" xfId="7479" xr:uid="{92041F16-B4A0-42F4-AB10-729207DE9760}"/>
    <cellStyle name="Millares 5 2 15" xfId="9151" xr:uid="{0DE1441A-325E-4B52-990E-E3526E1ABADE}"/>
    <cellStyle name="Millares 5 2 2" xfId="3415" xr:uid="{E443FA19-3310-426D-8EDF-D6BCAB05ADAC}"/>
    <cellStyle name="Millares 5 2 2 2" xfId="4694" xr:uid="{40E7D14B-C450-4F64-9CE2-A65966BFA934}"/>
    <cellStyle name="Millares 5 2 2 2 2" xfId="6367" xr:uid="{52B0E449-E304-47C1-89A1-4353FF6FAE5D}"/>
    <cellStyle name="Millares 5 2 2 2 3" xfId="8039" xr:uid="{DD5A76D4-C2FE-406D-BCFD-21676787E099}"/>
    <cellStyle name="Millares 5 2 2 3" xfId="5251" xr:uid="{45AC8327-D476-4579-B02F-548FFA351B74}"/>
    <cellStyle name="Millares 5 2 2 3 2" xfId="6924" xr:uid="{61EE8C95-365A-4250-B3C3-FA057DFB2DC7}"/>
    <cellStyle name="Millares 5 2 2 3 3" xfId="8596" xr:uid="{5605FF5B-B1BA-47FF-935E-2211D60DD89B}"/>
    <cellStyle name="Millares 5 2 2 4" xfId="5809" xr:uid="{C032FA9D-2426-4E78-8DD5-6B950FD006CF}"/>
    <cellStyle name="Millares 5 2 2 5" xfId="7481" xr:uid="{010D8240-B731-4934-98D3-1FDC01434C40}"/>
    <cellStyle name="Millares 5 2 2 6" xfId="9153" xr:uid="{64D2AB1E-A8B5-4154-9E1A-D91778280C31}"/>
    <cellStyle name="Millares 5 2 3" xfId="3416" xr:uid="{8C4C4973-4429-4A78-8299-AF1524491F32}"/>
    <cellStyle name="Millares 5 2 3 2" xfId="4695" xr:uid="{3CEE9E8C-B4DD-4BAB-ADEB-E5D64D470C01}"/>
    <cellStyle name="Millares 5 2 3 2 2" xfId="6368" xr:uid="{8A55FAF8-3324-4623-93E9-69E582517607}"/>
    <cellStyle name="Millares 5 2 3 2 3" xfId="8040" xr:uid="{7EDCE91E-E9FA-4E30-A4CC-2009479879A6}"/>
    <cellStyle name="Millares 5 2 3 3" xfId="5252" xr:uid="{CB36D629-4E3B-4909-8E82-ACA3F8F7463D}"/>
    <cellStyle name="Millares 5 2 3 3 2" xfId="6925" xr:uid="{3E65C338-1360-4D2C-8722-841384617CE8}"/>
    <cellStyle name="Millares 5 2 3 3 3" xfId="8597" xr:uid="{EA529CE0-7781-4DDA-AE0F-A172E696B36A}"/>
    <cellStyle name="Millares 5 2 3 4" xfId="5810" xr:uid="{F77DDB23-F000-4285-A6AA-E516254B2D3C}"/>
    <cellStyle name="Millares 5 2 3 5" xfId="7482" xr:uid="{D237AB06-4C05-450B-BE8C-A3E4FFAA1249}"/>
    <cellStyle name="Millares 5 2 3 6" xfId="9154" xr:uid="{22DE41EB-80F4-400F-83D7-DEC77C8A7229}"/>
    <cellStyle name="Millares 5 2 4" xfId="3417" xr:uid="{FE5D13CD-C85A-4757-BA25-C875141B3F61}"/>
    <cellStyle name="Millares 5 2 4 2" xfId="4696" xr:uid="{B5E193F7-237C-4043-A649-C727B166B2AD}"/>
    <cellStyle name="Millares 5 2 4 2 2" xfId="6369" xr:uid="{54148D51-0E4D-48EA-88DB-6ED4B74A5C55}"/>
    <cellStyle name="Millares 5 2 4 2 3" xfId="8041" xr:uid="{E2D0F8DD-AC04-4001-B474-7D8DF9A685D9}"/>
    <cellStyle name="Millares 5 2 4 3" xfId="5253" xr:uid="{D4C524B9-596A-484C-9392-79DA73B70B72}"/>
    <cellStyle name="Millares 5 2 4 3 2" xfId="6926" xr:uid="{6E7E5389-C038-4BC7-9755-0F2EA97C6630}"/>
    <cellStyle name="Millares 5 2 4 3 3" xfId="8598" xr:uid="{612B9952-F675-4CED-BA9A-CC7C520272EE}"/>
    <cellStyle name="Millares 5 2 4 4" xfId="5811" xr:uid="{9FB95566-329A-4B44-8E19-279D904AD070}"/>
    <cellStyle name="Millares 5 2 4 5" xfId="7483" xr:uid="{DD8B57FA-BFD1-4826-9040-55F440B8DA04}"/>
    <cellStyle name="Millares 5 2 4 6" xfId="9155" xr:uid="{3AD16449-AEC4-4563-9B21-D8671F24E890}"/>
    <cellStyle name="Millares 5 2 5" xfId="3418" xr:uid="{ADF8ADC5-0CFC-49B7-A679-1427C7486B5D}"/>
    <cellStyle name="Millares 5 2 5 2" xfId="4697" xr:uid="{01C442CD-DFC6-4B72-8F5B-B73EE11D6A1F}"/>
    <cellStyle name="Millares 5 2 5 2 2" xfId="6370" xr:uid="{611EAC36-C79D-4C9A-B046-7060FBDA5435}"/>
    <cellStyle name="Millares 5 2 5 2 3" xfId="8042" xr:uid="{4AA23246-EF98-4EDB-9697-D501756911C2}"/>
    <cellStyle name="Millares 5 2 5 3" xfId="5254" xr:uid="{C62C10BA-37A4-4712-AC02-4EA8767D35DF}"/>
    <cellStyle name="Millares 5 2 5 3 2" xfId="6927" xr:uid="{F4E42B50-775D-46BC-9ACC-1677FD4E233B}"/>
    <cellStyle name="Millares 5 2 5 3 3" xfId="8599" xr:uid="{E5559B93-9DA4-4A2B-B98C-A15BEEFFC96D}"/>
    <cellStyle name="Millares 5 2 5 4" xfId="5812" xr:uid="{562F6BF9-FC1E-4DB7-BF4F-0B6FA29EF9C2}"/>
    <cellStyle name="Millares 5 2 5 5" xfId="7484" xr:uid="{62EDF647-1DAF-4EE2-A567-75B3A96BA8AF}"/>
    <cellStyle name="Millares 5 2 5 6" xfId="9156" xr:uid="{4924FABE-2DC7-40A6-ACF8-AD0CA0752372}"/>
    <cellStyle name="Millares 5 2 6" xfId="3419" xr:uid="{DBF531A3-84BC-4F01-AD01-54FA8B222F7E}"/>
    <cellStyle name="Millares 5 2 6 2" xfId="4698" xr:uid="{02BA3EA8-50F4-48B9-8090-DE10D1E790BD}"/>
    <cellStyle name="Millares 5 2 6 2 2" xfId="6371" xr:uid="{B6488C2D-415C-4887-93B6-E2444F569545}"/>
    <cellStyle name="Millares 5 2 6 2 3" xfId="8043" xr:uid="{2A551A91-0B27-42DC-AEFE-CE259C89A64B}"/>
    <cellStyle name="Millares 5 2 6 3" xfId="5255" xr:uid="{D9485CE8-B7C7-4057-99BB-9F8D458AAA29}"/>
    <cellStyle name="Millares 5 2 6 3 2" xfId="6928" xr:uid="{FA07F369-FE5F-4271-9800-B4046068AFC4}"/>
    <cellStyle name="Millares 5 2 6 3 3" xfId="8600" xr:uid="{4EBD6048-D989-4899-BBF2-DD1E1E0494BA}"/>
    <cellStyle name="Millares 5 2 6 4" xfId="5813" xr:uid="{3436E956-7AF7-4B83-85C7-2523C0723DEF}"/>
    <cellStyle name="Millares 5 2 6 5" xfId="7485" xr:uid="{559D36EB-CC87-4E9E-8364-087FB8415C75}"/>
    <cellStyle name="Millares 5 2 6 6" xfId="9157" xr:uid="{18A8532A-19F5-46F4-A7B0-C0D15169E9D8}"/>
    <cellStyle name="Millares 5 2 7" xfId="3420" xr:uid="{DB552F6F-DAEF-4F52-B758-460BA9787D3B}"/>
    <cellStyle name="Millares 5 2 7 2" xfId="4699" xr:uid="{7E9AEB16-2F24-4C9D-830F-A3E90F9E6E51}"/>
    <cellStyle name="Millares 5 2 7 2 2" xfId="6372" xr:uid="{7E7D165B-7E53-443B-9F70-B1D20985B0CB}"/>
    <cellStyle name="Millares 5 2 7 2 3" xfId="8044" xr:uid="{AF6F1F11-DA36-484A-855C-AACD9A308F63}"/>
    <cellStyle name="Millares 5 2 7 3" xfId="5256" xr:uid="{DDD7BB4C-1DED-4289-A54B-9A433FEE48FD}"/>
    <cellStyle name="Millares 5 2 7 3 2" xfId="6929" xr:uid="{9CBC8572-6073-4256-B524-FCD4F15ED6C0}"/>
    <cellStyle name="Millares 5 2 7 3 3" xfId="8601" xr:uid="{24A362AE-7F0B-452F-862D-4602FB447BDB}"/>
    <cellStyle name="Millares 5 2 7 4" xfId="5814" xr:uid="{228201DC-9326-4E91-BA58-94BDB9724FCF}"/>
    <cellStyle name="Millares 5 2 7 5" xfId="7486" xr:uid="{9B26590D-3FA7-4B5A-AF11-94F12C72AF2C}"/>
    <cellStyle name="Millares 5 2 7 6" xfId="9158" xr:uid="{CFD3FF5D-9AAD-4479-A3BD-C5548088D099}"/>
    <cellStyle name="Millares 5 2 8" xfId="3421" xr:uid="{73345C8A-B79F-4605-A670-892FB9744050}"/>
    <cellStyle name="Millares 5 2 8 2" xfId="4700" xr:uid="{88C5C5F7-6338-4926-B221-C73878D6BDBE}"/>
    <cellStyle name="Millares 5 2 8 2 2" xfId="6373" xr:uid="{7BAE4596-7092-41E4-9094-A198E1FAA769}"/>
    <cellStyle name="Millares 5 2 8 2 3" xfId="8045" xr:uid="{426D40EB-45B6-47C9-BDDC-5FEFCFCE47F7}"/>
    <cellStyle name="Millares 5 2 8 3" xfId="5257" xr:uid="{B64829F2-EEB2-4EE8-AAED-CD85FBBEE338}"/>
    <cellStyle name="Millares 5 2 8 3 2" xfId="6930" xr:uid="{43E72B90-5412-4C49-94A1-95F0F602CF9C}"/>
    <cellStyle name="Millares 5 2 8 3 3" xfId="8602" xr:uid="{592CBD65-6A46-4234-9617-ECCCFA473D10}"/>
    <cellStyle name="Millares 5 2 8 4" xfId="5815" xr:uid="{720E12B6-8D7F-4D1B-AD4C-45B9949DFE3B}"/>
    <cellStyle name="Millares 5 2 8 5" xfId="7487" xr:uid="{22315584-4B66-40CD-8593-75500D7C9B08}"/>
    <cellStyle name="Millares 5 2 8 6" xfId="9159" xr:uid="{AB30264A-619D-4531-B3E4-3AC210CBABDF}"/>
    <cellStyle name="Millares 5 2 9" xfId="3422" xr:uid="{ACD76D2A-6B86-4559-9C11-D5CA73D51FAD}"/>
    <cellStyle name="Millares 5 2 9 2" xfId="4701" xr:uid="{361EEBDD-C013-4539-86C0-EA201EC83A05}"/>
    <cellStyle name="Millares 5 2 9 2 2" xfId="6374" xr:uid="{1D1AF6B0-1A56-4F4C-8BFF-4823AA87B4CB}"/>
    <cellStyle name="Millares 5 2 9 2 3" xfId="8046" xr:uid="{5B92BE2B-5117-4F7D-8CB6-5D39CE710459}"/>
    <cellStyle name="Millares 5 2 9 3" xfId="5258" xr:uid="{039692C2-BBB9-46D1-AD0B-1C4B066C8506}"/>
    <cellStyle name="Millares 5 2 9 3 2" xfId="6931" xr:uid="{1D39BA06-57CA-493B-9ADA-78C8039B9173}"/>
    <cellStyle name="Millares 5 2 9 3 3" xfId="8603" xr:uid="{EA4578D9-DB43-43BE-A4C7-D6B40A835EDD}"/>
    <cellStyle name="Millares 5 2 9 4" xfId="5816" xr:uid="{BB6C1E5A-10BC-4544-9965-B361FF43B6D0}"/>
    <cellStyle name="Millares 5 2 9 5" xfId="7488" xr:uid="{B6ABEAC1-FA7B-475C-9115-A4B2F57ADAF1}"/>
    <cellStyle name="Millares 5 2 9 6" xfId="9160" xr:uid="{6099575C-DAD0-4E34-86F4-495B8E60A172}"/>
    <cellStyle name="Millares 5 3" xfId="3423" xr:uid="{E6E09E27-8DFD-4B37-A1BE-B547BB79E75C}"/>
    <cellStyle name="Millares 5 3 10" xfId="3424" xr:uid="{AE159EF3-8672-47E3-B01A-83AB0BA72628}"/>
    <cellStyle name="Millares 5 3 10 2" xfId="4703" xr:uid="{D43425F0-302F-4D88-AC69-EE436C683EFA}"/>
    <cellStyle name="Millares 5 3 10 2 2" xfId="6376" xr:uid="{02E1EC23-3FA7-4399-9B2A-84657A33804F}"/>
    <cellStyle name="Millares 5 3 10 2 3" xfId="8048" xr:uid="{BB6F4DFD-DFC3-4521-B0AF-4423F9A7F6D9}"/>
    <cellStyle name="Millares 5 3 10 3" xfId="5260" xr:uid="{2AC4E869-DC8D-41F3-BAD6-EBD50F7D2FB7}"/>
    <cellStyle name="Millares 5 3 10 3 2" xfId="6933" xr:uid="{B6697418-8815-409D-A2E9-1C0BE9B726BF}"/>
    <cellStyle name="Millares 5 3 10 3 3" xfId="8605" xr:uid="{A8FA62C3-E971-44CC-A750-1F749E9743E7}"/>
    <cellStyle name="Millares 5 3 10 4" xfId="5818" xr:uid="{56B9CB20-B81D-4567-BAC2-388B1C7DCF65}"/>
    <cellStyle name="Millares 5 3 10 5" xfId="7490" xr:uid="{44787788-258D-453D-A94D-FEC49A7F73FA}"/>
    <cellStyle name="Millares 5 3 10 6" xfId="9162" xr:uid="{10C95449-68E4-41A6-B5EF-7D7C03B4B565}"/>
    <cellStyle name="Millares 5 3 11" xfId="4702" xr:uid="{A09B755C-88C5-4837-8F61-4A900B0477B2}"/>
    <cellStyle name="Millares 5 3 11 2" xfId="6375" xr:uid="{5C4C23EA-98D6-4D37-8227-30E3C92F88AA}"/>
    <cellStyle name="Millares 5 3 11 3" xfId="8047" xr:uid="{17705521-BBDD-49BC-82C7-A9E3532B561F}"/>
    <cellStyle name="Millares 5 3 12" xfId="5259" xr:uid="{2DFF23A9-1424-4AE9-97CA-D012561A1BD9}"/>
    <cellStyle name="Millares 5 3 12 2" xfId="6932" xr:uid="{3CB387CB-AEE8-4D87-BB64-BCBB63BC0888}"/>
    <cellStyle name="Millares 5 3 12 3" xfId="8604" xr:uid="{D48CB5D8-C3A0-4BB9-B513-F408EF1E5BC3}"/>
    <cellStyle name="Millares 5 3 13" xfId="5817" xr:uid="{C6CB2DFB-CD0A-41B2-85C1-CB8208625469}"/>
    <cellStyle name="Millares 5 3 14" xfId="7489" xr:uid="{102F9D9C-2F1E-470C-8A01-BBAF5171042C}"/>
    <cellStyle name="Millares 5 3 15" xfId="9161" xr:uid="{492BC54E-AFE6-411D-AB74-4B3731F36E53}"/>
    <cellStyle name="Millares 5 3 2" xfId="3425" xr:uid="{5406F2D4-073B-45F8-8E59-EAC0521F02C7}"/>
    <cellStyle name="Millares 5 3 2 2" xfId="4704" xr:uid="{2EFECB90-43A9-4198-AB67-8D53CCC692AF}"/>
    <cellStyle name="Millares 5 3 2 2 2" xfId="6377" xr:uid="{CE4297F6-D378-4620-8880-6CD1991FC305}"/>
    <cellStyle name="Millares 5 3 2 2 3" xfId="8049" xr:uid="{7A276A64-0465-44C3-BE83-E07A762BC550}"/>
    <cellStyle name="Millares 5 3 2 3" xfId="5261" xr:uid="{B2B4DC68-699D-4056-B806-2D94BA3A628F}"/>
    <cellStyle name="Millares 5 3 2 3 2" xfId="6934" xr:uid="{3755ED26-543E-449B-AD6A-31105260072B}"/>
    <cellStyle name="Millares 5 3 2 3 3" xfId="8606" xr:uid="{A036E767-A8B9-43D5-9AC8-9B4039E3CFE0}"/>
    <cellStyle name="Millares 5 3 2 4" xfId="5819" xr:uid="{F18FE275-01C7-4F46-A833-B14F1E66E4BF}"/>
    <cellStyle name="Millares 5 3 2 5" xfId="7491" xr:uid="{D69CACB7-BA23-46EF-B1A4-BF96CC5CEE54}"/>
    <cellStyle name="Millares 5 3 2 6" xfId="9163" xr:uid="{6CEAD60C-F116-46A2-B664-AE1BA89A4ED9}"/>
    <cellStyle name="Millares 5 3 3" xfId="3426" xr:uid="{2E9A5C7D-800F-4CBE-97B2-73AF912F4864}"/>
    <cellStyle name="Millares 5 3 3 2" xfId="4705" xr:uid="{D2B72D69-3D43-4021-9EB7-4F9AE61DB66D}"/>
    <cellStyle name="Millares 5 3 3 2 2" xfId="6378" xr:uid="{D19B21F1-0583-4801-90AB-A1F135FD7D9A}"/>
    <cellStyle name="Millares 5 3 3 2 3" xfId="8050" xr:uid="{B9D726E4-8D1C-4320-ADA2-3BCBFCDDC76F}"/>
    <cellStyle name="Millares 5 3 3 3" xfId="5262" xr:uid="{13AC6CE1-0116-415E-B34F-FC5435F176F0}"/>
    <cellStyle name="Millares 5 3 3 3 2" xfId="6935" xr:uid="{CDD0B326-AD76-44C3-AF57-ECB5B9FE213D}"/>
    <cellStyle name="Millares 5 3 3 3 3" xfId="8607" xr:uid="{5AA19BD9-2F5F-4026-A5FE-610C7628358F}"/>
    <cellStyle name="Millares 5 3 3 4" xfId="5820" xr:uid="{34D9B855-3627-4F2B-BFA9-EC7BD519EB31}"/>
    <cellStyle name="Millares 5 3 3 5" xfId="7492" xr:uid="{F45B5CD1-D332-4461-AF87-A95D188866B2}"/>
    <cellStyle name="Millares 5 3 3 6" xfId="9164" xr:uid="{8DF3D8CD-D79B-4BA5-A283-BD524B06D941}"/>
    <cellStyle name="Millares 5 3 4" xfId="3427" xr:uid="{EC6B1679-E2DD-4425-B6E8-38D3CB6DCC3C}"/>
    <cellStyle name="Millares 5 3 4 2" xfId="4706" xr:uid="{8DEE5A01-3690-4E91-AF7F-0E07398D8AE1}"/>
    <cellStyle name="Millares 5 3 4 2 2" xfId="6379" xr:uid="{4149E51A-36F7-42A1-BB1F-27A81C458BC9}"/>
    <cellStyle name="Millares 5 3 4 2 3" xfId="8051" xr:uid="{3B4101F2-32F2-4228-919F-9AC1B007AD69}"/>
    <cellStyle name="Millares 5 3 4 3" xfId="5263" xr:uid="{62B2FF70-3E32-4A18-8C46-C4DA186462DD}"/>
    <cellStyle name="Millares 5 3 4 3 2" xfId="6936" xr:uid="{776B953C-10F5-4712-A6FA-D5DE9D45CD7E}"/>
    <cellStyle name="Millares 5 3 4 3 3" xfId="8608" xr:uid="{56BDDBD4-8F56-4FCC-8F79-E54BA4EDEC41}"/>
    <cellStyle name="Millares 5 3 4 4" xfId="5821" xr:uid="{67CD40AD-C7D7-471D-A8CB-932A447191BA}"/>
    <cellStyle name="Millares 5 3 4 5" xfId="7493" xr:uid="{C0725C23-1687-4625-BF1D-DECC134F0EA0}"/>
    <cellStyle name="Millares 5 3 4 6" xfId="9165" xr:uid="{770C870C-3EC8-4C33-A2BC-D10E85E2867A}"/>
    <cellStyle name="Millares 5 3 5" xfId="3428" xr:uid="{29082B22-5EDA-46C4-800A-24DFCE63F583}"/>
    <cellStyle name="Millares 5 3 5 2" xfId="4707" xr:uid="{1BCFDA9D-9C02-46EC-8552-0A4AA93D2C37}"/>
    <cellStyle name="Millares 5 3 5 2 2" xfId="6380" xr:uid="{5BC32541-9B3C-4227-9535-8CE4B5A545B1}"/>
    <cellStyle name="Millares 5 3 5 2 3" xfId="8052" xr:uid="{73AF1DFD-D499-4F62-8567-9F742355ECE5}"/>
    <cellStyle name="Millares 5 3 5 3" xfId="5264" xr:uid="{B4BF8EE7-3BF2-46EF-B50E-BB32643245E8}"/>
    <cellStyle name="Millares 5 3 5 3 2" xfId="6937" xr:uid="{4CCBEDAB-7F08-4A70-A439-52AD0F28C9C4}"/>
    <cellStyle name="Millares 5 3 5 3 3" xfId="8609" xr:uid="{55C583B8-7236-4589-8970-649ED7C39358}"/>
    <cellStyle name="Millares 5 3 5 4" xfId="5822" xr:uid="{4B2425C9-20BC-4FE3-907A-816FC9FA0208}"/>
    <cellStyle name="Millares 5 3 5 5" xfId="7494" xr:uid="{FC040615-97B0-4C6E-8567-4F0A7A99949B}"/>
    <cellStyle name="Millares 5 3 5 6" xfId="9166" xr:uid="{5CB3E60B-D8F4-4186-90CD-0449E054489A}"/>
    <cellStyle name="Millares 5 3 6" xfId="3429" xr:uid="{2F1411C5-0345-44F1-A555-A659C40F5208}"/>
    <cellStyle name="Millares 5 3 6 2" xfId="4708" xr:uid="{F3C064EF-C2E7-48AE-8E5F-2DDCB6BFCDE5}"/>
    <cellStyle name="Millares 5 3 6 2 2" xfId="6381" xr:uid="{0641CC55-AFFF-4F30-8FF7-BAF6C62D3BB8}"/>
    <cellStyle name="Millares 5 3 6 2 3" xfId="8053" xr:uid="{7AF200D1-7A4C-4C7C-9260-E28466FE8868}"/>
    <cellStyle name="Millares 5 3 6 3" xfId="5265" xr:uid="{C31C31D4-A683-422F-A1A5-F57ECF5DC4D0}"/>
    <cellStyle name="Millares 5 3 6 3 2" xfId="6938" xr:uid="{27124845-0DD8-4542-B20C-34B96C1708E6}"/>
    <cellStyle name="Millares 5 3 6 3 3" xfId="8610" xr:uid="{E03866B2-EBD4-4E91-BEB9-7F2B9C77F7DC}"/>
    <cellStyle name="Millares 5 3 6 4" xfId="5823" xr:uid="{FC38EFE8-5728-4456-89DA-A1BB06B765B9}"/>
    <cellStyle name="Millares 5 3 6 5" xfId="7495" xr:uid="{03550C0C-2F0F-496E-90BA-92C3ECC362BA}"/>
    <cellStyle name="Millares 5 3 6 6" xfId="9167" xr:uid="{4EE6D331-797B-4461-974C-2298E666835C}"/>
    <cellStyle name="Millares 5 3 7" xfId="3430" xr:uid="{5AAEDBC3-2CD1-4AF6-9264-522EFA5B13E1}"/>
    <cellStyle name="Millares 5 3 7 2" xfId="4709" xr:uid="{6D230BC9-C2C6-466C-AE5E-488C353AD291}"/>
    <cellStyle name="Millares 5 3 7 2 2" xfId="6382" xr:uid="{C9274E7E-8406-458C-A6FA-77237B1D010B}"/>
    <cellStyle name="Millares 5 3 7 2 3" xfId="8054" xr:uid="{5B88A0F1-0B94-484F-81D7-549226889C44}"/>
    <cellStyle name="Millares 5 3 7 3" xfId="5266" xr:uid="{44D27815-39D9-4A27-88F2-C230D465593B}"/>
    <cellStyle name="Millares 5 3 7 3 2" xfId="6939" xr:uid="{3027A7E3-242E-453C-A079-1973B662F1AB}"/>
    <cellStyle name="Millares 5 3 7 3 3" xfId="8611" xr:uid="{2582D4C8-3E17-41EE-8793-71C189D57CC4}"/>
    <cellStyle name="Millares 5 3 7 4" xfId="5824" xr:uid="{6DC67C47-549F-4C9F-9C80-D3EBB899AAF3}"/>
    <cellStyle name="Millares 5 3 7 5" xfId="7496" xr:uid="{139480DF-5090-4C7C-85F4-9C9890F6F4C1}"/>
    <cellStyle name="Millares 5 3 7 6" xfId="9168" xr:uid="{85F87982-496D-49EC-B980-4ECDDDC50418}"/>
    <cellStyle name="Millares 5 3 8" xfId="3431" xr:uid="{B1575085-3001-434B-9488-447E55CFFBD5}"/>
    <cellStyle name="Millares 5 3 8 2" xfId="4710" xr:uid="{E95FC843-7B82-40EF-8993-A29744856FBC}"/>
    <cellStyle name="Millares 5 3 8 2 2" xfId="6383" xr:uid="{6AFE8963-5A83-4074-B28D-163D731D43CA}"/>
    <cellStyle name="Millares 5 3 8 2 3" xfId="8055" xr:uid="{66092AB8-4E8D-49E9-A991-D0B948729168}"/>
    <cellStyle name="Millares 5 3 8 3" xfId="5267" xr:uid="{88BEA2E2-878F-4013-BF39-876A63CA318F}"/>
    <cellStyle name="Millares 5 3 8 3 2" xfId="6940" xr:uid="{AB3B88CD-A6CD-439F-807D-32A7FDBA9370}"/>
    <cellStyle name="Millares 5 3 8 3 3" xfId="8612" xr:uid="{0E215276-6A0A-4241-91DF-84800FAC543C}"/>
    <cellStyle name="Millares 5 3 8 4" xfId="5825" xr:uid="{C4CA0B03-39D0-466B-8499-A42F8FF031CE}"/>
    <cellStyle name="Millares 5 3 8 5" xfId="7497" xr:uid="{597D260D-CEB9-4953-A864-3C5C0662C355}"/>
    <cellStyle name="Millares 5 3 8 6" xfId="9169" xr:uid="{F8C4473F-631E-4F79-A22B-7B0DBD969609}"/>
    <cellStyle name="Millares 5 3 9" xfId="3432" xr:uid="{74A8AC8F-3BF5-4136-8A4E-3C7FB83801A9}"/>
    <cellStyle name="Millares 5 3 9 2" xfId="4711" xr:uid="{39F2A2AE-B196-455A-9C61-97F4F4A1A2F7}"/>
    <cellStyle name="Millares 5 3 9 2 2" xfId="6384" xr:uid="{66F397F0-9593-4C5E-B38F-69A032F624E5}"/>
    <cellStyle name="Millares 5 3 9 2 3" xfId="8056" xr:uid="{2374878F-3240-457E-970C-D91A7FE19436}"/>
    <cellStyle name="Millares 5 3 9 3" xfId="5268" xr:uid="{0582B815-BD8D-445B-B5BD-6A25757D5878}"/>
    <cellStyle name="Millares 5 3 9 3 2" xfId="6941" xr:uid="{20A784E6-A763-4DAF-8950-ADB944DF44D4}"/>
    <cellStyle name="Millares 5 3 9 3 3" xfId="8613" xr:uid="{BCE1E1CE-8E7E-4B40-8009-26BAE76BD2D6}"/>
    <cellStyle name="Millares 5 3 9 4" xfId="5826" xr:uid="{73BD5933-4928-4210-8177-9AD87070934A}"/>
    <cellStyle name="Millares 5 3 9 5" xfId="7498" xr:uid="{3E17F7F0-E9F3-4F1B-886F-B761600EAC2D}"/>
    <cellStyle name="Millares 5 3 9 6" xfId="9170" xr:uid="{ABEB0E0C-DB8E-4EC3-BD0C-B01D228D709E}"/>
    <cellStyle name="Millares 5 4" xfId="3433" xr:uid="{C934377C-08A9-4131-AEFA-389BAD26CF2F}"/>
    <cellStyle name="Millares 5 4 2" xfId="4712" xr:uid="{2BB1FA73-C725-42DB-A630-12BD2028974B}"/>
    <cellStyle name="Millares 5 4 2 2" xfId="6385" xr:uid="{DE8F1597-1DAB-499F-9B1A-B938497266CA}"/>
    <cellStyle name="Millares 5 4 2 3" xfId="8057" xr:uid="{ECFC2A24-3B48-46FB-979A-0664FE038CE4}"/>
    <cellStyle name="Millares 5 4 3" xfId="5269" xr:uid="{E77E5B0F-8BFA-4D3E-8638-825C9C655B8C}"/>
    <cellStyle name="Millares 5 4 3 2" xfId="6942" xr:uid="{7F3BA0DD-69F2-4CC3-9D31-03C80E500BBB}"/>
    <cellStyle name="Millares 5 4 3 3" xfId="8614" xr:uid="{85C05CC2-EB9D-418E-A6BD-47663C474BCF}"/>
    <cellStyle name="Millares 5 4 4" xfId="5827" xr:uid="{09D80156-78F7-43EE-9CAA-AC5CD8D97B56}"/>
    <cellStyle name="Millares 5 4 5" xfId="7499" xr:uid="{010FE73C-1976-478E-8ECF-6C410102F44E}"/>
    <cellStyle name="Millares 5 4 6" xfId="9171" xr:uid="{4E79E5A5-92D1-43D3-B9EF-5C60DC5AB658}"/>
    <cellStyle name="Millares 5 5" xfId="3434" xr:uid="{55146D40-B90A-40E0-B3B0-42A6C2ED096C}"/>
    <cellStyle name="Millares 5 5 2" xfId="4713" xr:uid="{09DDFD4F-42A1-49B6-9B6C-2F566C16A9C2}"/>
    <cellStyle name="Millares 5 5 2 2" xfId="6386" xr:uid="{3D88287A-7E1B-4933-B6A8-AE0F608478F4}"/>
    <cellStyle name="Millares 5 5 2 3" xfId="8058" xr:uid="{3C1EFF93-0FF7-4335-BB4D-793C4D552DD9}"/>
    <cellStyle name="Millares 5 5 3" xfId="5270" xr:uid="{F7099816-0ADB-4425-BD68-DB8C217101D6}"/>
    <cellStyle name="Millares 5 5 3 2" xfId="6943" xr:uid="{6726E8CB-8084-4A45-9630-A8D68B5533B2}"/>
    <cellStyle name="Millares 5 5 3 3" xfId="8615" xr:uid="{D343FAB0-89F1-4FA3-90B7-3516AB1F4455}"/>
    <cellStyle name="Millares 5 5 4" xfId="5828" xr:uid="{05CCBB49-64C3-4F94-A286-0367CFAB04A6}"/>
    <cellStyle name="Millares 5 5 5" xfId="7500" xr:uid="{A9D6B8B5-BD72-4422-8654-EA1DE01BAAD8}"/>
    <cellStyle name="Millares 5 5 6" xfId="9172" xr:uid="{981F99EC-EEE8-41DD-B6FA-7C184B423B95}"/>
    <cellStyle name="Millares 5 6" xfId="3435" xr:uid="{A5F2C961-6A9E-4D54-87B5-20BFE9EA8337}"/>
    <cellStyle name="Millares 5 6 2" xfId="4714" xr:uid="{3761FCC8-722C-4F8D-812D-0C7020CE7056}"/>
    <cellStyle name="Millares 5 6 2 2" xfId="6387" xr:uid="{DFB9A27F-3823-444D-85C4-B47C17A6CB69}"/>
    <cellStyle name="Millares 5 6 2 3" xfId="8059" xr:uid="{CAAA3D2D-C471-4D81-9382-653894C78EE3}"/>
    <cellStyle name="Millares 5 6 3" xfId="5271" xr:uid="{8DFF8B29-FCF2-4488-A650-BBB74EE24CF1}"/>
    <cellStyle name="Millares 5 6 3 2" xfId="6944" xr:uid="{91961ADA-88C9-4905-B145-0DA25255A742}"/>
    <cellStyle name="Millares 5 6 3 3" xfId="8616" xr:uid="{826BAE06-463A-49C3-8FE5-68981448C158}"/>
    <cellStyle name="Millares 5 6 4" xfId="5829" xr:uid="{3D7A0321-E663-472D-B9D4-0C615FAD85B9}"/>
    <cellStyle name="Millares 5 6 5" xfId="7501" xr:uid="{44A34C66-A363-4D29-B0C1-224334B962E5}"/>
    <cellStyle name="Millares 5 6 6" xfId="9173" xr:uid="{29FF4B77-CC74-4E65-8DA3-3C501BCCDC9E}"/>
    <cellStyle name="Millares 5 7" xfId="3436" xr:uid="{DF9B4111-A1B9-439C-85F7-4803807717C2}"/>
    <cellStyle name="Millares 5 7 2" xfId="4715" xr:uid="{A38A0FD2-D380-4891-9916-9C2820860F16}"/>
    <cellStyle name="Millares 5 7 2 2" xfId="6388" xr:uid="{87726142-BDF7-455A-AF57-3283EDF34B2A}"/>
    <cellStyle name="Millares 5 7 2 3" xfId="8060" xr:uid="{7ACEF665-20D9-44F1-873B-781B746833F3}"/>
    <cellStyle name="Millares 5 7 3" xfId="5272" xr:uid="{760BE509-D4CA-4105-B5EC-EC0EA2F6F4F3}"/>
    <cellStyle name="Millares 5 7 3 2" xfId="6945" xr:uid="{6707EE87-324B-44A1-A506-AE9B415BCFAB}"/>
    <cellStyle name="Millares 5 7 3 3" xfId="8617" xr:uid="{64449669-6579-4704-8C41-327490A8E829}"/>
    <cellStyle name="Millares 5 7 4" xfId="5830" xr:uid="{316E22CE-5D2C-461D-81F3-8C5C362F4961}"/>
    <cellStyle name="Millares 5 7 5" xfId="7502" xr:uid="{64FC4574-DC58-4736-AEB7-1E5D5906DFE8}"/>
    <cellStyle name="Millares 5 7 6" xfId="9174" xr:uid="{5376F9CA-CAE5-4E08-AC60-FDE922006D1E}"/>
    <cellStyle name="Millares 5 8" xfId="3437" xr:uid="{B7980D96-C943-4FDD-BA38-18B88843195E}"/>
    <cellStyle name="Millares 5 8 2" xfId="4716" xr:uid="{F86779E5-4B28-4DB8-BE55-A4DFFD1841DD}"/>
    <cellStyle name="Millares 5 8 2 2" xfId="6389" xr:uid="{668B2B0B-8F64-4CC0-8469-90F9970E39A7}"/>
    <cellStyle name="Millares 5 8 2 3" xfId="8061" xr:uid="{95719325-F451-4F24-929D-01A2396C460D}"/>
    <cellStyle name="Millares 5 8 3" xfId="5273" xr:uid="{A2465EE0-4B1D-49A4-85FF-30815174E76E}"/>
    <cellStyle name="Millares 5 8 3 2" xfId="6946" xr:uid="{F3A9D2A0-67B5-438E-8B26-3F56334830B1}"/>
    <cellStyle name="Millares 5 8 3 3" xfId="8618" xr:uid="{B21101F8-7EB9-4536-A41D-D61B5DFC1E3C}"/>
    <cellStyle name="Millares 5 8 4" xfId="5831" xr:uid="{E803C395-C378-490A-9DC3-BD006BD93B01}"/>
    <cellStyle name="Millares 5 8 5" xfId="7503" xr:uid="{4EEB3835-85C5-4D4B-9A92-592A4BB9A098}"/>
    <cellStyle name="Millares 5 8 6" xfId="9175" xr:uid="{67CB17A8-3563-49D0-BAB5-513D69C0EC80}"/>
    <cellStyle name="Millares 5 9" xfId="3438" xr:uid="{BACA65E2-5E80-4CB3-95A4-B77C086AC160}"/>
    <cellStyle name="Millares 5 9 2" xfId="4717" xr:uid="{0BF7B519-5A74-41D7-8297-5073ACD53D23}"/>
    <cellStyle name="Millares 5 9 2 2" xfId="6390" xr:uid="{0FFBF435-0B88-4972-85AC-E3C083C779BA}"/>
    <cellStyle name="Millares 5 9 2 3" xfId="8062" xr:uid="{BBF82C6C-5C1A-4214-9577-CB2B3388112B}"/>
    <cellStyle name="Millares 5 9 3" xfId="5274" xr:uid="{6E153732-48FC-4D3A-9213-0172B000AD14}"/>
    <cellStyle name="Millares 5 9 3 2" xfId="6947" xr:uid="{B6F99C98-4A98-415A-81BE-A365BBC01536}"/>
    <cellStyle name="Millares 5 9 3 3" xfId="8619" xr:uid="{5752104F-4D4B-4DC1-957D-614EACDCFE50}"/>
    <cellStyle name="Millares 5 9 4" xfId="5832" xr:uid="{EBFDDE37-2960-45D6-AE9D-AD7B972F7463}"/>
    <cellStyle name="Millares 5 9 5" xfId="7504" xr:uid="{F2C16CB6-D6CA-4C75-8F42-7EF365233550}"/>
    <cellStyle name="Millares 5 9 6" xfId="9176" xr:uid="{491AD372-F925-4F81-B6DC-591092556F7F}"/>
    <cellStyle name="Millares 6" xfId="3439" xr:uid="{C1D7FAE2-03DE-4326-AAA5-EF8213D775F8}"/>
    <cellStyle name="Millares 6 10" xfId="3440" xr:uid="{0B6D1C77-494E-47EB-B467-5F63F7C0A142}"/>
    <cellStyle name="Millares 6 10 2" xfId="4719" xr:uid="{D18380EA-6643-450F-961E-3E5950F81E5E}"/>
    <cellStyle name="Millares 6 10 2 2" xfId="6392" xr:uid="{75EA1687-7B75-4B95-BF7F-74C919EE3839}"/>
    <cellStyle name="Millares 6 10 2 3" xfId="8064" xr:uid="{EEA9F88C-2768-41E2-B06A-1B3BCF06732A}"/>
    <cellStyle name="Millares 6 10 3" xfId="5276" xr:uid="{F6030F90-DA6C-4DBB-B341-50532E5F6DC4}"/>
    <cellStyle name="Millares 6 10 3 2" xfId="6949" xr:uid="{3F0A6143-0446-436B-B192-7B86638F6087}"/>
    <cellStyle name="Millares 6 10 3 3" xfId="8621" xr:uid="{12A1BA84-A22E-4A7D-90F5-E6D2DA3A905C}"/>
    <cellStyle name="Millares 6 10 4" xfId="5834" xr:uid="{CE2EAF11-AC83-4D30-9D09-4450A63D6C70}"/>
    <cellStyle name="Millares 6 10 5" xfId="7506" xr:uid="{DF44031B-760C-4939-B635-6AE37FD5FCAB}"/>
    <cellStyle name="Millares 6 10 6" xfId="9178" xr:uid="{BD4C1EB8-6410-43CC-BCA3-71363C3812D7}"/>
    <cellStyle name="Millares 6 11" xfId="3441" xr:uid="{C2A21A11-0DBA-4D0E-A626-DB36785D6B66}"/>
    <cellStyle name="Millares 6 11 2" xfId="4720" xr:uid="{0C2C6D74-27F0-4E4F-B23A-CD8370243B8F}"/>
    <cellStyle name="Millares 6 11 2 2" xfId="6393" xr:uid="{536028E9-4DA0-4EB1-B71B-C520DDC2CEF3}"/>
    <cellStyle name="Millares 6 11 2 3" xfId="8065" xr:uid="{4378A65A-5EF9-4D00-8ED1-6FB3E55FA7CA}"/>
    <cellStyle name="Millares 6 11 3" xfId="5277" xr:uid="{9DF1A567-B24C-4B1C-B593-7058404DDA09}"/>
    <cellStyle name="Millares 6 11 3 2" xfId="6950" xr:uid="{A7D65589-73CC-4F10-8589-A86DC0938FC6}"/>
    <cellStyle name="Millares 6 11 3 3" xfId="8622" xr:uid="{863C37C5-575F-4397-8391-50A05138A513}"/>
    <cellStyle name="Millares 6 11 4" xfId="5835" xr:uid="{AF7D5B02-CD69-4C05-8B77-CFD34B43FC0B}"/>
    <cellStyle name="Millares 6 11 5" xfId="7507" xr:uid="{9B6BCF50-26CE-4220-A62E-21FB7BCC12EA}"/>
    <cellStyle name="Millares 6 11 6" xfId="9179" xr:uid="{849C5C9B-52BE-4417-91E7-FE03BA5FC0B3}"/>
    <cellStyle name="Millares 6 12" xfId="3442" xr:uid="{02E9CCEF-4E72-46AC-B144-DE83E98E80D3}"/>
    <cellStyle name="Millares 6 12 2" xfId="4721" xr:uid="{59FEEB21-54AE-4FEB-82E6-2C6600091FBE}"/>
    <cellStyle name="Millares 6 12 2 2" xfId="6394" xr:uid="{F72CFE89-79B7-4926-A1E5-BA89C6BAD22D}"/>
    <cellStyle name="Millares 6 12 2 3" xfId="8066" xr:uid="{4194E338-58EF-43F1-A03D-3FFC8FD60463}"/>
    <cellStyle name="Millares 6 12 3" xfId="5278" xr:uid="{48B42FE9-7EF9-406E-9FE7-4E9FF5042EA9}"/>
    <cellStyle name="Millares 6 12 3 2" xfId="6951" xr:uid="{88B4C39D-5597-4B95-BF6E-D2D471EEDCDC}"/>
    <cellStyle name="Millares 6 12 3 3" xfId="8623" xr:uid="{43DF5BD4-2473-4D68-8EAA-C5EBCF28C144}"/>
    <cellStyle name="Millares 6 12 4" xfId="5836" xr:uid="{78314528-4A31-4D5A-8CFD-D9E5CDD71D0D}"/>
    <cellStyle name="Millares 6 12 5" xfId="7508" xr:uid="{4403F871-289D-4DB2-B515-83BCCF93D0FA}"/>
    <cellStyle name="Millares 6 12 6" xfId="9180" xr:uid="{A60F44D4-BBF8-4007-AE5C-0FD02C602142}"/>
    <cellStyle name="Millares 6 13" xfId="4718" xr:uid="{46BA521A-167A-4AFD-B7E3-AED9CEBB8C5D}"/>
    <cellStyle name="Millares 6 13 2" xfId="6391" xr:uid="{B97ED0E2-16B5-4CDF-8E04-8F817470F4D7}"/>
    <cellStyle name="Millares 6 13 3" xfId="8063" xr:uid="{B3618F34-3D23-4FA5-9C8A-BAE8236FAFFB}"/>
    <cellStyle name="Millares 6 14" xfId="5275" xr:uid="{C1B8ABC0-0F70-48C9-AA16-18362AFF3E7F}"/>
    <cellStyle name="Millares 6 14 2" xfId="6948" xr:uid="{BFB751B0-E8C5-4BA3-9E0A-75CA439E0B14}"/>
    <cellStyle name="Millares 6 14 3" xfId="8620" xr:uid="{DA238275-4AFC-4DF4-A25F-0292E63DFF27}"/>
    <cellStyle name="Millares 6 15" xfId="5833" xr:uid="{61EE9DF6-40BA-4C27-BF39-B2F3BFACCAE7}"/>
    <cellStyle name="Millares 6 16" xfId="7505" xr:uid="{53C0A0D0-0BBE-4AA3-B799-D3EF54258A60}"/>
    <cellStyle name="Millares 6 17" xfId="9177" xr:uid="{803B30AD-453A-4C90-BF0C-BD53CFB2CE57}"/>
    <cellStyle name="Millares 6 2" xfId="3443" xr:uid="{C2140845-8BA5-4D7E-A639-8E3BDC8A81F6}"/>
    <cellStyle name="Millares 6 2 10" xfId="3444" xr:uid="{95A631B6-A946-4E1C-B6FA-C67B97A7A2A9}"/>
    <cellStyle name="Millares 6 2 10 2" xfId="4723" xr:uid="{2DEFC469-CF6F-45D9-A3DF-CF742ADCD8A2}"/>
    <cellStyle name="Millares 6 2 10 2 2" xfId="6396" xr:uid="{602949F3-5D8C-4210-BFE4-CFE49C53CB44}"/>
    <cellStyle name="Millares 6 2 10 2 3" xfId="8068" xr:uid="{84F6EF51-2157-4E59-9CDD-092D05415279}"/>
    <cellStyle name="Millares 6 2 10 3" xfId="5280" xr:uid="{EFF92CCE-0D43-4FE1-969D-67340AB08A66}"/>
    <cellStyle name="Millares 6 2 10 3 2" xfId="6953" xr:uid="{D7555BF7-FED5-42D2-9BA3-E31A4AD5EB2A}"/>
    <cellStyle name="Millares 6 2 10 3 3" xfId="8625" xr:uid="{310AAAD3-CF9B-47B1-B459-CB1A02C5F6FA}"/>
    <cellStyle name="Millares 6 2 10 4" xfId="5838" xr:uid="{2800C28A-6C2A-41AD-9022-B46B87837522}"/>
    <cellStyle name="Millares 6 2 10 5" xfId="7510" xr:uid="{EA3AAAF3-02E4-49FB-B83D-BAE1045FD533}"/>
    <cellStyle name="Millares 6 2 10 6" xfId="9182" xr:uid="{241C85F8-CF3E-4588-AF73-833C7CED5586}"/>
    <cellStyle name="Millares 6 2 11" xfId="4722" xr:uid="{BE0223F9-08E1-41F1-A8E7-F7B205ABB192}"/>
    <cellStyle name="Millares 6 2 11 2" xfId="6395" xr:uid="{3F7D69D9-5748-479C-A4B0-CEAE0713DB33}"/>
    <cellStyle name="Millares 6 2 11 3" xfId="8067" xr:uid="{FB41C7FF-0666-4AFD-A0A6-61F4627DE389}"/>
    <cellStyle name="Millares 6 2 12" xfId="5279" xr:uid="{C18E0B75-DD00-429C-8C24-8D318BEF0B50}"/>
    <cellStyle name="Millares 6 2 12 2" xfId="6952" xr:uid="{7B2E04BD-EE74-469E-9FAB-A61F5BB6C5FA}"/>
    <cellStyle name="Millares 6 2 12 3" xfId="8624" xr:uid="{C31AB9FB-F71E-45BD-A7F4-5BB7AC6F4D9E}"/>
    <cellStyle name="Millares 6 2 13" xfId="5837" xr:uid="{689F5317-BAD9-4785-A7F5-04E661D395CE}"/>
    <cellStyle name="Millares 6 2 14" xfId="7509" xr:uid="{D2BBA2AA-0478-469C-9D2F-ACD996FADB9E}"/>
    <cellStyle name="Millares 6 2 15" xfId="9181" xr:uid="{24BEF12A-2AF9-4863-9B98-DBE87CA4AF80}"/>
    <cellStyle name="Millares 6 2 2" xfId="3445" xr:uid="{C3EFDB74-FD22-481A-A104-63E1C69F5E35}"/>
    <cellStyle name="Millares 6 2 2 2" xfId="4724" xr:uid="{641CFE2F-43F1-4320-B781-15E0EE98C626}"/>
    <cellStyle name="Millares 6 2 2 2 2" xfId="6397" xr:uid="{E59A7464-0E83-4EFB-9757-4F5A412F5F4E}"/>
    <cellStyle name="Millares 6 2 2 2 3" xfId="8069" xr:uid="{69E98CA3-1F24-44D4-A2BB-F2E1C0520F3D}"/>
    <cellStyle name="Millares 6 2 2 3" xfId="5281" xr:uid="{E3DE5233-BDDD-453E-A320-EA18DDFC6F60}"/>
    <cellStyle name="Millares 6 2 2 3 2" xfId="6954" xr:uid="{8CAA60DB-AEAB-4F0E-A357-78FD9FD5394D}"/>
    <cellStyle name="Millares 6 2 2 3 3" xfId="8626" xr:uid="{BDCF33F6-0DBB-4A0F-B668-F424BDCC4463}"/>
    <cellStyle name="Millares 6 2 2 4" xfId="5839" xr:uid="{09D4FF44-F05A-4C91-A970-CDB5933F759D}"/>
    <cellStyle name="Millares 6 2 2 5" xfId="7511" xr:uid="{FFC1FD90-6D39-47FB-817D-6034195F287A}"/>
    <cellStyle name="Millares 6 2 2 6" xfId="9183" xr:uid="{1B8D9522-1E1D-4200-AEBA-5473609121E0}"/>
    <cellStyle name="Millares 6 2 3" xfId="3446" xr:uid="{45220A25-0EFA-46C4-819B-B52C7A7A0BF9}"/>
    <cellStyle name="Millares 6 2 3 2" xfId="4725" xr:uid="{AA0F43A8-0D01-4855-86AA-8CAFE129B267}"/>
    <cellStyle name="Millares 6 2 3 2 2" xfId="6398" xr:uid="{70FDD724-519A-4227-9BDD-488C9538E2BC}"/>
    <cellStyle name="Millares 6 2 3 2 3" xfId="8070" xr:uid="{7796DA0B-2AC3-44FF-AF14-07C21A615DEC}"/>
    <cellStyle name="Millares 6 2 3 3" xfId="5282" xr:uid="{F475355B-3EC2-468D-B579-0FE16AD8C7AF}"/>
    <cellStyle name="Millares 6 2 3 3 2" xfId="6955" xr:uid="{9690220D-BE23-4497-B346-10EE787ADB0E}"/>
    <cellStyle name="Millares 6 2 3 3 3" xfId="8627" xr:uid="{4230B08F-064C-45B6-BE1A-118836EBBE6F}"/>
    <cellStyle name="Millares 6 2 3 4" xfId="5840" xr:uid="{543AEA43-79A4-480A-BCDB-3B55FD6BB4C9}"/>
    <cellStyle name="Millares 6 2 3 5" xfId="7512" xr:uid="{5705540C-8EF0-40F6-972B-F3C91BDD06D5}"/>
    <cellStyle name="Millares 6 2 3 6" xfId="9184" xr:uid="{F86B2010-3F91-4D03-82C9-0B672C1A4F6E}"/>
    <cellStyle name="Millares 6 2 4" xfId="3447" xr:uid="{5D247514-55E9-4731-8AB8-E74635DCC373}"/>
    <cellStyle name="Millares 6 2 4 2" xfId="4726" xr:uid="{98630459-D98E-4064-B323-61DD6E414D81}"/>
    <cellStyle name="Millares 6 2 4 2 2" xfId="6399" xr:uid="{B6C13D3C-9017-4DDA-98DE-ACD54317D59D}"/>
    <cellStyle name="Millares 6 2 4 2 3" xfId="8071" xr:uid="{AC8587A6-9C88-438D-894F-27D1F0F06A18}"/>
    <cellStyle name="Millares 6 2 4 3" xfId="5283" xr:uid="{0850FF87-71C3-476D-A70F-E1FD9F46DA40}"/>
    <cellStyle name="Millares 6 2 4 3 2" xfId="6956" xr:uid="{D7AFE537-26CD-4517-A569-D10089491768}"/>
    <cellStyle name="Millares 6 2 4 3 3" xfId="8628" xr:uid="{6D9E2477-510C-4E44-9A93-FB141C2B1AE5}"/>
    <cellStyle name="Millares 6 2 4 4" xfId="5841" xr:uid="{981A6673-4FA4-4880-93CE-F9613BB8881D}"/>
    <cellStyle name="Millares 6 2 4 5" xfId="7513" xr:uid="{AC9C4009-2512-4A82-ADC6-D278DB1DAB70}"/>
    <cellStyle name="Millares 6 2 4 6" xfId="9185" xr:uid="{0DC9444E-6894-4677-8900-EA27374A9223}"/>
    <cellStyle name="Millares 6 2 5" xfId="3448" xr:uid="{8FF86A32-2AAD-49FF-86AB-0460BBA576AC}"/>
    <cellStyle name="Millares 6 2 5 2" xfId="4727" xr:uid="{F66C23DE-8399-4E1D-8E2F-9CC17B21C911}"/>
    <cellStyle name="Millares 6 2 5 2 2" xfId="6400" xr:uid="{EF744CFB-E0AD-4615-8903-1E3EA2568690}"/>
    <cellStyle name="Millares 6 2 5 2 3" xfId="8072" xr:uid="{4C1755CF-62A7-4C99-9013-C5A9C0AA5921}"/>
    <cellStyle name="Millares 6 2 5 3" xfId="5284" xr:uid="{D47712B4-9D06-4955-838D-E6A2C55150DA}"/>
    <cellStyle name="Millares 6 2 5 3 2" xfId="6957" xr:uid="{D5AE9039-9387-4EA5-833A-2B9F7A083EF0}"/>
    <cellStyle name="Millares 6 2 5 3 3" xfId="8629" xr:uid="{202B8890-6C67-4448-B999-B586A8329F2B}"/>
    <cellStyle name="Millares 6 2 5 4" xfId="5842" xr:uid="{9FD088CA-FE88-4C55-A88E-D4661894F8F4}"/>
    <cellStyle name="Millares 6 2 5 5" xfId="7514" xr:uid="{02128BA7-3E43-4520-A654-2121F00AD067}"/>
    <cellStyle name="Millares 6 2 5 6" xfId="9186" xr:uid="{F25721F3-B5A9-4D4A-877B-F8099D402F0F}"/>
    <cellStyle name="Millares 6 2 6" xfId="3449" xr:uid="{8C35818B-076C-4C2D-AD6F-30753FFA16E1}"/>
    <cellStyle name="Millares 6 2 6 2" xfId="4728" xr:uid="{EE68EA27-B862-4DA5-9307-935D1EAF8854}"/>
    <cellStyle name="Millares 6 2 6 2 2" xfId="6401" xr:uid="{EA7FD2D2-AF9B-41EC-86FC-9F56ED218CAD}"/>
    <cellStyle name="Millares 6 2 6 2 3" xfId="8073" xr:uid="{AC04C1DD-F63C-4151-B112-DEA9DD356D6B}"/>
    <cellStyle name="Millares 6 2 6 3" xfId="5285" xr:uid="{89C04429-5FCF-4CF8-8641-54F4BD8B95A9}"/>
    <cellStyle name="Millares 6 2 6 3 2" xfId="6958" xr:uid="{0925CE32-CF05-4137-9189-E024CFA4A4B8}"/>
    <cellStyle name="Millares 6 2 6 3 3" xfId="8630" xr:uid="{43FED076-B8B5-4232-82A0-C234A4998279}"/>
    <cellStyle name="Millares 6 2 6 4" xfId="5843" xr:uid="{52241241-53D7-409E-B0FD-BA55EF41F2DD}"/>
    <cellStyle name="Millares 6 2 6 5" xfId="7515" xr:uid="{01413B12-1A22-4ECF-BB40-7CA9485700B4}"/>
    <cellStyle name="Millares 6 2 6 6" xfId="9187" xr:uid="{4087F4B9-A9F8-48E5-A247-DED2CF5C1F9A}"/>
    <cellStyle name="Millares 6 2 7" xfId="3450" xr:uid="{32C0FFC0-66A2-458B-85B2-DB44FEACE5AA}"/>
    <cellStyle name="Millares 6 2 7 2" xfId="4729" xr:uid="{C0F7283B-F5C3-4D88-9E2F-269AA2E9C5C7}"/>
    <cellStyle name="Millares 6 2 7 2 2" xfId="6402" xr:uid="{01A91E59-06DF-4324-9660-F5DA112EF785}"/>
    <cellStyle name="Millares 6 2 7 2 3" xfId="8074" xr:uid="{455D3985-635B-4F84-ADC7-6EE4A4AA8BB2}"/>
    <cellStyle name="Millares 6 2 7 3" xfId="5286" xr:uid="{D0B94786-BD54-4756-B452-82E54D5221B4}"/>
    <cellStyle name="Millares 6 2 7 3 2" xfId="6959" xr:uid="{178B0DEF-171D-42B8-A586-20939B4D251A}"/>
    <cellStyle name="Millares 6 2 7 3 3" xfId="8631" xr:uid="{85C67BB2-C44F-48DE-B9EC-B6E4A6865A49}"/>
    <cellStyle name="Millares 6 2 7 4" xfId="5844" xr:uid="{A5F5FCD3-21A9-4008-AFEE-FF4B3EE12E83}"/>
    <cellStyle name="Millares 6 2 7 5" xfId="7516" xr:uid="{6D4019E4-DD7F-42B8-88D3-ADE420307E2E}"/>
    <cellStyle name="Millares 6 2 7 6" xfId="9188" xr:uid="{76621B36-EB83-4101-84AF-5A3E9168C44C}"/>
    <cellStyle name="Millares 6 2 8" xfId="3451" xr:uid="{021FD448-D778-4FAC-B79E-C7B11C2EA2EC}"/>
    <cellStyle name="Millares 6 2 8 2" xfId="4730" xr:uid="{8CAE3BBC-91EA-46A2-95EB-762380E2EC9A}"/>
    <cellStyle name="Millares 6 2 8 2 2" xfId="6403" xr:uid="{5F1C8877-D3F2-48E3-865E-17E9EB21D94B}"/>
    <cellStyle name="Millares 6 2 8 2 3" xfId="8075" xr:uid="{0D169225-9FD3-49CC-9D62-5F3424DFF06F}"/>
    <cellStyle name="Millares 6 2 8 3" xfId="5287" xr:uid="{D39D2F03-2E1C-4B6B-BEC4-3E9F0D66FAEB}"/>
    <cellStyle name="Millares 6 2 8 3 2" xfId="6960" xr:uid="{E511E6FB-5925-476E-93B5-54A454C7DF47}"/>
    <cellStyle name="Millares 6 2 8 3 3" xfId="8632" xr:uid="{961B36C4-C366-4D98-853A-57D75B9BB6EA}"/>
    <cellStyle name="Millares 6 2 8 4" xfId="5845" xr:uid="{36222DA3-1857-4EB3-9313-C96047AB33A8}"/>
    <cellStyle name="Millares 6 2 8 5" xfId="7517" xr:uid="{DE74B9B6-7220-40B2-B66C-DC88A7F236B8}"/>
    <cellStyle name="Millares 6 2 8 6" xfId="9189" xr:uid="{884766BE-6122-441F-8413-2E3613B79F6F}"/>
    <cellStyle name="Millares 6 2 9" xfId="3452" xr:uid="{CB82D3BC-2781-42EC-AFC7-47E49FDCB436}"/>
    <cellStyle name="Millares 6 2 9 2" xfId="4731" xr:uid="{A2CFDEE7-2A67-49EC-B24F-7C64F53853F0}"/>
    <cellStyle name="Millares 6 2 9 2 2" xfId="6404" xr:uid="{301CED67-24F5-4942-9EDB-9D74965DEA17}"/>
    <cellStyle name="Millares 6 2 9 2 3" xfId="8076" xr:uid="{26EC25DB-8D1E-45FF-8A17-9572E33FA34F}"/>
    <cellStyle name="Millares 6 2 9 3" xfId="5288" xr:uid="{392ED806-363F-40EB-BCE0-B611C8B6A39B}"/>
    <cellStyle name="Millares 6 2 9 3 2" xfId="6961" xr:uid="{212C0197-30E4-451F-838A-7A2AF9A646AB}"/>
    <cellStyle name="Millares 6 2 9 3 3" xfId="8633" xr:uid="{C31A020D-8AC2-4BB5-B35B-A30A53A7383C}"/>
    <cellStyle name="Millares 6 2 9 4" xfId="5846" xr:uid="{C020315D-9EA3-4D83-9FAE-CDFBEDEF1C5E}"/>
    <cellStyle name="Millares 6 2 9 5" xfId="7518" xr:uid="{677D7610-3488-4657-8718-BE8EE610EF41}"/>
    <cellStyle name="Millares 6 2 9 6" xfId="9190" xr:uid="{4547D1AF-4789-4A18-B698-B0DE2E9ED59F}"/>
    <cellStyle name="Millares 6 3" xfId="3453" xr:uid="{FB546696-E151-4021-990F-7EB90160707D}"/>
    <cellStyle name="Millares 6 3 10" xfId="3454" xr:uid="{DC70CB77-B3EC-4E50-9C38-FC3E21E2ECAE}"/>
    <cellStyle name="Millares 6 3 10 2" xfId="4733" xr:uid="{9E3263C7-A94D-4DC6-9C32-D31E12153D50}"/>
    <cellStyle name="Millares 6 3 10 2 2" xfId="6406" xr:uid="{B631AB95-7451-436C-9EB7-73302F68B4D3}"/>
    <cellStyle name="Millares 6 3 10 2 3" xfId="8078" xr:uid="{7B80482A-BA00-415A-996B-B72F839F974C}"/>
    <cellStyle name="Millares 6 3 10 3" xfId="5290" xr:uid="{5B811A5A-C60E-4B0E-9035-2388ADA611BA}"/>
    <cellStyle name="Millares 6 3 10 3 2" xfId="6963" xr:uid="{A13188C5-ACF7-4CB4-876D-CC6EC4D42143}"/>
    <cellStyle name="Millares 6 3 10 3 3" xfId="8635" xr:uid="{BB70A674-CD20-4EEB-8492-0155AB5D3B32}"/>
    <cellStyle name="Millares 6 3 10 4" xfId="5848" xr:uid="{0E3093B7-3993-4C0D-95E1-04F9F3E09F76}"/>
    <cellStyle name="Millares 6 3 10 5" xfId="7520" xr:uid="{D0F6E238-87F6-4448-8399-4CF4786DFD10}"/>
    <cellStyle name="Millares 6 3 10 6" xfId="9192" xr:uid="{367645B1-54C1-4CC3-BAD8-5C404CA985A7}"/>
    <cellStyle name="Millares 6 3 11" xfId="4732" xr:uid="{3B199194-77D9-48B8-8DB2-D6E5DBB1BE9C}"/>
    <cellStyle name="Millares 6 3 11 2" xfId="6405" xr:uid="{75AEB795-BC54-44C4-BE32-F40EAE0EDC9E}"/>
    <cellStyle name="Millares 6 3 11 3" xfId="8077" xr:uid="{EDADE7DE-0F7F-48C8-84BE-5A18F8592FA2}"/>
    <cellStyle name="Millares 6 3 12" xfId="5289" xr:uid="{4F10DC39-AFB2-4441-B3FD-BBBDC1F67E32}"/>
    <cellStyle name="Millares 6 3 12 2" xfId="6962" xr:uid="{31FE5AC1-58AE-4848-B327-D80E144470D0}"/>
    <cellStyle name="Millares 6 3 12 3" xfId="8634" xr:uid="{FBB1505A-F316-4A3D-AC27-0E1EBCB6E266}"/>
    <cellStyle name="Millares 6 3 13" xfId="5847" xr:uid="{DF896710-C283-4B3B-A13A-E53062FFBDF9}"/>
    <cellStyle name="Millares 6 3 14" xfId="7519" xr:uid="{2FE1CFFD-1C9E-4240-9974-90335E8F4460}"/>
    <cellStyle name="Millares 6 3 15" xfId="9191" xr:uid="{70674DD9-7392-447C-8985-EACC5B7CD0F7}"/>
    <cellStyle name="Millares 6 3 2" xfId="3455" xr:uid="{93323834-46D0-4A33-A50F-EB049BEAE48A}"/>
    <cellStyle name="Millares 6 3 2 2" xfId="4734" xr:uid="{1E95B1DC-41AC-4B9F-A307-4A073AF944D6}"/>
    <cellStyle name="Millares 6 3 2 2 2" xfId="6407" xr:uid="{C4FD3C6D-42CB-4D3D-B8BF-B6059A6C4E84}"/>
    <cellStyle name="Millares 6 3 2 2 3" xfId="8079" xr:uid="{BB418D17-2375-48FF-9E1A-482F86D8FD4C}"/>
    <cellStyle name="Millares 6 3 2 3" xfId="5291" xr:uid="{0E5885D5-810B-412B-A93A-71592E6BB899}"/>
    <cellStyle name="Millares 6 3 2 3 2" xfId="6964" xr:uid="{03A6CBF7-951A-4CCD-9D57-85912B492F02}"/>
    <cellStyle name="Millares 6 3 2 3 3" xfId="8636" xr:uid="{812658AE-67AA-4BC9-A2BF-E8C5C2A6237E}"/>
    <cellStyle name="Millares 6 3 2 4" xfId="5849" xr:uid="{FC825C38-620D-48B0-87B5-B134ED14D826}"/>
    <cellStyle name="Millares 6 3 2 5" xfId="7521" xr:uid="{011A8416-4849-4E7A-A1AE-C260D92092BA}"/>
    <cellStyle name="Millares 6 3 2 6" xfId="9193" xr:uid="{E51C4B37-EE30-471C-9E81-810CA2A51C11}"/>
    <cellStyle name="Millares 6 3 3" xfId="3456" xr:uid="{F7A1E75A-5992-4075-95C9-FEBFB9A4561E}"/>
    <cellStyle name="Millares 6 3 3 2" xfId="4735" xr:uid="{96A27FBC-805F-48B1-848C-E24578DE3848}"/>
    <cellStyle name="Millares 6 3 3 2 2" xfId="6408" xr:uid="{5FE434CF-08C6-467D-B734-CEBFECD62361}"/>
    <cellStyle name="Millares 6 3 3 2 3" xfId="8080" xr:uid="{82E726DA-E95B-4DF6-8086-38948094BE0C}"/>
    <cellStyle name="Millares 6 3 3 3" xfId="5292" xr:uid="{26A1CE0B-D87A-4D9D-9255-26194FEB004C}"/>
    <cellStyle name="Millares 6 3 3 3 2" xfId="6965" xr:uid="{3A547C2B-B116-452D-B8AE-E8E7F4450207}"/>
    <cellStyle name="Millares 6 3 3 3 3" xfId="8637" xr:uid="{2994065C-9901-4898-BE1D-649BF747BA43}"/>
    <cellStyle name="Millares 6 3 3 4" xfId="5850" xr:uid="{05A467A3-919D-4C43-9E1D-2F6FEE477152}"/>
    <cellStyle name="Millares 6 3 3 5" xfId="7522" xr:uid="{F7B26014-7245-420E-9017-1BFA4F1A6E42}"/>
    <cellStyle name="Millares 6 3 3 6" xfId="9194" xr:uid="{42416D4F-6A17-4805-A17E-7D462051B295}"/>
    <cellStyle name="Millares 6 3 4" xfId="3457" xr:uid="{FD396A8D-0963-4391-992D-BB44D7B4885A}"/>
    <cellStyle name="Millares 6 3 4 2" xfId="4736" xr:uid="{94939311-3008-499A-9616-CBEDBAF3CC5D}"/>
    <cellStyle name="Millares 6 3 4 2 2" xfId="6409" xr:uid="{94C07F43-6AF9-4C4E-91E5-8B09CC4FA7E6}"/>
    <cellStyle name="Millares 6 3 4 2 3" xfId="8081" xr:uid="{F2EF6E96-E14C-45F0-8F82-3426ECBEA6D9}"/>
    <cellStyle name="Millares 6 3 4 3" xfId="5293" xr:uid="{EB8D5F66-2D0F-4369-9E95-BBA7A622B6E9}"/>
    <cellStyle name="Millares 6 3 4 3 2" xfId="6966" xr:uid="{00EA4CC0-37F3-4288-A65A-6824BF406386}"/>
    <cellStyle name="Millares 6 3 4 3 3" xfId="8638" xr:uid="{ADFB3C89-6435-40CC-9DC9-4FFDFAE239F0}"/>
    <cellStyle name="Millares 6 3 4 4" xfId="5851" xr:uid="{8A3D1434-B86D-4CCA-8A15-40B48BC10E28}"/>
    <cellStyle name="Millares 6 3 4 5" xfId="7523" xr:uid="{E8F99983-8DA2-4C09-A86C-7150B229A4CC}"/>
    <cellStyle name="Millares 6 3 4 6" xfId="9195" xr:uid="{EA37DC03-506D-4C64-90AC-93A9BEE53408}"/>
    <cellStyle name="Millares 6 3 5" xfId="3458" xr:uid="{FE84CF39-78A4-485D-AC0C-71D0B03CCBF8}"/>
    <cellStyle name="Millares 6 3 5 2" xfId="4737" xr:uid="{B7C541F4-0961-44CA-8BFC-FE9FA3341D0C}"/>
    <cellStyle name="Millares 6 3 5 2 2" xfId="6410" xr:uid="{AB3982E6-269D-4BD2-8ED8-A0D948F28D37}"/>
    <cellStyle name="Millares 6 3 5 2 3" xfId="8082" xr:uid="{E0588C51-1323-4F93-8012-F481FAB8D1C1}"/>
    <cellStyle name="Millares 6 3 5 3" xfId="5294" xr:uid="{E41E14AD-361C-4FA9-AA9D-6E87C2711FA1}"/>
    <cellStyle name="Millares 6 3 5 3 2" xfId="6967" xr:uid="{AB591319-0D49-4313-931A-8B5A65C77BB3}"/>
    <cellStyle name="Millares 6 3 5 3 3" xfId="8639" xr:uid="{E6740C6E-EBA6-4486-8EE8-977C9113E6E5}"/>
    <cellStyle name="Millares 6 3 5 4" xfId="5852" xr:uid="{A90ECE0B-005C-4155-8D1A-CE1AD791BBAF}"/>
    <cellStyle name="Millares 6 3 5 5" xfId="7524" xr:uid="{BC85D07E-D90E-4825-9BB2-1BE739F72DA6}"/>
    <cellStyle name="Millares 6 3 5 6" xfId="9196" xr:uid="{0F66917B-BF6B-4229-8E16-CFA707D4FD37}"/>
    <cellStyle name="Millares 6 3 6" xfId="3459" xr:uid="{C3E105B9-3967-478B-8026-542330EB8E1F}"/>
    <cellStyle name="Millares 6 3 6 2" xfId="4738" xr:uid="{681EA316-8165-4324-86E4-E665B74B7162}"/>
    <cellStyle name="Millares 6 3 6 2 2" xfId="6411" xr:uid="{1FA2A99D-6365-4680-AF7E-040284A29C58}"/>
    <cellStyle name="Millares 6 3 6 2 3" xfId="8083" xr:uid="{BCFBB356-6FC8-4659-82D9-BF6E72719BCF}"/>
    <cellStyle name="Millares 6 3 6 3" xfId="5295" xr:uid="{50B2F242-9C26-4870-B595-EFB13F23C440}"/>
    <cellStyle name="Millares 6 3 6 3 2" xfId="6968" xr:uid="{8BF4EDDA-1E55-4004-81FA-4C0EDC85521A}"/>
    <cellStyle name="Millares 6 3 6 3 3" xfId="8640" xr:uid="{E6114784-C305-43EF-A1DA-AF3BB55D8232}"/>
    <cellStyle name="Millares 6 3 6 4" xfId="5853" xr:uid="{84184C02-33B7-44FE-8AAB-EA74C90B5E04}"/>
    <cellStyle name="Millares 6 3 6 5" xfId="7525" xr:uid="{5370A9AA-576B-4870-A7B9-179066F04176}"/>
    <cellStyle name="Millares 6 3 6 6" xfId="9197" xr:uid="{8C91E5A5-647B-4485-A978-44FD9453BE27}"/>
    <cellStyle name="Millares 6 3 7" xfId="3460" xr:uid="{421F94EB-B9C0-4570-9E75-F649B882CB6C}"/>
    <cellStyle name="Millares 6 3 7 2" xfId="4739" xr:uid="{F050058A-A71E-45D8-B986-4FE00AAE52EC}"/>
    <cellStyle name="Millares 6 3 7 2 2" xfId="6412" xr:uid="{07008AFB-DEB1-4449-89C8-68AFE3F739F1}"/>
    <cellStyle name="Millares 6 3 7 2 3" xfId="8084" xr:uid="{F4F5AF7D-F4CF-4C1E-80CD-A07154F373EE}"/>
    <cellStyle name="Millares 6 3 7 3" xfId="5296" xr:uid="{6563C79B-E889-4EB3-A6B3-226E49E67DC0}"/>
    <cellStyle name="Millares 6 3 7 3 2" xfId="6969" xr:uid="{FC1FB143-89E5-4F8E-8F09-2705D7D49C4B}"/>
    <cellStyle name="Millares 6 3 7 3 3" xfId="8641" xr:uid="{D1A5CE55-1745-4BFC-9808-B412896F69DA}"/>
    <cellStyle name="Millares 6 3 7 4" xfId="5854" xr:uid="{878B7BD2-2283-4EBE-847D-CD31C4733940}"/>
    <cellStyle name="Millares 6 3 7 5" xfId="7526" xr:uid="{9599FC8E-46DE-4C27-AF91-BC5DC39C8554}"/>
    <cellStyle name="Millares 6 3 7 6" xfId="9198" xr:uid="{918FCD16-9DCA-47D4-9473-33A40FF09326}"/>
    <cellStyle name="Millares 6 3 8" xfId="3461" xr:uid="{C53CF3C9-5831-4969-8F4E-3E86E043FB78}"/>
    <cellStyle name="Millares 6 3 8 2" xfId="4740" xr:uid="{115B1127-1AEE-4599-9779-BDCF96099B85}"/>
    <cellStyle name="Millares 6 3 8 2 2" xfId="6413" xr:uid="{BE10DBF8-B7FE-42FC-BA8D-5FC9D1949810}"/>
    <cellStyle name="Millares 6 3 8 2 3" xfId="8085" xr:uid="{2AF399E9-631E-44F6-819B-1AB800A41B44}"/>
    <cellStyle name="Millares 6 3 8 3" xfId="5297" xr:uid="{C7BE0884-E37F-41EB-B3A2-6E5120C325E2}"/>
    <cellStyle name="Millares 6 3 8 3 2" xfId="6970" xr:uid="{A6066D55-BDD6-4E35-9BB8-AA628603E74D}"/>
    <cellStyle name="Millares 6 3 8 3 3" xfId="8642" xr:uid="{C93C21B9-0B8B-430B-9C12-F4E5E3C9DDD4}"/>
    <cellStyle name="Millares 6 3 8 4" xfId="5855" xr:uid="{E62BB6C2-E74C-42F1-B337-F1CB35633A22}"/>
    <cellStyle name="Millares 6 3 8 5" xfId="7527" xr:uid="{51114E20-142C-426B-93B0-2C7FEC4B2C9E}"/>
    <cellStyle name="Millares 6 3 8 6" xfId="9199" xr:uid="{07C9EA5B-0125-4E9C-8228-F07AE006DEFB}"/>
    <cellStyle name="Millares 6 3 9" xfId="3462" xr:uid="{EBC96BC2-11F6-4AB2-B78C-3907E35B1159}"/>
    <cellStyle name="Millares 6 3 9 2" xfId="4741" xr:uid="{98F4E762-4B2E-49E6-B0DB-3E483D17F27D}"/>
    <cellStyle name="Millares 6 3 9 2 2" xfId="6414" xr:uid="{BA0671CD-A874-44EF-8949-4471D22FD4DC}"/>
    <cellStyle name="Millares 6 3 9 2 3" xfId="8086" xr:uid="{C7D48743-849D-4BC5-A4EE-5818C93DAF22}"/>
    <cellStyle name="Millares 6 3 9 3" xfId="5298" xr:uid="{99F6148F-B099-4757-97AA-CE97CFB7D4AB}"/>
    <cellStyle name="Millares 6 3 9 3 2" xfId="6971" xr:uid="{EFAE5144-3B29-4371-AE05-AD2596D4AC5C}"/>
    <cellStyle name="Millares 6 3 9 3 3" xfId="8643" xr:uid="{00DFC069-C7F4-4D00-A587-1EDE82F81C40}"/>
    <cellStyle name="Millares 6 3 9 4" xfId="5856" xr:uid="{00699120-0D54-4CB0-8EDE-0633BFBB1ABE}"/>
    <cellStyle name="Millares 6 3 9 5" xfId="7528" xr:uid="{46E44682-89F4-408E-9E8C-4762EE69E1AA}"/>
    <cellStyle name="Millares 6 3 9 6" xfId="9200" xr:uid="{34FDEACD-6CD6-448C-903E-68A7BC03BD5A}"/>
    <cellStyle name="Millares 6 4" xfId="3463" xr:uid="{49757808-528D-409A-9E17-155EE141FA0A}"/>
    <cellStyle name="Millares 6 4 2" xfId="4742" xr:uid="{B9B190D9-1747-4E7B-A319-3B3B40111FAE}"/>
    <cellStyle name="Millares 6 4 2 2" xfId="6415" xr:uid="{C5D0A34D-D07F-41F0-B73E-D11212FB6FDC}"/>
    <cellStyle name="Millares 6 4 2 3" xfId="8087" xr:uid="{9EF02D27-35FF-4D93-B002-30DBD028D307}"/>
    <cellStyle name="Millares 6 4 3" xfId="5299" xr:uid="{CF2CF68D-0036-41B5-9D0A-8978F24B1B3E}"/>
    <cellStyle name="Millares 6 4 3 2" xfId="6972" xr:uid="{5EB8B8EE-F503-4549-AC3C-196770C2816C}"/>
    <cellStyle name="Millares 6 4 3 3" xfId="8644" xr:uid="{66181741-48D9-4D38-B9D1-F99ECF743502}"/>
    <cellStyle name="Millares 6 4 4" xfId="5857" xr:uid="{DB3068B1-CC72-4634-82F4-D2BE6C068748}"/>
    <cellStyle name="Millares 6 4 5" xfId="7529" xr:uid="{0EABA77D-D14B-478F-AB46-023D6BB7B31C}"/>
    <cellStyle name="Millares 6 4 6" xfId="9201" xr:uid="{5A92A354-F9C6-4CDE-9EC5-74E191985ACA}"/>
    <cellStyle name="Millares 6 5" xfId="3464" xr:uid="{BFA128A5-13F9-411E-9357-97E15C783834}"/>
    <cellStyle name="Millares 6 5 2" xfId="4743" xr:uid="{AE9E343A-6FAE-417B-9FFF-1A638C696BD7}"/>
    <cellStyle name="Millares 6 5 2 2" xfId="6416" xr:uid="{EA0E2479-43A5-474E-A37C-0DBC1CE0EA5C}"/>
    <cellStyle name="Millares 6 5 2 3" xfId="8088" xr:uid="{41A6B9BC-B8D9-4467-86C5-85E70409CD48}"/>
    <cellStyle name="Millares 6 5 3" xfId="5300" xr:uid="{FE27FF54-ED42-4A8D-B584-3BF0EE1BAA21}"/>
    <cellStyle name="Millares 6 5 3 2" xfId="6973" xr:uid="{74992EB0-6554-47D3-A7E2-67760825A64F}"/>
    <cellStyle name="Millares 6 5 3 3" xfId="8645" xr:uid="{CC126041-54B7-4D81-869E-14A097DE6523}"/>
    <cellStyle name="Millares 6 5 4" xfId="5858" xr:uid="{EA592322-E54C-4D62-92A6-F4A73556DDDA}"/>
    <cellStyle name="Millares 6 5 5" xfId="7530" xr:uid="{65ED9014-ACD4-42B7-90D3-7856937A509D}"/>
    <cellStyle name="Millares 6 5 6" xfId="9202" xr:uid="{E6DDD73C-A324-4CB5-A2D8-073FC68ECB9E}"/>
    <cellStyle name="Millares 6 6" xfId="3465" xr:uid="{82A4AA80-518E-4922-9B4C-8F60A803A7F6}"/>
    <cellStyle name="Millares 6 6 2" xfId="4744" xr:uid="{7F35C4BC-A45F-45E2-9300-2753D2D95BE3}"/>
    <cellStyle name="Millares 6 6 2 2" xfId="6417" xr:uid="{0F4681B8-8130-47E4-8CCA-39E6601495E6}"/>
    <cellStyle name="Millares 6 6 2 3" xfId="8089" xr:uid="{C3488284-E012-42E9-9F15-E3AD9D04B405}"/>
    <cellStyle name="Millares 6 6 3" xfId="5301" xr:uid="{A7B80D4E-A884-4FE7-BCF6-C42994D40745}"/>
    <cellStyle name="Millares 6 6 3 2" xfId="6974" xr:uid="{9F8DC3B7-9928-449E-A65A-C07A3D7F7965}"/>
    <cellStyle name="Millares 6 6 3 3" xfId="8646" xr:uid="{141EC976-FD6A-4467-9C41-253BB8CF9ACA}"/>
    <cellStyle name="Millares 6 6 4" xfId="5859" xr:uid="{4F80A5A1-79BD-471D-B13B-2A3CA66262EC}"/>
    <cellStyle name="Millares 6 6 5" xfId="7531" xr:uid="{ACA27A1D-0A62-4C46-8B6D-E8C954246CA4}"/>
    <cellStyle name="Millares 6 6 6" xfId="9203" xr:uid="{36AFF580-5AB3-4693-A5C9-F5AF3B2227F8}"/>
    <cellStyle name="Millares 6 7" xfId="3466" xr:uid="{728594EC-315C-4F24-BD3F-ADE2E49EFCD3}"/>
    <cellStyle name="Millares 6 7 2" xfId="4745" xr:uid="{6C1813FA-E5E1-4809-BA42-B969ED030996}"/>
    <cellStyle name="Millares 6 7 2 2" xfId="6418" xr:uid="{A305F170-D2D2-42DC-A9D7-2ED8DBA21F1D}"/>
    <cellStyle name="Millares 6 7 2 3" xfId="8090" xr:uid="{3F75AFCA-86B3-435D-99BD-6D7F4AC0B5DA}"/>
    <cellStyle name="Millares 6 7 3" xfId="5302" xr:uid="{AF00D1E2-F2C4-4B67-99AB-37D194D20C3C}"/>
    <cellStyle name="Millares 6 7 3 2" xfId="6975" xr:uid="{6A5A9539-EE94-43FF-89FE-2C59147365AB}"/>
    <cellStyle name="Millares 6 7 3 3" xfId="8647" xr:uid="{62B2D71E-14A9-4479-84AB-74A47B3417D3}"/>
    <cellStyle name="Millares 6 7 4" xfId="5860" xr:uid="{8F349907-BC79-4309-995F-D3FE4502F082}"/>
    <cellStyle name="Millares 6 7 5" xfId="7532" xr:uid="{4716B80A-E73D-42D2-8AB7-80A0F7CF2E73}"/>
    <cellStyle name="Millares 6 7 6" xfId="9204" xr:uid="{ACE36E62-25AE-4307-9838-425F7BC54986}"/>
    <cellStyle name="Millares 6 8" xfId="3467" xr:uid="{E1D3EF89-93A8-4339-959E-EC101964EE0D}"/>
    <cellStyle name="Millares 6 8 2" xfId="4746" xr:uid="{36801D16-76F2-478B-8B8F-D9AC244A3EF0}"/>
    <cellStyle name="Millares 6 8 2 2" xfId="6419" xr:uid="{0A3F1F28-C359-4266-BF9E-AEB6A9EB89EC}"/>
    <cellStyle name="Millares 6 8 2 3" xfId="8091" xr:uid="{7853960B-A9E5-488B-82BF-2F1C77197392}"/>
    <cellStyle name="Millares 6 8 3" xfId="5303" xr:uid="{25F08161-1F29-405B-BEDB-0783ED08291B}"/>
    <cellStyle name="Millares 6 8 3 2" xfId="6976" xr:uid="{E3DE7469-0C12-4F8A-8F87-8A1942BBC9BF}"/>
    <cellStyle name="Millares 6 8 3 3" xfId="8648" xr:uid="{99FC0BCF-396D-4B12-AA0D-D720B30248D8}"/>
    <cellStyle name="Millares 6 8 4" xfId="5861" xr:uid="{368D53AA-B29E-4DF4-91EA-E8C8317D0855}"/>
    <cellStyle name="Millares 6 8 5" xfId="7533" xr:uid="{01C882E3-18A2-43A3-AFC8-DB04859C7C88}"/>
    <cellStyle name="Millares 6 8 6" xfId="9205" xr:uid="{29990686-2ACF-4DEF-B9BD-14BEF1808285}"/>
    <cellStyle name="Millares 6 9" xfId="3468" xr:uid="{63659E1A-E174-40B0-856E-948A4FDE5F75}"/>
    <cellStyle name="Millares 6 9 2" xfId="4747" xr:uid="{55F66EFB-8006-4EA2-8199-B87B97D1ADAB}"/>
    <cellStyle name="Millares 6 9 2 2" xfId="6420" xr:uid="{44EC5885-8CCB-41CD-8843-1C4B66260E72}"/>
    <cellStyle name="Millares 6 9 2 3" xfId="8092" xr:uid="{E7B24664-7B0F-476F-A361-11A20B1716B3}"/>
    <cellStyle name="Millares 6 9 3" xfId="5304" xr:uid="{ED67D135-D49F-46C3-9BA6-857E4A81D784}"/>
    <cellStyle name="Millares 6 9 3 2" xfId="6977" xr:uid="{1E503C18-1969-4D43-9857-99EE667F8A17}"/>
    <cellStyle name="Millares 6 9 3 3" xfId="8649" xr:uid="{F8B86E7B-5BB4-4A3C-9A15-6A5E1992D502}"/>
    <cellStyle name="Millares 6 9 4" xfId="5862" xr:uid="{894F88C2-DFA9-482F-A1B9-8E93C63F1040}"/>
    <cellStyle name="Millares 6 9 5" xfId="7534" xr:uid="{C9067FF5-879F-419B-BF5D-A1D7E0582B85}"/>
    <cellStyle name="Millares 6 9 6" xfId="9206" xr:uid="{423E157D-2B8A-4CB1-8FBD-9A8923988C69}"/>
    <cellStyle name="Millares 7" xfId="3469" xr:uid="{FE7D7EFF-E444-49D4-A3B8-DB772A902314}"/>
    <cellStyle name="Millares 7 10" xfId="3470" xr:uid="{C11B6284-01C6-4407-885B-1FF5B56F3131}"/>
    <cellStyle name="Millares 7 10 2" xfId="4749" xr:uid="{8043B80B-C2BC-4EE0-9D4F-03F6D6E40A59}"/>
    <cellStyle name="Millares 7 10 2 2" xfId="6422" xr:uid="{4A907C4E-BE9B-4166-A07F-9FF646D94B6C}"/>
    <cellStyle name="Millares 7 10 2 3" xfId="8094" xr:uid="{A6D38DF4-923D-41BB-83E4-1F6CD593F475}"/>
    <cellStyle name="Millares 7 10 3" xfId="5306" xr:uid="{56112499-4DBE-4D54-A12E-1E12A8A1FEBB}"/>
    <cellStyle name="Millares 7 10 3 2" xfId="6979" xr:uid="{9EE61541-0E86-4EEA-8377-904845C6BF23}"/>
    <cellStyle name="Millares 7 10 3 3" xfId="8651" xr:uid="{0DCCDBA0-EFA1-47BA-B9A7-FF0FEA55D6DF}"/>
    <cellStyle name="Millares 7 10 4" xfId="5864" xr:uid="{9C595262-40DE-4F10-B408-F12A546CF7C8}"/>
    <cellStyle name="Millares 7 10 5" xfId="7536" xr:uid="{FF8A6E7B-7B26-4BE6-8A98-9ECE73E8DD8C}"/>
    <cellStyle name="Millares 7 10 6" xfId="9208" xr:uid="{6575BCAB-6F57-450E-AE61-59BAFA06B36E}"/>
    <cellStyle name="Millares 7 11" xfId="3471" xr:uid="{A03C5521-3C4D-4415-8C86-6CCF28C6DC09}"/>
    <cellStyle name="Millares 7 11 2" xfId="4750" xr:uid="{B6838FBC-1008-47BC-AAA5-3DE25890092E}"/>
    <cellStyle name="Millares 7 11 2 2" xfId="6423" xr:uid="{8FA59DE5-B6A4-4369-9581-EC12C49E8DA3}"/>
    <cellStyle name="Millares 7 11 2 3" xfId="8095" xr:uid="{4236FA7C-F491-49F7-BB10-B78E5D52A590}"/>
    <cellStyle name="Millares 7 11 3" xfId="5307" xr:uid="{E3FC16CC-4CA7-4F4D-9757-E53A591B5F04}"/>
    <cellStyle name="Millares 7 11 3 2" xfId="6980" xr:uid="{E72ED096-BC3C-4B80-AE1C-6C2E4DFA2F6D}"/>
    <cellStyle name="Millares 7 11 3 3" xfId="8652" xr:uid="{276358B6-466D-42C3-BC35-CB2239806167}"/>
    <cellStyle name="Millares 7 11 4" xfId="5865" xr:uid="{C9BB2FDF-4C1F-43F2-892B-75215068396F}"/>
    <cellStyle name="Millares 7 11 5" xfId="7537" xr:uid="{A3E0295E-F664-4BA5-9A20-2EC480B1E745}"/>
    <cellStyle name="Millares 7 11 6" xfId="9209" xr:uid="{710D85BC-2756-4876-98AE-614530CD4D13}"/>
    <cellStyle name="Millares 7 12" xfId="3472" xr:uid="{1F88B514-4765-4D0F-BAD0-6831D6D0E061}"/>
    <cellStyle name="Millares 7 12 2" xfId="4751" xr:uid="{250383E5-7D03-4275-A14F-2D6348ED7E57}"/>
    <cellStyle name="Millares 7 12 2 2" xfId="6424" xr:uid="{545E4961-0143-43F8-A4ED-4B94953239FB}"/>
    <cellStyle name="Millares 7 12 2 3" xfId="8096" xr:uid="{F2DE4B44-5245-4BBC-AF0C-D58B263F9F36}"/>
    <cellStyle name="Millares 7 12 3" xfId="5308" xr:uid="{1D9A2BFD-FDAC-4A8E-9B8C-BE0373549990}"/>
    <cellStyle name="Millares 7 12 3 2" xfId="6981" xr:uid="{B905D0DC-4632-40B9-946A-291A8A62224B}"/>
    <cellStyle name="Millares 7 12 3 3" xfId="8653" xr:uid="{8B399748-36EE-4A40-9670-D7EDE1CB27D4}"/>
    <cellStyle name="Millares 7 12 4" xfId="5866" xr:uid="{F3C1D172-52B9-4E04-AE67-9DE8165ECD68}"/>
    <cellStyle name="Millares 7 12 5" xfId="7538" xr:uid="{E7D35C97-A304-48A1-A7B4-98A695D41710}"/>
    <cellStyle name="Millares 7 12 6" xfId="9210" xr:uid="{C88C51B0-D10A-4AC1-B31C-E6BD7FCF6C94}"/>
    <cellStyle name="Millares 7 13" xfId="4748" xr:uid="{9232C4C7-75AE-41ED-B78D-1BFE597973BD}"/>
    <cellStyle name="Millares 7 13 2" xfId="6421" xr:uid="{CB4173EE-513D-424C-BC82-F0369938EB68}"/>
    <cellStyle name="Millares 7 13 3" xfId="8093" xr:uid="{2DEADEE9-0357-4723-BFAC-7CA431DB65F2}"/>
    <cellStyle name="Millares 7 14" xfId="5305" xr:uid="{9A9D418E-D980-47B3-AE63-16EB54A1AF87}"/>
    <cellStyle name="Millares 7 14 2" xfId="6978" xr:uid="{C6BDE37B-884D-4E53-8104-1FDEA841C77B}"/>
    <cellStyle name="Millares 7 14 3" xfId="8650" xr:uid="{D626CB05-535B-45D3-AEE8-5C32C5578E46}"/>
    <cellStyle name="Millares 7 15" xfId="5863" xr:uid="{573F991A-318F-4404-A1AD-06AEF9EC1565}"/>
    <cellStyle name="Millares 7 16" xfId="7535" xr:uid="{4A6B6548-16DD-41D4-BC63-3CE7179905DA}"/>
    <cellStyle name="Millares 7 17" xfId="9207" xr:uid="{AB0BE7CC-15B6-48CB-8F40-A0DE59A7B618}"/>
    <cellStyle name="Millares 7 2" xfId="3473" xr:uid="{ADD9F5AA-518D-4277-A1AE-81A172642AE9}"/>
    <cellStyle name="Millares 7 2 10" xfId="3474" xr:uid="{6F6ACA2B-0AF3-455D-9B74-1EAEE918BE16}"/>
    <cellStyle name="Millares 7 2 10 2" xfId="4753" xr:uid="{3F4EEDE3-8A6A-4691-A4D5-63A586E90623}"/>
    <cellStyle name="Millares 7 2 10 2 2" xfId="6426" xr:uid="{7D9E3C61-D481-4C12-9D70-B9750B102E8A}"/>
    <cellStyle name="Millares 7 2 10 2 3" xfId="8098" xr:uid="{478E3823-2DB7-4EEA-8302-70250F416A9A}"/>
    <cellStyle name="Millares 7 2 10 3" xfId="5310" xr:uid="{38CC6CE9-6B22-4C7E-A1ED-D3C92B0ED3BD}"/>
    <cellStyle name="Millares 7 2 10 3 2" xfId="6983" xr:uid="{759C0F39-581F-4E58-9C66-1364ACB57619}"/>
    <cellStyle name="Millares 7 2 10 3 3" xfId="8655" xr:uid="{50B1DBB8-A9BD-4DDD-8690-19B63E2A02B1}"/>
    <cellStyle name="Millares 7 2 10 4" xfId="5868" xr:uid="{340955B6-31AA-4E51-B0F5-A17B3F99AF15}"/>
    <cellStyle name="Millares 7 2 10 5" xfId="7540" xr:uid="{7119D9EE-1B88-496A-8132-2ABDFB1CAAB4}"/>
    <cellStyle name="Millares 7 2 10 6" xfId="9212" xr:uid="{4B59C0AF-253D-4F4B-A4AE-186F681E11B9}"/>
    <cellStyle name="Millares 7 2 11" xfId="4752" xr:uid="{5E652D8F-8623-43C5-AB6D-AF16E0BBDC62}"/>
    <cellStyle name="Millares 7 2 11 2" xfId="6425" xr:uid="{CD0C382A-57C0-4B2F-9E3D-F8230E8F86C9}"/>
    <cellStyle name="Millares 7 2 11 3" xfId="8097" xr:uid="{BAC322AE-C4C3-40E1-9CFE-734EAD38F6EB}"/>
    <cellStyle name="Millares 7 2 12" xfId="5309" xr:uid="{EFC1F9C6-CF20-4040-9CEF-EC7CADA1CA26}"/>
    <cellStyle name="Millares 7 2 12 2" xfId="6982" xr:uid="{69C87336-1858-413F-93B7-D43869905EFF}"/>
    <cellStyle name="Millares 7 2 12 3" xfId="8654" xr:uid="{ED357EBD-91CB-40A6-A742-6784EA261BC4}"/>
    <cellStyle name="Millares 7 2 13" xfId="5867" xr:uid="{37A95113-741D-450E-B8FA-9F233D6D1004}"/>
    <cellStyle name="Millares 7 2 14" xfId="7539" xr:uid="{2BF50081-58CA-4C53-98DB-F8599941CF20}"/>
    <cellStyle name="Millares 7 2 15" xfId="9211" xr:uid="{5D776491-AAA6-45B4-8BB6-299E7D5DBC4D}"/>
    <cellStyle name="Millares 7 2 2" xfId="3475" xr:uid="{A092EC84-3590-4DBD-B5A0-DCF83DBC8472}"/>
    <cellStyle name="Millares 7 2 2 2" xfId="4754" xr:uid="{1C590181-0899-474D-A8B7-C67DD6B93EFD}"/>
    <cellStyle name="Millares 7 2 2 2 2" xfId="6427" xr:uid="{BCD2BF0D-DF7F-4E2D-AD71-857FC25E8AAB}"/>
    <cellStyle name="Millares 7 2 2 2 3" xfId="8099" xr:uid="{EE0AE792-85B2-4CFB-AAF1-0907C7B3A78C}"/>
    <cellStyle name="Millares 7 2 2 3" xfId="5311" xr:uid="{DAD3BABF-469E-404E-8445-CC56D43A159C}"/>
    <cellStyle name="Millares 7 2 2 3 2" xfId="6984" xr:uid="{86F3BB43-52DB-45AA-A7E9-79CCF1437410}"/>
    <cellStyle name="Millares 7 2 2 3 3" xfId="8656" xr:uid="{1487455D-6EBA-46F7-B5D4-2F917AC8ACD8}"/>
    <cellStyle name="Millares 7 2 2 4" xfId="5869" xr:uid="{8C77ADA4-B94D-4DBB-AFB4-C70D769DDF16}"/>
    <cellStyle name="Millares 7 2 2 5" xfId="7541" xr:uid="{AA184C64-A291-401F-94A6-B0F096B4BF58}"/>
    <cellStyle name="Millares 7 2 2 6" xfId="9213" xr:uid="{FA69C624-ECD9-4770-8ABB-C7B71321ACD6}"/>
    <cellStyle name="Millares 7 2 3" xfId="3476" xr:uid="{484D3867-893E-4018-85BF-97C441534215}"/>
    <cellStyle name="Millares 7 2 3 2" xfId="4755" xr:uid="{711F3D29-2B70-4C6C-A173-4DA6B76632DD}"/>
    <cellStyle name="Millares 7 2 3 2 2" xfId="6428" xr:uid="{5AD90357-D26B-4018-918B-6F59B1FD2229}"/>
    <cellStyle name="Millares 7 2 3 2 3" xfId="8100" xr:uid="{12D72FB7-9FB4-4630-8A71-46C0803B629B}"/>
    <cellStyle name="Millares 7 2 3 3" xfId="5312" xr:uid="{7729449B-BDFB-4E3C-A75A-44B75D0D0240}"/>
    <cellStyle name="Millares 7 2 3 3 2" xfId="6985" xr:uid="{4268CA91-4A36-401B-9851-CA3A3A88CDA4}"/>
    <cellStyle name="Millares 7 2 3 3 3" xfId="8657" xr:uid="{88A9E3DB-7982-4A23-8E21-EC43F1A4E2B8}"/>
    <cellStyle name="Millares 7 2 3 4" xfId="5870" xr:uid="{0E1E7E4B-2F51-481F-92CE-49490869CAA6}"/>
    <cellStyle name="Millares 7 2 3 5" xfId="7542" xr:uid="{47F6689B-FA93-4EAE-ACC1-673DF04E2E36}"/>
    <cellStyle name="Millares 7 2 3 6" xfId="9214" xr:uid="{2AFB8AC9-BEDF-4BE0-8899-6693F4D755E8}"/>
    <cellStyle name="Millares 7 2 4" xfId="3477" xr:uid="{92F23E53-2F6A-458F-B568-2BB36E6A01B8}"/>
    <cellStyle name="Millares 7 2 4 2" xfId="4756" xr:uid="{94BB6BD9-C18A-410E-81AB-04B543A17B16}"/>
    <cellStyle name="Millares 7 2 4 2 2" xfId="6429" xr:uid="{46ED81FC-6AB9-4FCA-AF94-18486B3AC986}"/>
    <cellStyle name="Millares 7 2 4 2 3" xfId="8101" xr:uid="{95B1EB1A-B56A-4D33-AD9A-0BE84A438206}"/>
    <cellStyle name="Millares 7 2 4 3" xfId="5313" xr:uid="{430AF823-7F09-4386-84F8-C50DF145C9E2}"/>
    <cellStyle name="Millares 7 2 4 3 2" xfId="6986" xr:uid="{2486A86F-C899-42C8-9D82-FB2A16EB9A16}"/>
    <cellStyle name="Millares 7 2 4 3 3" xfId="8658" xr:uid="{61E09E71-97E9-412B-B273-8BC4029CE5B2}"/>
    <cellStyle name="Millares 7 2 4 4" xfId="5871" xr:uid="{BBC3557C-A6C2-46B9-B6ED-DFC8A08FA95A}"/>
    <cellStyle name="Millares 7 2 4 5" xfId="7543" xr:uid="{DEC20038-045B-4B55-868E-E3049631EB1B}"/>
    <cellStyle name="Millares 7 2 4 6" xfId="9215" xr:uid="{7ECC0E0B-D340-4619-A206-C37C97614D88}"/>
    <cellStyle name="Millares 7 2 5" xfId="3478" xr:uid="{157971F4-D9C1-46A7-904B-C59BB82BC04E}"/>
    <cellStyle name="Millares 7 2 5 2" xfId="4757" xr:uid="{F0616F63-1D14-473F-BF46-4D6C787EEAEE}"/>
    <cellStyle name="Millares 7 2 5 2 2" xfId="6430" xr:uid="{B0ED193B-17BE-4F86-A061-BC6B3EFAE4A2}"/>
    <cellStyle name="Millares 7 2 5 2 3" xfId="8102" xr:uid="{2ED914A0-81E9-465C-B404-D723F236F2E3}"/>
    <cellStyle name="Millares 7 2 5 3" xfId="5314" xr:uid="{FE66174F-8DB7-4760-B624-CD362A6952C7}"/>
    <cellStyle name="Millares 7 2 5 3 2" xfId="6987" xr:uid="{B50DBF97-117D-4156-B7BC-FA33891D55E0}"/>
    <cellStyle name="Millares 7 2 5 3 3" xfId="8659" xr:uid="{A470EBEA-5D89-4208-9F5B-93C17F130C27}"/>
    <cellStyle name="Millares 7 2 5 4" xfId="5872" xr:uid="{3DBE7149-27F7-4701-8D0E-FA53F66C490C}"/>
    <cellStyle name="Millares 7 2 5 5" xfId="7544" xr:uid="{24E11830-A36B-4386-B63B-7DA123526952}"/>
    <cellStyle name="Millares 7 2 5 6" xfId="9216" xr:uid="{BDA385F9-A2B9-43E6-ACDE-C395B3D5E665}"/>
    <cellStyle name="Millares 7 2 6" xfId="3479" xr:uid="{96FEE658-822D-4957-B303-A5DBD5DE7D91}"/>
    <cellStyle name="Millares 7 2 6 2" xfId="4758" xr:uid="{85F930C2-F8CD-4B81-AE2D-C2E01C77395F}"/>
    <cellStyle name="Millares 7 2 6 2 2" xfId="6431" xr:uid="{2B6C68C7-659A-42D4-A7FA-D4970CC789A6}"/>
    <cellStyle name="Millares 7 2 6 2 3" xfId="8103" xr:uid="{935A7D49-48FC-45B2-9EF6-E28E004CA457}"/>
    <cellStyle name="Millares 7 2 6 3" xfId="5315" xr:uid="{762CDC37-D4D2-4993-AE13-49E8CD474286}"/>
    <cellStyle name="Millares 7 2 6 3 2" xfId="6988" xr:uid="{472E3F3B-04B2-46D2-B1B0-D22D841C85B2}"/>
    <cellStyle name="Millares 7 2 6 3 3" xfId="8660" xr:uid="{2DDE439A-189E-42A8-A57C-21FC404227B1}"/>
    <cellStyle name="Millares 7 2 6 4" xfId="5873" xr:uid="{B906543A-189B-45CA-83F6-DF7EC0287CFA}"/>
    <cellStyle name="Millares 7 2 6 5" xfId="7545" xr:uid="{FAFCBD15-7BAA-43CB-8EB7-021EE023DE49}"/>
    <cellStyle name="Millares 7 2 6 6" xfId="9217" xr:uid="{4DA1DD7A-79DA-467A-BB9E-3019A3DC32B2}"/>
    <cellStyle name="Millares 7 2 7" xfId="3480" xr:uid="{9D71F35B-9AFA-4234-880B-0D4E784858CF}"/>
    <cellStyle name="Millares 7 2 7 2" xfId="4759" xr:uid="{EF9BC58D-7EB2-41AC-BFEE-48A83A54237E}"/>
    <cellStyle name="Millares 7 2 7 2 2" xfId="6432" xr:uid="{AC5D9EFE-3060-4827-8CBF-F5B642E159C5}"/>
    <cellStyle name="Millares 7 2 7 2 3" xfId="8104" xr:uid="{FE6EDE5E-871E-4404-83B5-E63829F21E77}"/>
    <cellStyle name="Millares 7 2 7 3" xfId="5316" xr:uid="{C1F5F107-FB06-4230-9056-BCA67CDE1D3B}"/>
    <cellStyle name="Millares 7 2 7 3 2" xfId="6989" xr:uid="{4646B5C5-BCA0-41B5-A897-03A13A3C73F8}"/>
    <cellStyle name="Millares 7 2 7 3 3" xfId="8661" xr:uid="{FBE0DDF8-7120-4187-9822-653BAC82BAA6}"/>
    <cellStyle name="Millares 7 2 7 4" xfId="5874" xr:uid="{18377665-D8B1-43DA-8FBD-34400C9E9455}"/>
    <cellStyle name="Millares 7 2 7 5" xfId="7546" xr:uid="{19F57B28-25D7-4908-85DA-19E9ABA58D66}"/>
    <cellStyle name="Millares 7 2 7 6" xfId="9218" xr:uid="{F1EC2474-2F93-484F-A088-3C7EC8810775}"/>
    <cellStyle name="Millares 7 2 8" xfId="3481" xr:uid="{8EDCBD32-23E4-46C4-9D21-CE6CCFB09B93}"/>
    <cellStyle name="Millares 7 2 8 2" xfId="4760" xr:uid="{16C3911C-9731-4012-9575-B2366C26D5C9}"/>
    <cellStyle name="Millares 7 2 8 2 2" xfId="6433" xr:uid="{F540FE33-A802-4B54-B571-B8E5BD4068EC}"/>
    <cellStyle name="Millares 7 2 8 2 3" xfId="8105" xr:uid="{E9598D57-EDAE-4886-AF3B-66871B45AF6D}"/>
    <cellStyle name="Millares 7 2 8 3" xfId="5317" xr:uid="{5DA7DD24-C3C4-4A32-BA00-9AF3CDC7CC5A}"/>
    <cellStyle name="Millares 7 2 8 3 2" xfId="6990" xr:uid="{00E7EFA1-114D-4CEA-96DE-68F4FF418922}"/>
    <cellStyle name="Millares 7 2 8 3 3" xfId="8662" xr:uid="{B83A69DD-E76F-436A-8976-EB82DC465788}"/>
    <cellStyle name="Millares 7 2 8 4" xfId="5875" xr:uid="{C206FA5A-2294-4EA6-9FE1-8E4D09DC27BF}"/>
    <cellStyle name="Millares 7 2 8 5" xfId="7547" xr:uid="{07B21198-DE1D-48D0-9B63-EB5BE17B1C31}"/>
    <cellStyle name="Millares 7 2 8 6" xfId="9219" xr:uid="{71378123-D23F-46C8-94D0-44D99CA352AC}"/>
    <cellStyle name="Millares 7 2 9" xfId="3482" xr:uid="{5F6D4D67-D4BD-4F50-8D64-64D0B1162489}"/>
    <cellStyle name="Millares 7 2 9 2" xfId="4761" xr:uid="{B7BF420C-7397-4748-BD15-77A9141DC93E}"/>
    <cellStyle name="Millares 7 2 9 2 2" xfId="6434" xr:uid="{D51EB1C9-A0C5-4BE8-A186-61CFC7AF5AAF}"/>
    <cellStyle name="Millares 7 2 9 2 3" xfId="8106" xr:uid="{52354D6E-20E4-4202-9EB8-71AF4A9B6B5A}"/>
    <cellStyle name="Millares 7 2 9 3" xfId="5318" xr:uid="{B137AF1C-D6B8-4214-9DFA-4B8ED105B3E7}"/>
    <cellStyle name="Millares 7 2 9 3 2" xfId="6991" xr:uid="{2750AFCF-C72C-41A7-A3ED-D7B51C4388B4}"/>
    <cellStyle name="Millares 7 2 9 3 3" xfId="8663" xr:uid="{F2AFC3CB-6566-4566-87BD-695B43CC0886}"/>
    <cellStyle name="Millares 7 2 9 4" xfId="5876" xr:uid="{5F047854-378C-4200-BC5A-54D726488FEC}"/>
    <cellStyle name="Millares 7 2 9 5" xfId="7548" xr:uid="{2036981C-E524-4AB2-98A4-FC27F9C54460}"/>
    <cellStyle name="Millares 7 2 9 6" xfId="9220" xr:uid="{375F9BF5-207E-468E-B92D-D2D8F37ACAA3}"/>
    <cellStyle name="Millares 7 3" xfId="3483" xr:uid="{1819A766-2862-4377-9506-3F3A232745A6}"/>
    <cellStyle name="Millares 7 3 10" xfId="3484" xr:uid="{DD5499E3-C2CA-43E9-ACC4-D4C30B3DE742}"/>
    <cellStyle name="Millares 7 3 10 2" xfId="4763" xr:uid="{3E066A23-323D-449F-9BE2-109FB32BD132}"/>
    <cellStyle name="Millares 7 3 10 2 2" xfId="6436" xr:uid="{056ACFB2-D48E-4C7E-BEE6-BBB5CCCCFB53}"/>
    <cellStyle name="Millares 7 3 10 2 3" xfId="8108" xr:uid="{38D822AE-7C34-4D97-B089-D6A5E58C5709}"/>
    <cellStyle name="Millares 7 3 10 3" xfId="5320" xr:uid="{D0ACAB1F-A478-4725-8645-BE65029BA9D5}"/>
    <cellStyle name="Millares 7 3 10 3 2" xfId="6993" xr:uid="{24978C16-BF6B-425E-A632-F7576C574368}"/>
    <cellStyle name="Millares 7 3 10 3 3" xfId="8665" xr:uid="{F14C9A41-6386-447E-9D57-21627F7150CB}"/>
    <cellStyle name="Millares 7 3 10 4" xfId="5878" xr:uid="{8E2C7383-AFE7-4DF8-86A3-FD48A7D7F469}"/>
    <cellStyle name="Millares 7 3 10 5" xfId="7550" xr:uid="{ADE45A3D-C1AC-4CCC-B274-F932941DB531}"/>
    <cellStyle name="Millares 7 3 10 6" xfId="9222" xr:uid="{3539EDAE-0A72-4539-BA23-6AC462BA486E}"/>
    <cellStyle name="Millares 7 3 11" xfId="4762" xr:uid="{14F7CC66-C2BB-44D9-A860-F1E818F128A3}"/>
    <cellStyle name="Millares 7 3 11 2" xfId="6435" xr:uid="{5E3B3C73-3C74-4985-A869-E0C166383804}"/>
    <cellStyle name="Millares 7 3 11 3" xfId="8107" xr:uid="{8A03A558-287A-4ACB-9C10-F79A9F03FFBB}"/>
    <cellStyle name="Millares 7 3 12" xfId="5319" xr:uid="{D4FC0CA1-4982-4794-A374-2B67C95E5D0C}"/>
    <cellStyle name="Millares 7 3 12 2" xfId="6992" xr:uid="{FB117D3F-544D-430D-AB1B-8F0338177304}"/>
    <cellStyle name="Millares 7 3 12 3" xfId="8664" xr:uid="{FF6EF5AB-0831-4CA5-94DE-B2F0BDDD96EC}"/>
    <cellStyle name="Millares 7 3 13" xfId="5877" xr:uid="{98F7D983-6BDD-426E-BEBB-1E36AB4E4CE0}"/>
    <cellStyle name="Millares 7 3 14" xfId="7549" xr:uid="{19CED533-2128-494D-A257-36B3219D5373}"/>
    <cellStyle name="Millares 7 3 15" xfId="9221" xr:uid="{DF851FD4-6C62-491E-A9C7-E936CD9BB686}"/>
    <cellStyle name="Millares 7 3 2" xfId="3485" xr:uid="{57507B5F-4C76-433C-8855-CD57BE760345}"/>
    <cellStyle name="Millares 7 3 2 2" xfId="4764" xr:uid="{C516B3F5-F6CB-464A-8197-18B5C74BEEFC}"/>
    <cellStyle name="Millares 7 3 2 2 2" xfId="6437" xr:uid="{4CEBD823-6823-49F8-90D7-2912CAD4DF1A}"/>
    <cellStyle name="Millares 7 3 2 2 3" xfId="8109" xr:uid="{4416A8C2-35FD-4444-A550-90AA29417989}"/>
    <cellStyle name="Millares 7 3 2 3" xfId="5321" xr:uid="{B2B90BF8-589A-4EA4-A12E-32D87D864943}"/>
    <cellStyle name="Millares 7 3 2 3 2" xfId="6994" xr:uid="{94E26D49-18AA-42A0-B4B6-F78574CE37B8}"/>
    <cellStyle name="Millares 7 3 2 3 3" xfId="8666" xr:uid="{2812C5B4-BF85-4439-AC6D-3C49F737A428}"/>
    <cellStyle name="Millares 7 3 2 4" xfId="5879" xr:uid="{9E2B4606-4507-476B-993F-62EF7A0B1348}"/>
    <cellStyle name="Millares 7 3 2 5" xfId="7551" xr:uid="{F8B42A21-7B29-4633-928C-76056D0F453B}"/>
    <cellStyle name="Millares 7 3 2 6" xfId="9223" xr:uid="{FEA62544-864C-49B5-B55C-D870807F20F4}"/>
    <cellStyle name="Millares 7 3 3" xfId="3486" xr:uid="{155F8D18-647E-4DBC-858C-3614A9F78028}"/>
    <cellStyle name="Millares 7 3 3 2" xfId="4765" xr:uid="{6434E738-2DA1-44B5-876E-4B76134E43D5}"/>
    <cellStyle name="Millares 7 3 3 2 2" xfId="6438" xr:uid="{4E17DC84-EA04-40C3-91B5-F9D44245C55F}"/>
    <cellStyle name="Millares 7 3 3 2 3" xfId="8110" xr:uid="{F25F27E9-43AE-40B9-82DF-D36AB89C93A3}"/>
    <cellStyle name="Millares 7 3 3 3" xfId="5322" xr:uid="{BE3BB64F-6008-4FBB-B177-C41AB7072DF1}"/>
    <cellStyle name="Millares 7 3 3 3 2" xfId="6995" xr:uid="{99F6A4AE-5CFD-4F39-A6A7-25B6EB1457C2}"/>
    <cellStyle name="Millares 7 3 3 3 3" xfId="8667" xr:uid="{FDD02D16-A62B-41E4-A0CB-4EBFB1C87F7C}"/>
    <cellStyle name="Millares 7 3 3 4" xfId="5880" xr:uid="{5EA7C2A1-42FF-4E85-9C33-48ABF5B58590}"/>
    <cellStyle name="Millares 7 3 3 5" xfId="7552" xr:uid="{9C94C2CA-A062-4B4B-8956-745238E8A22D}"/>
    <cellStyle name="Millares 7 3 3 6" xfId="9224" xr:uid="{9A9671E2-B412-4B01-8B1A-A7E0EFFD741D}"/>
    <cellStyle name="Millares 7 3 4" xfId="3487" xr:uid="{C55D4803-446B-467E-B8BA-BF01BAD99262}"/>
    <cellStyle name="Millares 7 3 4 2" xfId="4766" xr:uid="{3B5B0C2F-6C37-4DAF-8876-ABCBDAED9595}"/>
    <cellStyle name="Millares 7 3 4 2 2" xfId="6439" xr:uid="{79AA895D-67BE-4F0D-B48F-5ECF9ACD8CC9}"/>
    <cellStyle name="Millares 7 3 4 2 3" xfId="8111" xr:uid="{8D80F2DB-D376-462A-AB78-92FE49031EC9}"/>
    <cellStyle name="Millares 7 3 4 3" xfId="5323" xr:uid="{262736C4-D3ED-4C27-B27A-FDB3A26CA4EE}"/>
    <cellStyle name="Millares 7 3 4 3 2" xfId="6996" xr:uid="{9DEC50D5-D72F-4F73-92D8-A6E9594FFF2E}"/>
    <cellStyle name="Millares 7 3 4 3 3" xfId="8668" xr:uid="{AD2F3945-7629-4D05-8CBF-80DC9256EDE9}"/>
    <cellStyle name="Millares 7 3 4 4" xfId="5881" xr:uid="{2F4A16A7-A73C-4AB9-9BF4-C566A2962C67}"/>
    <cellStyle name="Millares 7 3 4 5" xfId="7553" xr:uid="{9B949C0C-7EF8-42A9-92C1-819CE733F8C2}"/>
    <cellStyle name="Millares 7 3 4 6" xfId="9225" xr:uid="{F97660B8-4E83-4E8E-9FCF-BF40E432B6F0}"/>
    <cellStyle name="Millares 7 3 5" xfId="3488" xr:uid="{5CA2C303-D601-4D07-87C4-8D5CCBB89973}"/>
    <cellStyle name="Millares 7 3 5 2" xfId="4767" xr:uid="{8EC74BE9-0EF0-4B13-A4A3-3C91A158C4B0}"/>
    <cellStyle name="Millares 7 3 5 2 2" xfId="6440" xr:uid="{01601BB8-E6CE-4CC2-915C-FB83BC72ED44}"/>
    <cellStyle name="Millares 7 3 5 2 3" xfId="8112" xr:uid="{780B0210-F500-48C0-B2CD-45ECD5B9FBA1}"/>
    <cellStyle name="Millares 7 3 5 3" xfId="5324" xr:uid="{BE78A3BB-D9D8-46CA-A627-FD7105260925}"/>
    <cellStyle name="Millares 7 3 5 3 2" xfId="6997" xr:uid="{3522BCD6-C361-4110-8563-A9F976BC2BC3}"/>
    <cellStyle name="Millares 7 3 5 3 3" xfId="8669" xr:uid="{B99CB123-F829-403B-A51C-1708C2B58FB6}"/>
    <cellStyle name="Millares 7 3 5 4" xfId="5882" xr:uid="{0191522E-7DF0-4A24-AB2D-104CE740EC87}"/>
    <cellStyle name="Millares 7 3 5 5" xfId="7554" xr:uid="{44B4B104-1BB2-4B6C-AE5F-2682A219CCD2}"/>
    <cellStyle name="Millares 7 3 5 6" xfId="9226" xr:uid="{178701A1-1FED-4EBD-9A5E-79B70097E914}"/>
    <cellStyle name="Millares 7 3 6" xfId="3489" xr:uid="{B148EB1B-EA0F-46D1-BAD7-F76182D98FCF}"/>
    <cellStyle name="Millares 7 3 6 2" xfId="4768" xr:uid="{14B1E7F4-D839-4044-839D-CDEB4C5C9889}"/>
    <cellStyle name="Millares 7 3 6 2 2" xfId="6441" xr:uid="{DB9FB79C-0F6F-4D6C-A2BD-7A09E662E8B4}"/>
    <cellStyle name="Millares 7 3 6 2 3" xfId="8113" xr:uid="{3611DAF0-9965-43F3-B769-155028BC54A0}"/>
    <cellStyle name="Millares 7 3 6 3" xfId="5325" xr:uid="{DD2501AB-FB77-45C2-8395-06CA6F1D075A}"/>
    <cellStyle name="Millares 7 3 6 3 2" xfId="6998" xr:uid="{0C8C72F2-65F1-4876-8818-AE25D38E841F}"/>
    <cellStyle name="Millares 7 3 6 3 3" xfId="8670" xr:uid="{7A51C90A-1AD0-4FA5-B4B0-969E11676DEB}"/>
    <cellStyle name="Millares 7 3 6 4" xfId="5883" xr:uid="{AFFEA631-9EFB-4EA1-82F7-1F18B9CE4179}"/>
    <cellStyle name="Millares 7 3 6 5" xfId="7555" xr:uid="{86080714-993F-4995-8C05-52285A7D7BC4}"/>
    <cellStyle name="Millares 7 3 6 6" xfId="9227" xr:uid="{6BC5783F-D3F4-4544-9EF8-B7E094D0758C}"/>
    <cellStyle name="Millares 7 3 7" xfId="3490" xr:uid="{AD859F7E-5713-4ED9-AB15-1A5832F79EED}"/>
    <cellStyle name="Millares 7 3 7 2" xfId="4769" xr:uid="{1030D1A6-727A-4FC8-90A2-D4B8D6ACA55A}"/>
    <cellStyle name="Millares 7 3 7 2 2" xfId="6442" xr:uid="{461D2506-5295-4DE3-AA40-A6229DD6A9AE}"/>
    <cellStyle name="Millares 7 3 7 2 3" xfId="8114" xr:uid="{1B5749E2-FAD8-49B2-94C8-3428E7114D85}"/>
    <cellStyle name="Millares 7 3 7 3" xfId="5326" xr:uid="{BAEDB104-18C9-4A7B-841A-DA3093D8800D}"/>
    <cellStyle name="Millares 7 3 7 3 2" xfId="6999" xr:uid="{67E226CE-014A-4B78-8147-240BC3E6A424}"/>
    <cellStyle name="Millares 7 3 7 3 3" xfId="8671" xr:uid="{2CDD9DD5-A8EB-43AA-80F5-78F71502DC17}"/>
    <cellStyle name="Millares 7 3 7 4" xfId="5884" xr:uid="{30B49E12-D875-46B0-BCE6-A4BF5741B9A4}"/>
    <cellStyle name="Millares 7 3 7 5" xfId="7556" xr:uid="{22367708-40D6-4657-8D38-9AE10C3BFD16}"/>
    <cellStyle name="Millares 7 3 7 6" xfId="9228" xr:uid="{F55C50B5-198C-4906-8458-65E3D3EA1482}"/>
    <cellStyle name="Millares 7 3 8" xfId="3491" xr:uid="{50DED81C-684E-4692-A7BD-C71114253B8C}"/>
    <cellStyle name="Millares 7 3 8 2" xfId="4770" xr:uid="{A4427138-9CA9-4C32-B2DD-9865A9C758A2}"/>
    <cellStyle name="Millares 7 3 8 2 2" xfId="6443" xr:uid="{A1690292-89B0-40E2-A5C5-C93FCFDD50DA}"/>
    <cellStyle name="Millares 7 3 8 2 3" xfId="8115" xr:uid="{52FEF7D0-D603-44EC-871D-25C199BA8A92}"/>
    <cellStyle name="Millares 7 3 8 3" xfId="5327" xr:uid="{2B68007C-12E0-42BC-9211-5ED9B02B8294}"/>
    <cellStyle name="Millares 7 3 8 3 2" xfId="7000" xr:uid="{8E832C9F-610F-4375-98FC-06A8CB5EBE1C}"/>
    <cellStyle name="Millares 7 3 8 3 3" xfId="8672" xr:uid="{8A593423-9120-48D7-9A85-F8BCAA753548}"/>
    <cellStyle name="Millares 7 3 8 4" xfId="5885" xr:uid="{AE04ADA5-BFBA-453A-B608-7A13FA91BDED}"/>
    <cellStyle name="Millares 7 3 8 5" xfId="7557" xr:uid="{D8C66052-E29E-468B-8A99-7CC4C3533DB1}"/>
    <cellStyle name="Millares 7 3 8 6" xfId="9229" xr:uid="{FF38A73A-5FA2-43F6-B847-F1E4190D7CDA}"/>
    <cellStyle name="Millares 7 3 9" xfId="3492" xr:uid="{98ABB0F0-632C-4C7B-9C05-D782389C89F3}"/>
    <cellStyle name="Millares 7 3 9 2" xfId="4771" xr:uid="{50B15DC4-06AE-452C-9A19-4C9981DF3068}"/>
    <cellStyle name="Millares 7 3 9 2 2" xfId="6444" xr:uid="{2107A091-FA70-4548-A767-42C67D3978A8}"/>
    <cellStyle name="Millares 7 3 9 2 3" xfId="8116" xr:uid="{15ED1B4C-3BD2-4CE3-AE02-CF2CCBA8AF34}"/>
    <cellStyle name="Millares 7 3 9 3" xfId="5328" xr:uid="{FC3C722E-0F86-41F2-A987-AAF6A084C413}"/>
    <cellStyle name="Millares 7 3 9 3 2" xfId="7001" xr:uid="{581856D5-A0B3-491A-BB8A-BF291B3E22F2}"/>
    <cellStyle name="Millares 7 3 9 3 3" xfId="8673" xr:uid="{E309313C-8602-4FDD-B798-ECB148FA390A}"/>
    <cellStyle name="Millares 7 3 9 4" xfId="5886" xr:uid="{6969D9C0-D6CD-4BE7-ADC4-34E148369FF5}"/>
    <cellStyle name="Millares 7 3 9 5" xfId="7558" xr:uid="{998EF0DF-558B-4A2B-84B8-C8E687CB4745}"/>
    <cellStyle name="Millares 7 3 9 6" xfId="9230" xr:uid="{D9A616E5-8C7C-4802-AC76-A7555A400A4E}"/>
    <cellStyle name="Millares 7 4" xfId="3493" xr:uid="{BFC2379C-11F4-4A09-86E3-94E6FC4ECA97}"/>
    <cellStyle name="Millares 7 4 2" xfId="4772" xr:uid="{A39C8705-361D-4112-A365-E3DF7CC35890}"/>
    <cellStyle name="Millares 7 4 2 2" xfId="6445" xr:uid="{34CF9353-564F-47E8-B1C3-B9640F9926AE}"/>
    <cellStyle name="Millares 7 4 2 3" xfId="8117" xr:uid="{83A01C19-AB90-4CD5-8FCE-E3C96CEFB9B8}"/>
    <cellStyle name="Millares 7 4 3" xfId="5329" xr:uid="{A014A1B1-46C2-44E7-B3CD-976573A244D2}"/>
    <cellStyle name="Millares 7 4 3 2" xfId="7002" xr:uid="{49AF7BEA-B5FC-4563-A9BC-F0039D2C692A}"/>
    <cellStyle name="Millares 7 4 3 3" xfId="8674" xr:uid="{58604828-391E-4F86-B037-F0E777A0CDD3}"/>
    <cellStyle name="Millares 7 4 4" xfId="5887" xr:uid="{43BB5B01-B7F2-473E-8232-1644D4BC6EDE}"/>
    <cellStyle name="Millares 7 4 5" xfId="7559" xr:uid="{8097D4F2-77ED-4544-A539-7359C44E6A6D}"/>
    <cellStyle name="Millares 7 4 6" xfId="9231" xr:uid="{CA83557C-B6A3-441D-9C92-60639E2888D9}"/>
    <cellStyle name="Millares 7 5" xfId="3494" xr:uid="{4A0C8BB0-D8BE-4AE9-B5E2-BA88B940E776}"/>
    <cellStyle name="Millares 7 5 2" xfId="4773" xr:uid="{711DB32D-E0E2-4915-8169-B06B2CD05C90}"/>
    <cellStyle name="Millares 7 5 2 2" xfId="6446" xr:uid="{5CFE4DBD-DB1D-4FBA-A755-8A9F02C4F7B3}"/>
    <cellStyle name="Millares 7 5 2 3" xfId="8118" xr:uid="{A687E18F-36E3-4C5E-8D45-F64929278FFA}"/>
    <cellStyle name="Millares 7 5 3" xfId="5330" xr:uid="{7C363433-1C63-47F1-8FFB-CE575CA67015}"/>
    <cellStyle name="Millares 7 5 3 2" xfId="7003" xr:uid="{7157B0EC-A4D2-4757-985D-E48D7ABB7D33}"/>
    <cellStyle name="Millares 7 5 3 3" xfId="8675" xr:uid="{345D7F7D-2642-4613-A5E1-042A3B586A83}"/>
    <cellStyle name="Millares 7 5 4" xfId="5888" xr:uid="{1E79A0FE-C659-4653-86F2-443A042C88F8}"/>
    <cellStyle name="Millares 7 5 5" xfId="7560" xr:uid="{2BB0AE79-0997-4EF7-9C37-66A4C1E13D3F}"/>
    <cellStyle name="Millares 7 5 6" xfId="9232" xr:uid="{271DBDFA-7EBE-46A7-A7A7-EA318CF7B90F}"/>
    <cellStyle name="Millares 7 6" xfId="3495" xr:uid="{3FE011C4-E476-4AC2-A39B-2082A3EB5AB3}"/>
    <cellStyle name="Millares 7 6 2" xfId="4774" xr:uid="{79CDAB09-178C-4A24-A6E7-0B40FE033CCC}"/>
    <cellStyle name="Millares 7 6 2 2" xfId="6447" xr:uid="{B38C6505-9743-4C12-86F2-A0851CBF9DC9}"/>
    <cellStyle name="Millares 7 6 2 3" xfId="8119" xr:uid="{3D525DE0-64B2-4EEE-959E-A386426B9301}"/>
    <cellStyle name="Millares 7 6 3" xfId="5331" xr:uid="{480DF9CA-AB54-45E1-B8EA-5698F33808B2}"/>
    <cellStyle name="Millares 7 6 3 2" xfId="7004" xr:uid="{EBB9119C-5521-4134-9CD1-50AA072F178A}"/>
    <cellStyle name="Millares 7 6 3 3" xfId="8676" xr:uid="{4EE490CE-BCEA-4C85-AE1C-6A118A19BA48}"/>
    <cellStyle name="Millares 7 6 4" xfId="5889" xr:uid="{EB220C61-70F1-4B73-BE58-40DCF4F80BB5}"/>
    <cellStyle name="Millares 7 6 5" xfId="7561" xr:uid="{865E2EC8-6706-4173-92F2-DFB38D9A9F8E}"/>
    <cellStyle name="Millares 7 6 6" xfId="9233" xr:uid="{9A78F72E-CF17-486A-AB80-EC26D79E6189}"/>
    <cellStyle name="Millares 7 7" xfId="3496" xr:uid="{7ACC1D1D-3EA8-459E-ABEE-BC312382B329}"/>
    <cellStyle name="Millares 7 7 2" xfId="4775" xr:uid="{F6DCA583-900C-499B-A752-F3EF3FF692FD}"/>
    <cellStyle name="Millares 7 7 2 2" xfId="6448" xr:uid="{7C909135-3356-4F04-9DA1-503F9DE39C50}"/>
    <cellStyle name="Millares 7 7 2 3" xfId="8120" xr:uid="{7A847EFF-E81C-4CFF-9EC0-EA929A11BA8E}"/>
    <cellStyle name="Millares 7 7 3" xfId="5332" xr:uid="{1C422EE7-E6BF-4B55-BAF7-71EEEEC55EB5}"/>
    <cellStyle name="Millares 7 7 3 2" xfId="7005" xr:uid="{B9F53CE9-9212-416A-9D81-1977396AC8AA}"/>
    <cellStyle name="Millares 7 7 3 3" xfId="8677" xr:uid="{9F8C6A7A-11A3-4366-93A5-8F3442B0116D}"/>
    <cellStyle name="Millares 7 7 4" xfId="5890" xr:uid="{D5E42A22-B131-4A6B-B5EA-DFC8BAE56DEC}"/>
    <cellStyle name="Millares 7 7 5" xfId="7562" xr:uid="{98A144EA-076F-467D-BFA2-6FDCCF06F14E}"/>
    <cellStyle name="Millares 7 7 6" xfId="9234" xr:uid="{B96E3751-983C-4C2F-8EF3-D0C9BC366A96}"/>
    <cellStyle name="Millares 7 8" xfId="3497" xr:uid="{FC04C063-FCEF-4206-B02F-6ADF3282B0B7}"/>
    <cellStyle name="Millares 7 8 2" xfId="4776" xr:uid="{A86A5708-4262-479C-8A92-CFAC27FC30FA}"/>
    <cellStyle name="Millares 7 8 2 2" xfId="6449" xr:uid="{0E41B66F-42CD-495A-AF9E-8FFD2EF5F28A}"/>
    <cellStyle name="Millares 7 8 2 3" xfId="8121" xr:uid="{9ACEBA8D-13CC-4E68-8549-EE9DFD7DBFCB}"/>
    <cellStyle name="Millares 7 8 3" xfId="5333" xr:uid="{95C29DEE-9B17-4626-A884-B71D0C474701}"/>
    <cellStyle name="Millares 7 8 3 2" xfId="7006" xr:uid="{7C4B7B6A-D4B2-4EEF-AA42-AA598F655656}"/>
    <cellStyle name="Millares 7 8 3 3" xfId="8678" xr:uid="{DCB4E65A-1830-445D-8792-921B674AADF7}"/>
    <cellStyle name="Millares 7 8 4" xfId="5891" xr:uid="{B939DBED-1D4C-4E9F-AD51-7C32CB12AFAA}"/>
    <cellStyle name="Millares 7 8 5" xfId="7563" xr:uid="{051EC400-D2DA-404E-A8C6-C56F585846DC}"/>
    <cellStyle name="Millares 7 8 6" xfId="9235" xr:uid="{63E18F49-7961-4C34-8DE8-6F5A8DCCE8CE}"/>
    <cellStyle name="Millares 7 9" xfId="3498" xr:uid="{C24B2796-435E-41BD-8EAB-2DE2204368B2}"/>
    <cellStyle name="Millares 7 9 2" xfId="4777" xr:uid="{FA052E07-55F8-401B-A6B8-35FF947D6DDA}"/>
    <cellStyle name="Millares 7 9 2 2" xfId="6450" xr:uid="{274DE4C1-D507-4875-A49C-41DC8F601DF8}"/>
    <cellStyle name="Millares 7 9 2 3" xfId="8122" xr:uid="{46020671-2965-4E92-9437-6CF46002FB53}"/>
    <cellStyle name="Millares 7 9 3" xfId="5334" xr:uid="{DD5F843D-9A46-4719-B835-9FA8661F0943}"/>
    <cellStyle name="Millares 7 9 3 2" xfId="7007" xr:uid="{5A018938-DED1-426C-A14A-B859F5DC738F}"/>
    <cellStyle name="Millares 7 9 3 3" xfId="8679" xr:uid="{1C43E7A0-F44F-48E2-994C-1F41D3853166}"/>
    <cellStyle name="Millares 7 9 4" xfId="5892" xr:uid="{AA9710B5-A712-4435-BC12-B92BBA5D4F15}"/>
    <cellStyle name="Millares 7 9 5" xfId="7564" xr:uid="{C9A65867-75BB-4145-A6C3-4370115F1B74}"/>
    <cellStyle name="Millares 7 9 6" xfId="9236" xr:uid="{FD380092-FD5D-4536-BC27-FBFDD472A649}"/>
    <cellStyle name="Millares 8" xfId="3499" xr:uid="{6504DA4F-AB65-4EBB-84CE-3F0E71DABFB0}"/>
    <cellStyle name="Millares 8 10" xfId="3500" xr:uid="{772A81C5-B59F-4A08-9746-4926E584C6C6}"/>
    <cellStyle name="Millares 8 10 2" xfId="4779" xr:uid="{E72DED07-74BF-4D2E-B41B-37D0019DE166}"/>
    <cellStyle name="Millares 8 10 2 2" xfId="6452" xr:uid="{7F7A5CE5-1A99-4094-A16B-7AD3189E430D}"/>
    <cellStyle name="Millares 8 10 2 3" xfId="8124" xr:uid="{36A8368D-711B-4663-AB81-114096CFDB43}"/>
    <cellStyle name="Millares 8 10 3" xfId="5336" xr:uid="{38099645-599D-452C-BDED-3BB7141393B5}"/>
    <cellStyle name="Millares 8 10 3 2" xfId="7009" xr:uid="{9B02751C-9282-45E4-801F-F4A7841A5B2A}"/>
    <cellStyle name="Millares 8 10 3 3" xfId="8681" xr:uid="{BC34E8A7-0E68-4C19-846E-5A5F9A6E732D}"/>
    <cellStyle name="Millares 8 10 4" xfId="5894" xr:uid="{27A3EBC7-E55B-4C45-B3B1-8E26583EE7EF}"/>
    <cellStyle name="Millares 8 10 5" xfId="7566" xr:uid="{D33D043E-63AF-44A1-803D-47051EC69A53}"/>
    <cellStyle name="Millares 8 10 6" xfId="9238" xr:uid="{7462EFAA-787C-4C67-B27F-62050A167BBF}"/>
    <cellStyle name="Millares 8 11" xfId="3501" xr:uid="{07805287-2463-43D6-A32F-72A37789FAFA}"/>
    <cellStyle name="Millares 8 11 2" xfId="4780" xr:uid="{5A1D07FF-D192-438D-AEC7-84341BC1D4A7}"/>
    <cellStyle name="Millares 8 11 2 2" xfId="6453" xr:uid="{37ED0369-4426-483C-A7DC-9B51E45A3FD0}"/>
    <cellStyle name="Millares 8 11 2 3" xfId="8125" xr:uid="{7233C00A-BB16-4C47-9742-A58F52D30D5C}"/>
    <cellStyle name="Millares 8 11 3" xfId="5337" xr:uid="{753D1CE6-7148-4950-AE2F-83D99EABE601}"/>
    <cellStyle name="Millares 8 11 3 2" xfId="7010" xr:uid="{4B8193BC-C259-4829-AC42-C7C0FD57504E}"/>
    <cellStyle name="Millares 8 11 3 3" xfId="8682" xr:uid="{4A039C3A-4804-47ED-A285-5F294FD34D89}"/>
    <cellStyle name="Millares 8 11 4" xfId="5895" xr:uid="{9D3AFEC3-6332-43A4-8AD6-1928C6850941}"/>
    <cellStyle name="Millares 8 11 5" xfId="7567" xr:uid="{8C4CCDA7-1018-4271-ADBB-22B5E95D36A0}"/>
    <cellStyle name="Millares 8 11 6" xfId="9239" xr:uid="{B9656F05-4061-4596-B248-B21619E975F8}"/>
    <cellStyle name="Millares 8 12" xfId="3502" xr:uid="{812C583A-3341-4959-BD1C-51345CA1F917}"/>
    <cellStyle name="Millares 8 12 2" xfId="4781" xr:uid="{0440C4D8-F48E-4D0D-8A0B-7B63E29A1410}"/>
    <cellStyle name="Millares 8 12 2 2" xfId="6454" xr:uid="{F34DDE61-1F6C-4BF3-9878-5B4365C8222B}"/>
    <cellStyle name="Millares 8 12 2 3" xfId="8126" xr:uid="{D7EBE5D4-57C1-4734-8EB9-88AAEB7C0B4E}"/>
    <cellStyle name="Millares 8 12 3" xfId="5338" xr:uid="{CE663E85-8B6B-4C2F-BCD1-B391BEE7DA8D}"/>
    <cellStyle name="Millares 8 12 3 2" xfId="7011" xr:uid="{3E5353D8-26B6-42FB-A081-4F655711EB57}"/>
    <cellStyle name="Millares 8 12 3 3" xfId="8683" xr:uid="{BCDEF35B-0B6A-4E61-9C7F-08A92B3AF412}"/>
    <cellStyle name="Millares 8 12 4" xfId="5896" xr:uid="{84868356-B4A6-4BB2-8226-B95F6AD4C5D2}"/>
    <cellStyle name="Millares 8 12 5" xfId="7568" xr:uid="{13C118B0-E4A7-4924-95A8-34E84D4DFDE5}"/>
    <cellStyle name="Millares 8 12 6" xfId="9240" xr:uid="{3964F049-5E24-4A92-8489-B6BE46063F68}"/>
    <cellStyle name="Millares 8 13" xfId="4778" xr:uid="{6EE187A3-66E4-499F-AED0-0086B8645A87}"/>
    <cellStyle name="Millares 8 13 2" xfId="6451" xr:uid="{B04F306F-6B66-46FA-8940-D90C4FFF37FE}"/>
    <cellStyle name="Millares 8 13 3" xfId="8123" xr:uid="{571B7B1D-775E-4226-AC22-38C0F92D4847}"/>
    <cellStyle name="Millares 8 14" xfId="5335" xr:uid="{C58E47E2-0C6E-44D4-A95D-0F69CC19FC27}"/>
    <cellStyle name="Millares 8 14 2" xfId="7008" xr:uid="{8DF4E239-C271-46F5-B52C-DD1EE32A807E}"/>
    <cellStyle name="Millares 8 14 3" xfId="8680" xr:uid="{E7B7F2F6-45CF-4060-974E-30E6F1952F4C}"/>
    <cellStyle name="Millares 8 15" xfId="5893" xr:uid="{DE5B8A87-0A70-4A5F-9A49-5BC601CAEAB8}"/>
    <cellStyle name="Millares 8 16" xfId="7565" xr:uid="{7E4E8B9A-CF84-4F74-B23E-FB691013D211}"/>
    <cellStyle name="Millares 8 17" xfId="9237" xr:uid="{AA3EEE83-A4B0-4C1E-A459-D7D420B6A408}"/>
    <cellStyle name="Millares 8 2" xfId="3503" xr:uid="{77A95CF7-CEC0-4D8B-ACA1-F3B75D4AB838}"/>
    <cellStyle name="Millares 8 2 10" xfId="3504" xr:uid="{F847CAA7-DB86-4004-BD6B-966858BDE183}"/>
    <cellStyle name="Millares 8 2 10 2" xfId="4783" xr:uid="{2F9C65E6-F35B-4F12-9D2D-D6AAE29D1010}"/>
    <cellStyle name="Millares 8 2 10 2 2" xfId="6456" xr:uid="{22D868B8-591F-4C81-BB70-A672C28D24B0}"/>
    <cellStyle name="Millares 8 2 10 2 3" xfId="8128" xr:uid="{36169827-CDCC-4882-ADD5-F59AEBEC709D}"/>
    <cellStyle name="Millares 8 2 10 3" xfId="5340" xr:uid="{564A63AD-576B-4F68-A3C8-85C901E8474A}"/>
    <cellStyle name="Millares 8 2 10 3 2" xfId="7013" xr:uid="{87E47653-548B-45EC-8F0F-791FD66619BD}"/>
    <cellStyle name="Millares 8 2 10 3 3" xfId="8685" xr:uid="{4F5B5663-1B92-4A1D-9F18-6BB9A0FFE0E3}"/>
    <cellStyle name="Millares 8 2 10 4" xfId="5898" xr:uid="{1C0067D7-1228-4D44-8CC8-2A2DB7A3899A}"/>
    <cellStyle name="Millares 8 2 10 5" xfId="7570" xr:uid="{8C25DCBA-F5CB-4F0A-8E0B-4986CFF3CC3A}"/>
    <cellStyle name="Millares 8 2 10 6" xfId="9242" xr:uid="{57FB1DB2-311E-4C12-AAC1-6E8BE6E97388}"/>
    <cellStyle name="Millares 8 2 11" xfId="4782" xr:uid="{C70784FA-9D44-4CCE-8D89-5B01782F58D2}"/>
    <cellStyle name="Millares 8 2 11 2" xfId="6455" xr:uid="{52B7328A-DA90-4AC5-9158-82434C420ADE}"/>
    <cellStyle name="Millares 8 2 11 3" xfId="8127" xr:uid="{4D6100B3-9BD7-464F-AEE9-EE1675E6B010}"/>
    <cellStyle name="Millares 8 2 12" xfId="5339" xr:uid="{DA085D16-B1A1-48CD-A37A-C5C379219747}"/>
    <cellStyle name="Millares 8 2 12 2" xfId="7012" xr:uid="{E68CB608-0AB4-4182-9F6C-50E0A43CC37C}"/>
    <cellStyle name="Millares 8 2 12 3" xfId="8684" xr:uid="{21E56377-AC88-47E5-8A65-5C1035513E4C}"/>
    <cellStyle name="Millares 8 2 13" xfId="5897" xr:uid="{D0453307-A17B-4D47-8F74-A60F9D5BB49C}"/>
    <cellStyle name="Millares 8 2 14" xfId="7569" xr:uid="{B744D08B-0ABB-4E55-89CA-F2FF10030938}"/>
    <cellStyle name="Millares 8 2 15" xfId="9241" xr:uid="{102D49F7-186C-44C7-86E4-219999C7ADF8}"/>
    <cellStyle name="Millares 8 2 2" xfId="3505" xr:uid="{2F4C0AA2-EC8C-4CD5-AFA1-895CD504DCCC}"/>
    <cellStyle name="Millares 8 2 2 2" xfId="4784" xr:uid="{40AE0170-BADE-4D28-B0E7-DDDECCFC3B9D}"/>
    <cellStyle name="Millares 8 2 2 2 2" xfId="6457" xr:uid="{7067D17B-DA56-4CAD-AE99-357187C87E63}"/>
    <cellStyle name="Millares 8 2 2 2 3" xfId="8129" xr:uid="{207BCF8E-7BE2-40C0-9275-7F189C46B060}"/>
    <cellStyle name="Millares 8 2 2 3" xfId="5341" xr:uid="{ABF48B17-ECA7-43FF-A27E-CC3208F117C4}"/>
    <cellStyle name="Millares 8 2 2 3 2" xfId="7014" xr:uid="{10ED1844-B8F2-4D5A-9ED8-D534F79E8C9E}"/>
    <cellStyle name="Millares 8 2 2 3 3" xfId="8686" xr:uid="{35C1A863-962B-464C-B53F-C76450924CFA}"/>
    <cellStyle name="Millares 8 2 2 4" xfId="5899" xr:uid="{57EE3630-2E65-4B91-9E81-FBC4D179B50D}"/>
    <cellStyle name="Millares 8 2 2 5" xfId="7571" xr:uid="{014ED614-40A6-4181-A615-6FC01A0C7112}"/>
    <cellStyle name="Millares 8 2 2 6" xfId="9243" xr:uid="{3D6A6311-FA15-4DC2-B7EC-9D1C719FBD74}"/>
    <cellStyle name="Millares 8 2 3" xfId="3506" xr:uid="{825EEF66-177D-4456-8729-0740973585AE}"/>
    <cellStyle name="Millares 8 2 3 2" xfId="4785" xr:uid="{CDE17E62-BF45-4530-9DAB-896CAC196476}"/>
    <cellStyle name="Millares 8 2 3 2 2" xfId="6458" xr:uid="{F9C9D07C-12E8-436B-9807-C65F2CE2DCB4}"/>
    <cellStyle name="Millares 8 2 3 2 3" xfId="8130" xr:uid="{008F68CC-F057-4408-80FB-A5F1DA28D86C}"/>
    <cellStyle name="Millares 8 2 3 3" xfId="5342" xr:uid="{312EEF10-BBD4-447F-8782-840DF6A3658D}"/>
    <cellStyle name="Millares 8 2 3 3 2" xfId="7015" xr:uid="{E0D7A753-2B90-40B1-B4A5-D61ACEFB01B1}"/>
    <cellStyle name="Millares 8 2 3 3 3" xfId="8687" xr:uid="{DA04520D-45B6-4EC2-B469-0840A2FE5AF7}"/>
    <cellStyle name="Millares 8 2 3 4" xfId="5900" xr:uid="{68B14818-CFCF-446E-B71D-FB80368DA3A8}"/>
    <cellStyle name="Millares 8 2 3 5" xfId="7572" xr:uid="{E4150ED3-3A2A-4E14-97BA-C6959310ECA5}"/>
    <cellStyle name="Millares 8 2 3 6" xfId="9244" xr:uid="{06278D94-A54C-4474-B875-5FE3F95D90F0}"/>
    <cellStyle name="Millares 8 2 4" xfId="3507" xr:uid="{557E1A7E-E116-479A-A040-C7B0E4AD99E3}"/>
    <cellStyle name="Millares 8 2 4 2" xfId="4786" xr:uid="{FBBDE4D8-6BF9-4AB9-A9BF-A0F376C5D660}"/>
    <cellStyle name="Millares 8 2 4 2 2" xfId="6459" xr:uid="{789B82CB-737B-4975-89E2-30588305B2E4}"/>
    <cellStyle name="Millares 8 2 4 2 3" xfId="8131" xr:uid="{64A6714A-0D96-44D4-B246-5AEBD0B0DE62}"/>
    <cellStyle name="Millares 8 2 4 3" xfId="5343" xr:uid="{C26C8D66-C565-4B43-BB28-97E32EDCC8A9}"/>
    <cellStyle name="Millares 8 2 4 3 2" xfId="7016" xr:uid="{0DC00983-D657-48F3-AEF6-07AD7E9C6591}"/>
    <cellStyle name="Millares 8 2 4 3 3" xfId="8688" xr:uid="{3940A5DA-9156-49F4-A242-AD3279D5C55D}"/>
    <cellStyle name="Millares 8 2 4 4" xfId="5901" xr:uid="{E44C5FC9-BFB7-4C57-97ED-83E8583FFB41}"/>
    <cellStyle name="Millares 8 2 4 5" xfId="7573" xr:uid="{41172B1C-A1B5-464B-9D42-88633D4E2868}"/>
    <cellStyle name="Millares 8 2 4 6" xfId="9245" xr:uid="{84B061E6-1122-40BB-8E7B-2F47F838823C}"/>
    <cellStyle name="Millares 8 2 5" xfId="3508" xr:uid="{3DFC7691-15B8-4E3D-9311-7BDA601990BB}"/>
    <cellStyle name="Millares 8 2 5 2" xfId="4787" xr:uid="{DE1B51C9-3C81-4005-97D8-C44CD45AB5FC}"/>
    <cellStyle name="Millares 8 2 5 2 2" xfId="6460" xr:uid="{5237397A-5D5D-4208-AF04-1BCE9F02A404}"/>
    <cellStyle name="Millares 8 2 5 2 3" xfId="8132" xr:uid="{C2F4F380-73E0-471E-AB72-B84C2068A1F1}"/>
    <cellStyle name="Millares 8 2 5 3" xfId="5344" xr:uid="{B93E2D37-F395-42AC-964A-A50DC20BC70D}"/>
    <cellStyle name="Millares 8 2 5 3 2" xfId="7017" xr:uid="{8A3A90E4-4D51-457E-B87E-C04935864081}"/>
    <cellStyle name="Millares 8 2 5 3 3" xfId="8689" xr:uid="{B2D8570C-E85A-4BA4-BD22-49DAB07A717F}"/>
    <cellStyle name="Millares 8 2 5 4" xfId="5902" xr:uid="{3E546F8F-527D-4928-882C-EEB4207E2AC2}"/>
    <cellStyle name="Millares 8 2 5 5" xfId="7574" xr:uid="{F669C468-F2AF-40DF-A6D9-BDC31898D41F}"/>
    <cellStyle name="Millares 8 2 5 6" xfId="9246" xr:uid="{2F6A45AF-DDB6-4486-81C1-5754F199B491}"/>
    <cellStyle name="Millares 8 2 6" xfId="3509" xr:uid="{372680A1-7E00-4D30-A315-AF3072AF0749}"/>
    <cellStyle name="Millares 8 2 6 2" xfId="4788" xr:uid="{913A5865-FBF1-496A-B534-A6A48F76A231}"/>
    <cellStyle name="Millares 8 2 6 2 2" xfId="6461" xr:uid="{15D5CA84-8380-4364-BD65-87F6BA612A40}"/>
    <cellStyle name="Millares 8 2 6 2 3" xfId="8133" xr:uid="{1CA5CC06-CF31-4380-BA05-0628C4589097}"/>
    <cellStyle name="Millares 8 2 6 3" xfId="5345" xr:uid="{581A850B-695C-49C6-9B07-834925C4E1B6}"/>
    <cellStyle name="Millares 8 2 6 3 2" xfId="7018" xr:uid="{6FEAEBAC-6B32-46C6-BEC2-A947CA681C2B}"/>
    <cellStyle name="Millares 8 2 6 3 3" xfId="8690" xr:uid="{4595D365-9C0D-41A2-A666-94DFA2F3E336}"/>
    <cellStyle name="Millares 8 2 6 4" xfId="5903" xr:uid="{AB78DC6D-631F-4D7A-9513-0EEFA4E6C549}"/>
    <cellStyle name="Millares 8 2 6 5" xfId="7575" xr:uid="{E09AEEA9-17AD-4D5A-BE9A-2DC4198EF06E}"/>
    <cellStyle name="Millares 8 2 6 6" xfId="9247" xr:uid="{067FADC8-0735-4730-9967-0E5F3809A349}"/>
    <cellStyle name="Millares 8 2 7" xfId="3510" xr:uid="{3CE05603-2685-42CC-BA63-AD4A94F4FD7B}"/>
    <cellStyle name="Millares 8 2 7 2" xfId="4789" xr:uid="{0A583F1A-5BF8-48F7-A872-A4B6CDCD550E}"/>
    <cellStyle name="Millares 8 2 7 2 2" xfId="6462" xr:uid="{C0513664-A16B-43A8-9030-56BE38002110}"/>
    <cellStyle name="Millares 8 2 7 2 3" xfId="8134" xr:uid="{E74DEE95-9DCA-4A08-ACDC-9F0289730A45}"/>
    <cellStyle name="Millares 8 2 7 3" xfId="5346" xr:uid="{F805257B-CC15-4534-B9AB-A4E4D037D3E9}"/>
    <cellStyle name="Millares 8 2 7 3 2" xfId="7019" xr:uid="{DA7677D6-8939-4DD9-8402-25FB0D3AD080}"/>
    <cellStyle name="Millares 8 2 7 3 3" xfId="8691" xr:uid="{39858500-D2BD-4BDE-A088-4C8C63C3432B}"/>
    <cellStyle name="Millares 8 2 7 4" xfId="5904" xr:uid="{4E3A063C-DBAB-43E6-9074-A677D1651001}"/>
    <cellStyle name="Millares 8 2 7 5" xfId="7576" xr:uid="{054580D0-E161-4330-ABE2-D4FB6BFA78D3}"/>
    <cellStyle name="Millares 8 2 7 6" xfId="9248" xr:uid="{5E533898-2B10-408F-A236-20260239F8BC}"/>
    <cellStyle name="Millares 8 2 8" xfId="3511" xr:uid="{2AC6D7D5-F60B-4DA7-8AEE-D4016C90FE69}"/>
    <cellStyle name="Millares 8 2 8 2" xfId="4790" xr:uid="{482999EB-18EE-40D6-AE75-46329972516D}"/>
    <cellStyle name="Millares 8 2 8 2 2" xfId="6463" xr:uid="{5646C119-6AD8-475F-A401-6E7369E89A00}"/>
    <cellStyle name="Millares 8 2 8 2 3" xfId="8135" xr:uid="{C821AE54-5CD4-4762-81D2-1B63A23D5F93}"/>
    <cellStyle name="Millares 8 2 8 3" xfId="5347" xr:uid="{C42A28A2-EA16-4F52-B48E-74A456E246B5}"/>
    <cellStyle name="Millares 8 2 8 3 2" xfId="7020" xr:uid="{85035AB0-B207-4389-BA05-10E2B8F4629E}"/>
    <cellStyle name="Millares 8 2 8 3 3" xfId="8692" xr:uid="{047493EE-557F-4FAA-95DC-9F6EF330F1F1}"/>
    <cellStyle name="Millares 8 2 8 4" xfId="5905" xr:uid="{BD4C5682-EA63-41DB-A6A8-625A8737B718}"/>
    <cellStyle name="Millares 8 2 8 5" xfId="7577" xr:uid="{77D27985-3B52-43FC-A42F-9B2C71B24FB4}"/>
    <cellStyle name="Millares 8 2 8 6" xfId="9249" xr:uid="{C2983B8B-52EA-4A6D-872D-B1B9F8F3CE33}"/>
    <cellStyle name="Millares 8 2 9" xfId="3512" xr:uid="{F43D35C2-10FF-49ED-9601-7BD1B9522888}"/>
    <cellStyle name="Millares 8 2 9 2" xfId="4791" xr:uid="{7E9D00BC-935F-444D-AF8E-9DCA0F6A3E17}"/>
    <cellStyle name="Millares 8 2 9 2 2" xfId="6464" xr:uid="{55266A9A-3F9F-4088-AA7C-27097473F30C}"/>
    <cellStyle name="Millares 8 2 9 2 3" xfId="8136" xr:uid="{6A93DB9B-3D19-4874-ABDF-0F3E5CE1BF83}"/>
    <cellStyle name="Millares 8 2 9 3" xfId="5348" xr:uid="{4FB3DF9D-606A-45D7-BC3F-722D094F3014}"/>
    <cellStyle name="Millares 8 2 9 3 2" xfId="7021" xr:uid="{61FF455F-242D-452D-8E2B-5F34ABD4125C}"/>
    <cellStyle name="Millares 8 2 9 3 3" xfId="8693" xr:uid="{BB81DEBF-192A-47DC-B1F6-9085FCD99B18}"/>
    <cellStyle name="Millares 8 2 9 4" xfId="5906" xr:uid="{8CC26A4D-6EF4-4113-892D-7085566F1840}"/>
    <cellStyle name="Millares 8 2 9 5" xfId="7578" xr:uid="{FF9FD07B-9958-4062-8E2E-DCBEAF30F897}"/>
    <cellStyle name="Millares 8 2 9 6" xfId="9250" xr:uid="{A008C98E-ABB6-4DD6-B75D-D600C9283B0F}"/>
    <cellStyle name="Millares 8 3" xfId="3513" xr:uid="{019B3B6E-A10C-4F9D-8CF2-C38D95F11ED1}"/>
    <cellStyle name="Millares 8 3 10" xfId="3514" xr:uid="{ADBFE67B-0A64-4B33-BADA-0DD6E7332355}"/>
    <cellStyle name="Millares 8 3 10 2" xfId="4793" xr:uid="{68EC4532-D593-48F6-A9E6-15DF8B1FF559}"/>
    <cellStyle name="Millares 8 3 10 2 2" xfId="6466" xr:uid="{2980DF3B-8275-4612-98F9-9A7B254138A7}"/>
    <cellStyle name="Millares 8 3 10 2 3" xfId="8138" xr:uid="{4C029BCD-E49D-4A0E-B0FD-324EAAF780F3}"/>
    <cellStyle name="Millares 8 3 10 3" xfId="5350" xr:uid="{B2077211-71D1-4719-91EA-1E0F0AF035F5}"/>
    <cellStyle name="Millares 8 3 10 3 2" xfId="7023" xr:uid="{60A61633-DE5F-4F16-BD21-75A997854938}"/>
    <cellStyle name="Millares 8 3 10 3 3" xfId="8695" xr:uid="{DBA531D8-56A6-472E-B81B-39BD2675FB09}"/>
    <cellStyle name="Millares 8 3 10 4" xfId="5908" xr:uid="{9311536F-EE5E-4C22-B273-EA087A1AB0F7}"/>
    <cellStyle name="Millares 8 3 10 5" xfId="7580" xr:uid="{071A20E5-9E3E-4A80-9320-DF0D697BDAC2}"/>
    <cellStyle name="Millares 8 3 10 6" xfId="9252" xr:uid="{B89E3203-C2BF-4D1A-A347-056D9ABE980F}"/>
    <cellStyle name="Millares 8 3 11" xfId="4792" xr:uid="{9FE91680-4DC8-4E9A-A21B-427F73FB31AB}"/>
    <cellStyle name="Millares 8 3 11 2" xfId="6465" xr:uid="{BB31D5E2-2509-4C11-AED5-63515DF8EB33}"/>
    <cellStyle name="Millares 8 3 11 3" xfId="8137" xr:uid="{7F016E13-518C-46E3-A7B6-462F178044A3}"/>
    <cellStyle name="Millares 8 3 12" xfId="5349" xr:uid="{C99D4532-59A7-486D-962F-480531134298}"/>
    <cellStyle name="Millares 8 3 12 2" xfId="7022" xr:uid="{DC34D750-142E-47C1-BA6D-6F3A265BDB25}"/>
    <cellStyle name="Millares 8 3 12 3" xfId="8694" xr:uid="{45AEB069-9694-407C-AECE-A632432F7362}"/>
    <cellStyle name="Millares 8 3 13" xfId="5907" xr:uid="{CA9ED2D4-ACDF-422E-A9AD-8594654533BC}"/>
    <cellStyle name="Millares 8 3 14" xfId="7579" xr:uid="{3A51DF0E-1F86-4108-B04D-C74D3A89F2E8}"/>
    <cellStyle name="Millares 8 3 15" xfId="9251" xr:uid="{630FFB73-A9A1-4DF0-994D-6073999232CB}"/>
    <cellStyle name="Millares 8 3 2" xfId="3515" xr:uid="{506D39BB-0B5C-45C7-9811-759CEBEA0417}"/>
    <cellStyle name="Millares 8 3 2 2" xfId="4794" xr:uid="{D4B67F87-2F5C-4CDF-BFA0-B6369066D3B0}"/>
    <cellStyle name="Millares 8 3 2 2 2" xfId="6467" xr:uid="{794D4F69-3DBE-4051-BD24-1DA57EB5A974}"/>
    <cellStyle name="Millares 8 3 2 2 3" xfId="8139" xr:uid="{31103F3E-3CD0-47EC-AC4E-4D7C98913E23}"/>
    <cellStyle name="Millares 8 3 2 3" xfId="5351" xr:uid="{8C42AA6E-104C-45E3-8CD0-741C7E098F44}"/>
    <cellStyle name="Millares 8 3 2 3 2" xfId="7024" xr:uid="{455BE4AF-CC5A-41DC-9E64-7B5B2A846090}"/>
    <cellStyle name="Millares 8 3 2 3 3" xfId="8696" xr:uid="{8EFA3F08-6972-4B82-8C79-D002786AE3FD}"/>
    <cellStyle name="Millares 8 3 2 4" xfId="5909" xr:uid="{9BCA384D-5337-42E9-B81F-B60EBCDE48AA}"/>
    <cellStyle name="Millares 8 3 2 5" xfId="7581" xr:uid="{1418A71E-6AEB-42ED-A9E6-B4AA81EB02A8}"/>
    <cellStyle name="Millares 8 3 2 6" xfId="9253" xr:uid="{7AFC407E-1232-4412-A409-B92E92CF5AD8}"/>
    <cellStyle name="Millares 8 3 3" xfId="3516" xr:uid="{6B14A6D4-0A81-4079-BF07-C32747F0D62B}"/>
    <cellStyle name="Millares 8 3 3 2" xfId="4795" xr:uid="{3AB9877D-2611-4B88-940F-45391D4B0747}"/>
    <cellStyle name="Millares 8 3 3 2 2" xfId="6468" xr:uid="{084653BA-6D78-47D3-8DF2-4DF6C3A286C3}"/>
    <cellStyle name="Millares 8 3 3 2 3" xfId="8140" xr:uid="{A85A4D4A-0CBF-466F-81BC-600A5DA905AC}"/>
    <cellStyle name="Millares 8 3 3 3" xfId="5352" xr:uid="{38BA91EE-34E5-4A6B-98C4-89E7EE7A6CCE}"/>
    <cellStyle name="Millares 8 3 3 3 2" xfId="7025" xr:uid="{DDFAC652-8A29-461D-AE36-FAF1AD436C39}"/>
    <cellStyle name="Millares 8 3 3 3 3" xfId="8697" xr:uid="{28A6AC51-0938-4203-9D45-60DDC561DFB5}"/>
    <cellStyle name="Millares 8 3 3 4" xfId="5910" xr:uid="{A82ADEB9-E1B6-4B31-9605-18F16D9B6827}"/>
    <cellStyle name="Millares 8 3 3 5" xfId="7582" xr:uid="{030E6EA5-ADD2-4100-A64E-747AE0C288CF}"/>
    <cellStyle name="Millares 8 3 3 6" xfId="9254" xr:uid="{B15DC54C-0742-42DB-B22B-DF2911F65719}"/>
    <cellStyle name="Millares 8 3 4" xfId="3517" xr:uid="{762E9E25-3528-4AB2-98C1-C850BFA2B630}"/>
    <cellStyle name="Millares 8 3 4 2" xfId="4796" xr:uid="{E14E6540-90AA-4B3A-B1BC-1EB8E6624441}"/>
    <cellStyle name="Millares 8 3 4 2 2" xfId="6469" xr:uid="{1D6AA792-0CB2-4089-AF4C-82723913BBA7}"/>
    <cellStyle name="Millares 8 3 4 2 3" xfId="8141" xr:uid="{953F667E-5D73-49F4-8633-9A523F170D55}"/>
    <cellStyle name="Millares 8 3 4 3" xfId="5353" xr:uid="{388A75CC-D183-422F-B2C8-FE54B626C650}"/>
    <cellStyle name="Millares 8 3 4 3 2" xfId="7026" xr:uid="{56FE814B-BB2B-4741-87FD-A903EAACC119}"/>
    <cellStyle name="Millares 8 3 4 3 3" xfId="8698" xr:uid="{7E615D29-9E1D-4087-9C2A-F055862E9A4C}"/>
    <cellStyle name="Millares 8 3 4 4" xfId="5911" xr:uid="{D3388B50-A8D6-4B03-ADB6-41C44220BFDE}"/>
    <cellStyle name="Millares 8 3 4 5" xfId="7583" xr:uid="{5791B5C8-2C97-42DB-807F-5BE815E60FAD}"/>
    <cellStyle name="Millares 8 3 4 6" xfId="9255" xr:uid="{35F60BFE-34A8-4492-8136-FEA6E7752DC0}"/>
    <cellStyle name="Millares 8 3 5" xfId="3518" xr:uid="{4902CD43-FCAF-45E4-975F-F071D72C6817}"/>
    <cellStyle name="Millares 8 3 5 2" xfId="4797" xr:uid="{E983C874-E96D-4215-9520-F8D39BC2DA13}"/>
    <cellStyle name="Millares 8 3 5 2 2" xfId="6470" xr:uid="{EA3CE133-D1CC-4249-AFD7-E7A965D16646}"/>
    <cellStyle name="Millares 8 3 5 2 3" xfId="8142" xr:uid="{D0C64294-50B1-4FDA-90FA-F5A70E59EAB8}"/>
    <cellStyle name="Millares 8 3 5 3" xfId="5354" xr:uid="{31B4F9C3-7E48-4530-AC00-FFAAADD5F520}"/>
    <cellStyle name="Millares 8 3 5 3 2" xfId="7027" xr:uid="{F30A6EEE-D9C9-41A0-BE13-BDD926D5585B}"/>
    <cellStyle name="Millares 8 3 5 3 3" xfId="8699" xr:uid="{F77CB459-71A1-4D45-9F23-EE397EAC18B8}"/>
    <cellStyle name="Millares 8 3 5 4" xfId="5912" xr:uid="{97A859C3-2E73-4B99-8346-02DEB88A9A21}"/>
    <cellStyle name="Millares 8 3 5 5" xfId="7584" xr:uid="{E2669974-BBBD-4BEB-A441-2C77255322D5}"/>
    <cellStyle name="Millares 8 3 5 6" xfId="9256" xr:uid="{7E53032E-6818-4CB3-B6E2-8C16C5C0AD4D}"/>
    <cellStyle name="Millares 8 3 6" xfId="3519" xr:uid="{143C620A-37DF-4007-8D90-48BAECA0B2B1}"/>
    <cellStyle name="Millares 8 3 6 2" xfId="4798" xr:uid="{BDD880E2-8376-40BA-B796-605557C0BB99}"/>
    <cellStyle name="Millares 8 3 6 2 2" xfId="6471" xr:uid="{284866FA-3936-4E2C-B4E1-CCF07CA3BFB6}"/>
    <cellStyle name="Millares 8 3 6 2 3" xfId="8143" xr:uid="{A9895242-E072-4176-A244-7FA5CEEED726}"/>
    <cellStyle name="Millares 8 3 6 3" xfId="5355" xr:uid="{7C0909DA-D0AF-4425-9B11-42F336D41D8B}"/>
    <cellStyle name="Millares 8 3 6 3 2" xfId="7028" xr:uid="{4493FC4E-A575-4E65-8174-EC245664D533}"/>
    <cellStyle name="Millares 8 3 6 3 3" xfId="8700" xr:uid="{1CDA852F-6E48-47D8-8A43-7AFE886B7C8E}"/>
    <cellStyle name="Millares 8 3 6 4" xfId="5913" xr:uid="{BCE753CE-467F-4D27-98EF-DC1A3BFCA2DC}"/>
    <cellStyle name="Millares 8 3 6 5" xfId="7585" xr:uid="{80B0D19D-FC7E-474F-9167-EA8D51FB3766}"/>
    <cellStyle name="Millares 8 3 6 6" xfId="9257" xr:uid="{66CF2383-4101-4C81-A1B7-45268D9DCF70}"/>
    <cellStyle name="Millares 8 3 7" xfId="3520" xr:uid="{E6335C42-967A-432B-A575-A3F1E24F370A}"/>
    <cellStyle name="Millares 8 3 7 2" xfId="4799" xr:uid="{D6DB4B45-2A51-4DD3-9C18-0A0E42F5601F}"/>
    <cellStyle name="Millares 8 3 7 2 2" xfId="6472" xr:uid="{2A4764B4-42E2-486D-B596-8E423B7C2AC9}"/>
    <cellStyle name="Millares 8 3 7 2 3" xfId="8144" xr:uid="{94DD6ADF-3048-45E1-AC12-4CFB454426ED}"/>
    <cellStyle name="Millares 8 3 7 3" xfId="5356" xr:uid="{D20AEA77-C76A-47CD-B930-E20BBD178C20}"/>
    <cellStyle name="Millares 8 3 7 3 2" xfId="7029" xr:uid="{9EFE5ACC-8B02-43BC-ABB8-0790BCEA33DB}"/>
    <cellStyle name="Millares 8 3 7 3 3" xfId="8701" xr:uid="{10145FF3-49B6-4971-AD3E-473C7DB65A30}"/>
    <cellStyle name="Millares 8 3 7 4" xfId="5914" xr:uid="{1E61FFB5-886C-4F17-A115-07CD1C5E2D05}"/>
    <cellStyle name="Millares 8 3 7 5" xfId="7586" xr:uid="{C31AD69C-A4CD-4621-8011-C3C0CF66BF2C}"/>
    <cellStyle name="Millares 8 3 7 6" xfId="9258" xr:uid="{EB72DCE5-D367-4ED7-BE15-603E8CBD1633}"/>
    <cellStyle name="Millares 8 3 8" xfId="3521" xr:uid="{ABC3AA9A-7141-44BF-9F1B-F16754CE7671}"/>
    <cellStyle name="Millares 8 3 8 2" xfId="4800" xr:uid="{9CFBF627-6E7B-46DB-8973-A99A79491D59}"/>
    <cellStyle name="Millares 8 3 8 2 2" xfId="6473" xr:uid="{64996465-F310-4D1D-8235-E7CC56A0409F}"/>
    <cellStyle name="Millares 8 3 8 2 3" xfId="8145" xr:uid="{3B5C2A83-922F-4999-9EFA-4673DD39B8A8}"/>
    <cellStyle name="Millares 8 3 8 3" xfId="5357" xr:uid="{9BD27C20-435C-4898-A2B3-53E9057FFF04}"/>
    <cellStyle name="Millares 8 3 8 3 2" xfId="7030" xr:uid="{1E0C9E39-00A5-4569-9438-9B76C5B530BC}"/>
    <cellStyle name="Millares 8 3 8 3 3" xfId="8702" xr:uid="{837C72B4-07B9-40D2-804D-04AB81C6D423}"/>
    <cellStyle name="Millares 8 3 8 4" xfId="5915" xr:uid="{8F199BCC-98AA-4D5B-88C1-E22B5481B88A}"/>
    <cellStyle name="Millares 8 3 8 5" xfId="7587" xr:uid="{056373F1-B9BC-47CD-9762-62B3C028D31D}"/>
    <cellStyle name="Millares 8 3 8 6" xfId="9259" xr:uid="{38FD8AFB-4937-4846-B579-270A6CD1DBEF}"/>
    <cellStyle name="Millares 8 3 9" xfId="3522" xr:uid="{5263581A-0018-4E37-B51E-39A291AB0121}"/>
    <cellStyle name="Millares 8 3 9 2" xfId="4801" xr:uid="{4FE29621-84B2-4C8A-A2F8-58BD2284DFF0}"/>
    <cellStyle name="Millares 8 3 9 2 2" xfId="6474" xr:uid="{36C1BAA0-D68D-4677-A298-DD8AF6C3DF70}"/>
    <cellStyle name="Millares 8 3 9 2 3" xfId="8146" xr:uid="{3B16411F-D881-47F4-9534-87C72D46D564}"/>
    <cellStyle name="Millares 8 3 9 3" xfId="5358" xr:uid="{41B23C86-4829-479F-9F3B-99DDF6D96881}"/>
    <cellStyle name="Millares 8 3 9 3 2" xfId="7031" xr:uid="{124C553D-CECA-425A-8E60-9F911C2819A0}"/>
    <cellStyle name="Millares 8 3 9 3 3" xfId="8703" xr:uid="{48CCA7F0-4044-4E23-B099-B0E94A355A98}"/>
    <cellStyle name="Millares 8 3 9 4" xfId="5916" xr:uid="{ABBC726B-2C96-4FCB-BC33-D8F4C8EC8604}"/>
    <cellStyle name="Millares 8 3 9 5" xfId="7588" xr:uid="{E9AC96C6-AB3E-4E69-B3E8-191978F8F375}"/>
    <cellStyle name="Millares 8 3 9 6" xfId="9260" xr:uid="{3F4B4714-4DD8-45EC-BD59-5055889937B3}"/>
    <cellStyle name="Millares 8 4" xfId="3523" xr:uid="{C17FC15D-AA61-4191-8EA7-799E746B4135}"/>
    <cellStyle name="Millares 8 4 2" xfId="4802" xr:uid="{EE7455AB-2726-4014-8949-736DA8614205}"/>
    <cellStyle name="Millares 8 4 2 2" xfId="6475" xr:uid="{CD5645FA-5EE8-465D-92E6-85E9DF664B68}"/>
    <cellStyle name="Millares 8 4 2 3" xfId="8147" xr:uid="{807E1B9B-37B4-402B-8D2E-A5B3BD3C1F21}"/>
    <cellStyle name="Millares 8 4 3" xfId="5359" xr:uid="{AE45133C-2EC9-4FA1-8F94-E558FA19FFC3}"/>
    <cellStyle name="Millares 8 4 3 2" xfId="7032" xr:uid="{BDCCF492-0A6E-406F-97D0-094FBA9A95F0}"/>
    <cellStyle name="Millares 8 4 3 3" xfId="8704" xr:uid="{1BE869C5-8093-4971-B2AD-9A232288C849}"/>
    <cellStyle name="Millares 8 4 4" xfId="5917" xr:uid="{2365F42E-C884-4EA5-B729-A13EFDE23999}"/>
    <cellStyle name="Millares 8 4 5" xfId="7589" xr:uid="{D670332F-25B3-4EDF-9A62-9F0154EE3116}"/>
    <cellStyle name="Millares 8 4 6" xfId="9261" xr:uid="{624AC087-41DC-4949-9A1A-75A5AA7F56BD}"/>
    <cellStyle name="Millares 8 5" xfId="3524" xr:uid="{A258F4EC-004D-4B74-A2B4-385CD234C092}"/>
    <cellStyle name="Millares 8 5 2" xfId="4803" xr:uid="{72D33CDA-CF98-4781-9D4C-39067D6BD85B}"/>
    <cellStyle name="Millares 8 5 2 2" xfId="6476" xr:uid="{E599DC6D-6665-4F65-A828-A8206BE44BD7}"/>
    <cellStyle name="Millares 8 5 2 3" xfId="8148" xr:uid="{B4D386B1-58B7-4108-9260-9544BA188BD3}"/>
    <cellStyle name="Millares 8 5 3" xfId="5360" xr:uid="{4CCE9627-136E-4464-A1CE-AE79F44183A1}"/>
    <cellStyle name="Millares 8 5 3 2" xfId="7033" xr:uid="{26E76F0C-F6C1-492E-B6CF-8FF349D90FF8}"/>
    <cellStyle name="Millares 8 5 3 3" xfId="8705" xr:uid="{3C66E4E6-4CED-413A-A3C6-710CB40BA36A}"/>
    <cellStyle name="Millares 8 5 4" xfId="5918" xr:uid="{A049CA23-1314-4415-8085-7B0F62A00B9C}"/>
    <cellStyle name="Millares 8 5 5" xfId="7590" xr:uid="{59835343-B5B3-4FA2-A10E-02B4921C2557}"/>
    <cellStyle name="Millares 8 5 6" xfId="9262" xr:uid="{1F911931-1482-4353-84E4-511B2BDD9B20}"/>
    <cellStyle name="Millares 8 6" xfId="3525" xr:uid="{E0541954-59BA-4EE7-BEA9-9AAD6B7684D1}"/>
    <cellStyle name="Millares 8 6 2" xfId="4804" xr:uid="{10ACE485-0564-4EA5-856C-0D6F1250B236}"/>
    <cellStyle name="Millares 8 6 2 2" xfId="6477" xr:uid="{CBAFD87E-F3F1-4B2F-B508-6C6C80288C02}"/>
    <cellStyle name="Millares 8 6 2 3" xfId="8149" xr:uid="{6C0E4166-64FB-4B23-AEC2-B9E623AB4AA1}"/>
    <cellStyle name="Millares 8 6 3" xfId="5361" xr:uid="{8CE74E6D-11BF-4C93-9DEE-84EAC3C737BC}"/>
    <cellStyle name="Millares 8 6 3 2" xfId="7034" xr:uid="{3842E868-FC5B-46A9-9FFE-5D7BA3E385A6}"/>
    <cellStyle name="Millares 8 6 3 3" xfId="8706" xr:uid="{28892A86-FE1A-4926-864B-D8C8BA8ADC15}"/>
    <cellStyle name="Millares 8 6 4" xfId="5919" xr:uid="{8965C8ED-0486-42D8-827D-7C82969ED970}"/>
    <cellStyle name="Millares 8 6 5" xfId="7591" xr:uid="{D7AF757A-EB50-47E8-917E-A06CC56FB747}"/>
    <cellStyle name="Millares 8 6 6" xfId="9263" xr:uid="{27EB47FD-4DE9-4D0A-A105-226F3631FDEA}"/>
    <cellStyle name="Millares 8 7" xfId="3526" xr:uid="{805A5CE2-7B92-4C84-892C-33597D6E9BAF}"/>
    <cellStyle name="Millares 8 7 2" xfId="4805" xr:uid="{E8F12272-67CB-4631-B305-6AD620C81D6F}"/>
    <cellStyle name="Millares 8 7 2 2" xfId="6478" xr:uid="{CB6041E6-3B77-43EB-84DC-3C5E317BF1D3}"/>
    <cellStyle name="Millares 8 7 2 3" xfId="8150" xr:uid="{EC997BBB-80CE-4EA2-A7EB-CB869AACDFB7}"/>
    <cellStyle name="Millares 8 7 3" xfId="5362" xr:uid="{B3D15003-655F-49F8-A8AB-9779AC395E53}"/>
    <cellStyle name="Millares 8 7 3 2" xfId="7035" xr:uid="{F2926014-B65E-4653-A819-7923130D5EBE}"/>
    <cellStyle name="Millares 8 7 3 3" xfId="8707" xr:uid="{500EBBF7-F270-4683-AACD-A98B9913C977}"/>
    <cellStyle name="Millares 8 7 4" xfId="5920" xr:uid="{1EB3B80C-14DF-46EC-8640-F775D0DA8725}"/>
    <cellStyle name="Millares 8 7 5" xfId="7592" xr:uid="{503D4DA5-3C6A-4833-AD93-20D2ADE56117}"/>
    <cellStyle name="Millares 8 7 6" xfId="9264" xr:uid="{6232298C-A6C0-4ECE-99CA-92793B55F49C}"/>
    <cellStyle name="Millares 8 8" xfId="3527" xr:uid="{4001694A-5027-4A3C-956A-5303B33B667A}"/>
    <cellStyle name="Millares 8 8 2" xfId="4806" xr:uid="{CB770E79-8842-4255-966F-7A50A6A1A6DE}"/>
    <cellStyle name="Millares 8 8 2 2" xfId="6479" xr:uid="{7FB646A6-B07B-4101-B386-299BD28C1C93}"/>
    <cellStyle name="Millares 8 8 2 3" xfId="8151" xr:uid="{C1425AA6-E0A3-4C68-B26E-E2C145EC24FE}"/>
    <cellStyle name="Millares 8 8 3" xfId="5363" xr:uid="{EE3D7C22-AB20-4F9E-AA95-CFBCBBE4ABFB}"/>
    <cellStyle name="Millares 8 8 3 2" xfId="7036" xr:uid="{C50792C1-4C46-41E4-B585-7556A62335A2}"/>
    <cellStyle name="Millares 8 8 3 3" xfId="8708" xr:uid="{B20E7707-4CA1-4B9B-AD56-241DB681E763}"/>
    <cellStyle name="Millares 8 8 4" xfId="5921" xr:uid="{CC15FFF1-F38C-4D97-8DD0-26151339D9AF}"/>
    <cellStyle name="Millares 8 8 5" xfId="7593" xr:uid="{C8A5CA14-0C8F-4F41-A430-1134F231A440}"/>
    <cellStyle name="Millares 8 8 6" xfId="9265" xr:uid="{897FFD05-6327-4CC7-A3AC-1CAC60257FF0}"/>
    <cellStyle name="Millares 8 9" xfId="3528" xr:uid="{445E0771-6770-4665-8F98-7A2277CC1C4D}"/>
    <cellStyle name="Millares 8 9 2" xfId="4807" xr:uid="{6716EF3D-F203-4F20-84DA-BDA21DCA5BE0}"/>
    <cellStyle name="Millares 8 9 2 2" xfId="6480" xr:uid="{74714825-7EA3-4F06-8707-571E30D5B0FD}"/>
    <cellStyle name="Millares 8 9 2 3" xfId="8152" xr:uid="{E570B5A8-646A-44C6-8AA2-CCA03FB4FCBF}"/>
    <cellStyle name="Millares 8 9 3" xfId="5364" xr:uid="{FD0A140D-DFE6-4E06-8E08-D227BC0B53E5}"/>
    <cellStyle name="Millares 8 9 3 2" xfId="7037" xr:uid="{7DC6C8EC-A02D-4A3F-9307-BF54B93AE4AF}"/>
    <cellStyle name="Millares 8 9 3 3" xfId="8709" xr:uid="{9C3F93A6-6019-4049-871C-0F5638CE1AB3}"/>
    <cellStyle name="Millares 8 9 4" xfId="5922" xr:uid="{98A1C191-BA14-407E-B17F-322320341D31}"/>
    <cellStyle name="Millares 8 9 5" xfId="7594" xr:uid="{31177150-434C-4CA8-B1E7-AC0FF46CE52A}"/>
    <cellStyle name="Millares 8 9 6" xfId="9266" xr:uid="{9AAA5FEE-829B-4625-91D3-AE437E8EC88B}"/>
    <cellStyle name="Millares 9" xfId="3529" xr:uid="{A77C817A-4746-4FA5-8F7F-C8A2DE71492F}"/>
    <cellStyle name="Millares 9 10" xfId="3530" xr:uid="{0D5CB8E7-C199-4E63-BD46-8722863D9BE7}"/>
    <cellStyle name="Millares 9 10 2" xfId="4809" xr:uid="{D19BC682-EA3D-4CAE-98DC-EA228EFFE647}"/>
    <cellStyle name="Millares 9 10 2 2" xfId="6482" xr:uid="{EFB8DFED-9C81-4C96-9F67-F3BCF2F1FFFE}"/>
    <cellStyle name="Millares 9 10 2 3" xfId="8154" xr:uid="{D3CE6329-192E-4766-B85E-542B6A0CF12D}"/>
    <cellStyle name="Millares 9 10 3" xfId="5366" xr:uid="{3D2C2C55-E3B8-4BE0-A598-93DAA97D7BCB}"/>
    <cellStyle name="Millares 9 10 3 2" xfId="7039" xr:uid="{55DBF1BE-6B4C-4842-AEE7-DE1F4E4DFB07}"/>
    <cellStyle name="Millares 9 10 3 3" xfId="8711" xr:uid="{3E6D4CE5-E15A-4415-8B9E-0E035B11EF82}"/>
    <cellStyle name="Millares 9 10 4" xfId="5924" xr:uid="{77DCA18A-4C3F-4C93-9127-A4791EE04C1A}"/>
    <cellStyle name="Millares 9 10 5" xfId="7596" xr:uid="{1A4BCE89-BBE4-4D86-BA1C-19B094D1C839}"/>
    <cellStyle name="Millares 9 10 6" xfId="9268" xr:uid="{46A9AC9E-68A4-4E5F-BDC0-F9ED10D6A55A}"/>
    <cellStyle name="Millares 9 11" xfId="3531" xr:uid="{1846C3B7-289E-43EC-A7A6-1C4EA3A7E1AA}"/>
    <cellStyle name="Millares 9 11 2" xfId="4810" xr:uid="{553DD0F7-7B05-492A-A6E3-6F5DAEBEF7EE}"/>
    <cellStyle name="Millares 9 11 2 2" xfId="6483" xr:uid="{CB28D079-8DBB-4F6F-B620-9FFF0E79C5C8}"/>
    <cellStyle name="Millares 9 11 2 3" xfId="8155" xr:uid="{9359D956-655A-4450-9AFF-38B7099C59B7}"/>
    <cellStyle name="Millares 9 11 3" xfId="5367" xr:uid="{7FE9362F-F72B-4549-96C2-D13242DF1166}"/>
    <cellStyle name="Millares 9 11 3 2" xfId="7040" xr:uid="{383B8952-7E31-4E05-AF68-FAFA1F886452}"/>
    <cellStyle name="Millares 9 11 3 3" xfId="8712" xr:uid="{2A233034-EB81-4F62-BFBF-44BF94F765C3}"/>
    <cellStyle name="Millares 9 11 4" xfId="5925" xr:uid="{23EEB7ED-2FE2-49EE-91B1-29072D1F943A}"/>
    <cellStyle name="Millares 9 11 5" xfId="7597" xr:uid="{DA839CAE-1C19-4B9E-9DDB-284A0953FFA2}"/>
    <cellStyle name="Millares 9 11 6" xfId="9269" xr:uid="{8A74B9FB-C8E4-45A6-BC92-20383455749F}"/>
    <cellStyle name="Millares 9 12" xfId="3532" xr:uid="{7D178E1D-394B-4024-909F-9BC0DD9D66F3}"/>
    <cellStyle name="Millares 9 12 2" xfId="4811" xr:uid="{D0428CF8-D7E1-461F-81C7-ABD3F6255B52}"/>
    <cellStyle name="Millares 9 12 2 2" xfId="6484" xr:uid="{0ED4D38C-5185-48B1-B757-4C7FA8643024}"/>
    <cellStyle name="Millares 9 12 2 3" xfId="8156" xr:uid="{2790E665-812E-417E-B379-4BAF093C3427}"/>
    <cellStyle name="Millares 9 12 3" xfId="5368" xr:uid="{08BB2CE7-FE64-4C5E-BA46-3199C9EB8C89}"/>
    <cellStyle name="Millares 9 12 3 2" xfId="7041" xr:uid="{BB96DF5B-4794-4A49-825B-CAF0E32FDEAB}"/>
    <cellStyle name="Millares 9 12 3 3" xfId="8713" xr:uid="{94C4FCD0-7943-453E-A537-2768C9059EFD}"/>
    <cellStyle name="Millares 9 12 4" xfId="5926" xr:uid="{55F4BB5E-5D68-4D7C-9676-83B4CE9B7108}"/>
    <cellStyle name="Millares 9 12 5" xfId="7598" xr:uid="{898576A0-A66C-4AC9-810D-7416C41D46B7}"/>
    <cellStyle name="Millares 9 12 6" xfId="9270" xr:uid="{F9D15F65-44FA-4D12-8DFF-63ED1952686F}"/>
    <cellStyle name="Millares 9 13" xfId="4808" xr:uid="{E27BF00D-38FE-484D-81E3-9A36E4AE19CF}"/>
    <cellStyle name="Millares 9 13 2" xfId="6481" xr:uid="{EB0B82F4-2164-412C-B9D7-8D2D7BFFA912}"/>
    <cellStyle name="Millares 9 13 3" xfId="8153" xr:uid="{4287F956-5CE2-4A5C-B834-AE6713B29683}"/>
    <cellStyle name="Millares 9 14" xfId="5365" xr:uid="{BF5E96DA-00B3-4321-90CE-6A175A13DFBD}"/>
    <cellStyle name="Millares 9 14 2" xfId="7038" xr:uid="{4C3FF764-4B4F-409E-BF97-997C477EBFD0}"/>
    <cellStyle name="Millares 9 14 3" xfId="8710" xr:uid="{467B8F98-748A-4C2F-910B-DF2F4D2303EE}"/>
    <cellStyle name="Millares 9 15" xfId="5923" xr:uid="{A63A1CF3-D4FA-43DE-BF16-C88C852A2190}"/>
    <cellStyle name="Millares 9 16" xfId="7595" xr:uid="{42574C6F-FF50-40CB-BF4A-4530915F7C9C}"/>
    <cellStyle name="Millares 9 17" xfId="9267" xr:uid="{62F48136-1E71-4DF0-AD83-2881BAE53B02}"/>
    <cellStyle name="Millares 9 2" xfId="3533" xr:uid="{59717DDB-D750-453E-AF91-DE47ABD4A7A8}"/>
    <cellStyle name="Millares 9 2 10" xfId="3534" xr:uid="{52EB7EB7-D00F-4581-BD0F-AB9F7B1EAEBF}"/>
    <cellStyle name="Millares 9 2 10 2" xfId="4813" xr:uid="{4031BDFD-734E-4293-AE98-943E53F75E9C}"/>
    <cellStyle name="Millares 9 2 10 2 2" xfId="6486" xr:uid="{33E73780-2C56-4A24-91E1-7CA7FFB23A86}"/>
    <cellStyle name="Millares 9 2 10 2 3" xfId="8158" xr:uid="{174AB3E8-8A1F-41FD-AE00-9EA7D8D3CBB9}"/>
    <cellStyle name="Millares 9 2 10 3" xfId="5370" xr:uid="{0DA61B46-AFFD-4457-8746-86F36AD779B6}"/>
    <cellStyle name="Millares 9 2 10 3 2" xfId="7043" xr:uid="{FA1B8959-0201-4F9E-A021-BF9820018F55}"/>
    <cellStyle name="Millares 9 2 10 3 3" xfId="8715" xr:uid="{7C2C3A28-D0B6-42D2-BC0F-6CD2E29D09E1}"/>
    <cellStyle name="Millares 9 2 10 4" xfId="5928" xr:uid="{50F5B3D2-E403-4615-950D-E501E59C9FCB}"/>
    <cellStyle name="Millares 9 2 10 5" xfId="7600" xr:uid="{4C5B605C-F79E-4099-985A-B7EC0E1EBF7A}"/>
    <cellStyle name="Millares 9 2 10 6" xfId="9272" xr:uid="{6A6C56A4-1883-4598-9090-C9F32689D48D}"/>
    <cellStyle name="Millares 9 2 11" xfId="4812" xr:uid="{FE306DB5-0B7A-467E-9129-6E06B6CB95C6}"/>
    <cellStyle name="Millares 9 2 11 2" xfId="6485" xr:uid="{96AA8690-F3F0-4BF1-B24A-075B7E4233FE}"/>
    <cellStyle name="Millares 9 2 11 3" xfId="8157" xr:uid="{1C779BD2-76D5-4BD6-8C0F-3B4C0177AE72}"/>
    <cellStyle name="Millares 9 2 12" xfId="5369" xr:uid="{DA3D6D9E-127C-4B64-A3A9-CD81BBA562F8}"/>
    <cellStyle name="Millares 9 2 12 2" xfId="7042" xr:uid="{21F3C000-FDD3-482D-9FC8-486F1512AB8A}"/>
    <cellStyle name="Millares 9 2 12 3" xfId="8714" xr:uid="{47C82B35-9A2E-463E-9504-D83751698A01}"/>
    <cellStyle name="Millares 9 2 13" xfId="5927" xr:uid="{80102AAC-B8CA-4A30-81A2-E0248A2BB255}"/>
    <cellStyle name="Millares 9 2 14" xfId="7599" xr:uid="{FAF25C7E-9A2E-4011-B935-FD3C6067E977}"/>
    <cellStyle name="Millares 9 2 15" xfId="9271" xr:uid="{45B77718-A868-463B-A7DF-172B0A6FEAF4}"/>
    <cellStyle name="Millares 9 2 2" xfId="3535" xr:uid="{ED325B6C-12BE-4BA1-8794-3382815260D5}"/>
    <cellStyle name="Millares 9 2 2 2" xfId="4814" xr:uid="{3F164062-2D26-4B95-8741-A31D090AD0E8}"/>
    <cellStyle name="Millares 9 2 2 2 2" xfId="6487" xr:uid="{B4E63A8D-ABF6-4D1A-9FA8-E1BA85E59E3B}"/>
    <cellStyle name="Millares 9 2 2 2 3" xfId="8159" xr:uid="{3FA54F6E-2C3B-42ED-9A40-ABF248EE3F45}"/>
    <cellStyle name="Millares 9 2 2 3" xfId="5371" xr:uid="{3F6A80B1-EC84-4621-AE8D-36D96B3C6B45}"/>
    <cellStyle name="Millares 9 2 2 3 2" xfId="7044" xr:uid="{6DCD0D1C-9C9A-4A19-87A9-08DBD79F3599}"/>
    <cellStyle name="Millares 9 2 2 3 3" xfId="8716" xr:uid="{F3D737C2-5E2E-47B4-8926-69DDBBE711C1}"/>
    <cellStyle name="Millares 9 2 2 4" xfId="5929" xr:uid="{30B84AA2-E5F7-4246-A31F-E0F867471450}"/>
    <cellStyle name="Millares 9 2 2 5" xfId="7601" xr:uid="{8053EA32-6190-4677-8406-CBD158C9B970}"/>
    <cellStyle name="Millares 9 2 2 6" xfId="9273" xr:uid="{A733F974-8329-4925-A925-16969275AEA9}"/>
    <cellStyle name="Millares 9 2 3" xfId="3536" xr:uid="{2D3BD26B-D462-4E9E-BCEA-0C6D6C6072C9}"/>
    <cellStyle name="Millares 9 2 3 2" xfId="4815" xr:uid="{90F5B4E1-2BFE-407B-8127-90FFB604C358}"/>
    <cellStyle name="Millares 9 2 3 2 2" xfId="6488" xr:uid="{83B33E73-1A33-41BA-A5D5-243AB7A52414}"/>
    <cellStyle name="Millares 9 2 3 2 3" xfId="8160" xr:uid="{977B0718-BDF1-4A44-8A6C-88155851ACDF}"/>
    <cellStyle name="Millares 9 2 3 3" xfId="5372" xr:uid="{2C872B48-4676-4002-8574-2D9E2FF3A650}"/>
    <cellStyle name="Millares 9 2 3 3 2" xfId="7045" xr:uid="{4BF406B0-8E7F-4DD7-9D86-9314C7F95187}"/>
    <cellStyle name="Millares 9 2 3 3 3" xfId="8717" xr:uid="{EBDCE4C9-6997-4119-823D-47EA07512B31}"/>
    <cellStyle name="Millares 9 2 3 4" xfId="5930" xr:uid="{B760F8B1-DD7C-472F-9D8C-43BDC433591B}"/>
    <cellStyle name="Millares 9 2 3 5" xfId="7602" xr:uid="{3089F420-15CB-4143-AA8D-72CBBB14DE71}"/>
    <cellStyle name="Millares 9 2 3 6" xfId="9274" xr:uid="{8095041A-6485-48B5-8044-A746E20CD95E}"/>
    <cellStyle name="Millares 9 2 4" xfId="3537" xr:uid="{5E001DB4-A969-48E7-BAE1-2EC654E79029}"/>
    <cellStyle name="Millares 9 2 4 2" xfId="4816" xr:uid="{4EFF4045-F2EF-4A8A-B971-1B478131A377}"/>
    <cellStyle name="Millares 9 2 4 2 2" xfId="6489" xr:uid="{4E099752-95D7-4439-9E59-873A172C0B16}"/>
    <cellStyle name="Millares 9 2 4 2 3" xfId="8161" xr:uid="{23CF75EC-DDFD-488E-B7DC-B11C85A74DA4}"/>
    <cellStyle name="Millares 9 2 4 3" xfId="5373" xr:uid="{27C42569-5A0F-450A-8D6E-BF5C9CFDC987}"/>
    <cellStyle name="Millares 9 2 4 3 2" xfId="7046" xr:uid="{31D24A57-4A41-4370-B15B-BC18E571F9B3}"/>
    <cellStyle name="Millares 9 2 4 3 3" xfId="8718" xr:uid="{3CC6B681-A917-4916-A07A-57C4D6BB2FA7}"/>
    <cellStyle name="Millares 9 2 4 4" xfId="5931" xr:uid="{D0DC59F4-0C79-49EC-94D9-852B6D0E0BE1}"/>
    <cellStyle name="Millares 9 2 4 5" xfId="7603" xr:uid="{A99B1CA6-DC9B-408F-BCF0-AF334BC28AD7}"/>
    <cellStyle name="Millares 9 2 4 6" xfId="9275" xr:uid="{C1AFDDB8-E06E-447D-96C8-D0ABC5991F3A}"/>
    <cellStyle name="Millares 9 2 5" xfId="3538" xr:uid="{B001D3C4-B228-4407-9AC4-BF436A82A0F2}"/>
    <cellStyle name="Millares 9 2 5 2" xfId="4817" xr:uid="{BDA2AAD9-57EA-4C05-9EDF-6A239C7A6404}"/>
    <cellStyle name="Millares 9 2 5 2 2" xfId="6490" xr:uid="{F045433E-533F-4F9F-9FAF-DB2E9CD3E3B5}"/>
    <cellStyle name="Millares 9 2 5 2 3" xfId="8162" xr:uid="{C07E1D19-FE0E-4864-9CD4-67D4E222E827}"/>
    <cellStyle name="Millares 9 2 5 3" xfId="5374" xr:uid="{B12C1CE7-E760-4107-8D72-20A0D4FBD48D}"/>
    <cellStyle name="Millares 9 2 5 3 2" xfId="7047" xr:uid="{37661DFD-2285-4206-A9D6-17DC7DB6FF86}"/>
    <cellStyle name="Millares 9 2 5 3 3" xfId="8719" xr:uid="{E22A755A-1593-4D43-9710-69CC7E79552D}"/>
    <cellStyle name="Millares 9 2 5 4" xfId="5932" xr:uid="{C8EB0EAF-22FF-4FFD-BB9D-DA555E3B5918}"/>
    <cellStyle name="Millares 9 2 5 5" xfId="7604" xr:uid="{534B3161-0419-41FF-AC18-8511DE431338}"/>
    <cellStyle name="Millares 9 2 5 6" xfId="9276" xr:uid="{86364507-B030-4777-9A6A-E876974546EE}"/>
    <cellStyle name="Millares 9 2 6" xfId="3539" xr:uid="{076E20A3-718C-400F-AA02-4CB04BAF744A}"/>
    <cellStyle name="Millares 9 2 6 2" xfId="4818" xr:uid="{FE22835C-7786-4D1B-B707-DCB7E4C0661C}"/>
    <cellStyle name="Millares 9 2 6 2 2" xfId="6491" xr:uid="{B60AB462-3D2D-46E0-819E-A8AAA896C504}"/>
    <cellStyle name="Millares 9 2 6 2 3" xfId="8163" xr:uid="{DBB1E7F4-2070-4181-8B07-5A2F6062BD3A}"/>
    <cellStyle name="Millares 9 2 6 3" xfId="5375" xr:uid="{B29FC4B4-9736-4221-881B-DEA1E138741E}"/>
    <cellStyle name="Millares 9 2 6 3 2" xfId="7048" xr:uid="{195E1BEE-E9B0-4A6B-A6AC-6DC2BA394D2E}"/>
    <cellStyle name="Millares 9 2 6 3 3" xfId="8720" xr:uid="{97B5B23E-4DCA-41D2-9124-39A88E074038}"/>
    <cellStyle name="Millares 9 2 6 4" xfId="5933" xr:uid="{62C69C2E-3517-4C7A-BA4E-8D6AB354D4F0}"/>
    <cellStyle name="Millares 9 2 6 5" xfId="7605" xr:uid="{1320409F-571F-4C60-8646-C10C3E547F55}"/>
    <cellStyle name="Millares 9 2 6 6" xfId="9277" xr:uid="{B9190277-BF69-4F72-92CA-61DBC2852AA5}"/>
    <cellStyle name="Millares 9 2 7" xfId="3540" xr:uid="{4B25F56C-90D5-47C5-9A32-D1F4ED7C5C8C}"/>
    <cellStyle name="Millares 9 2 7 2" xfId="4819" xr:uid="{30280C3C-1E01-48D6-B445-3D8D46C0B63C}"/>
    <cellStyle name="Millares 9 2 7 2 2" xfId="6492" xr:uid="{C95F1811-4CB4-47C3-AA19-8D457A45A472}"/>
    <cellStyle name="Millares 9 2 7 2 3" xfId="8164" xr:uid="{E69E092F-EEA6-4621-820B-408A7114275C}"/>
    <cellStyle name="Millares 9 2 7 3" xfId="5376" xr:uid="{21DD0CE0-A095-4580-9C4E-032739F15AB8}"/>
    <cellStyle name="Millares 9 2 7 3 2" xfId="7049" xr:uid="{82527965-B1EA-4863-9463-74F37A37DF9D}"/>
    <cellStyle name="Millares 9 2 7 3 3" xfId="8721" xr:uid="{8A86F879-605A-4275-98F2-A3DCE499BF87}"/>
    <cellStyle name="Millares 9 2 7 4" xfId="5934" xr:uid="{1C53DAB7-C333-4642-9AAC-D6DAA6E1EFE9}"/>
    <cellStyle name="Millares 9 2 7 5" xfId="7606" xr:uid="{E29AEB4B-21CB-4BC6-A851-0924C43D3666}"/>
    <cellStyle name="Millares 9 2 7 6" xfId="9278" xr:uid="{F1F5D72B-084D-4B91-9ABF-8F883E2A2566}"/>
    <cellStyle name="Millares 9 2 8" xfId="3541" xr:uid="{5A47CECF-1EE8-49A6-BDA1-2BDEC71EAEB9}"/>
    <cellStyle name="Millares 9 2 8 2" xfId="4820" xr:uid="{D1BDE136-03BC-4B43-B081-11FDB58C9C15}"/>
    <cellStyle name="Millares 9 2 8 2 2" xfId="6493" xr:uid="{F8B92724-53AE-4A33-AA96-8347073536D0}"/>
    <cellStyle name="Millares 9 2 8 2 3" xfId="8165" xr:uid="{6333C9E9-73B5-4077-BBFB-486D8827887F}"/>
    <cellStyle name="Millares 9 2 8 3" xfId="5377" xr:uid="{13E10322-7CCE-47A7-8BFB-632070701942}"/>
    <cellStyle name="Millares 9 2 8 3 2" xfId="7050" xr:uid="{4417AD18-F639-4E4C-AA03-FC1384B61A17}"/>
    <cellStyle name="Millares 9 2 8 3 3" xfId="8722" xr:uid="{D1FF6461-6525-49FF-8624-7293CE800022}"/>
    <cellStyle name="Millares 9 2 8 4" xfId="5935" xr:uid="{B00C6541-AA5C-4D08-AB9A-32BF4F9FCE8A}"/>
    <cellStyle name="Millares 9 2 8 5" xfId="7607" xr:uid="{EC3A92E7-4513-49F7-8ED3-B26A126ADCA4}"/>
    <cellStyle name="Millares 9 2 8 6" xfId="9279" xr:uid="{93A3A5BF-E065-45DC-BA9F-C88DA8E4BA01}"/>
    <cellStyle name="Millares 9 2 9" xfId="3542" xr:uid="{8F122128-1009-41BF-9B14-531EBB588782}"/>
    <cellStyle name="Millares 9 2 9 2" xfId="4821" xr:uid="{4646F3CC-C008-460D-919F-21BCB3DD7147}"/>
    <cellStyle name="Millares 9 2 9 2 2" xfId="6494" xr:uid="{B10D23D8-DE09-4ED4-BA14-4CB004A0E321}"/>
    <cellStyle name="Millares 9 2 9 2 3" xfId="8166" xr:uid="{C731CFBF-E8D8-4867-A1E0-98B39E04304A}"/>
    <cellStyle name="Millares 9 2 9 3" xfId="5378" xr:uid="{D0AD28EE-760B-482F-8C5A-11E060FE1E77}"/>
    <cellStyle name="Millares 9 2 9 3 2" xfId="7051" xr:uid="{1F6385DA-3F77-4F23-B7C6-2590DD02D96D}"/>
    <cellStyle name="Millares 9 2 9 3 3" xfId="8723" xr:uid="{8ADC91A1-AFE2-4E58-844A-82B4EDBAEB26}"/>
    <cellStyle name="Millares 9 2 9 4" xfId="5936" xr:uid="{8C9F2ACE-858A-4EA4-AAA0-6C21C95F41CC}"/>
    <cellStyle name="Millares 9 2 9 5" xfId="7608" xr:uid="{50BBC5A2-87B5-4D85-ACC5-27E6EB3FD55A}"/>
    <cellStyle name="Millares 9 2 9 6" xfId="9280" xr:uid="{7ED953A4-0039-4DEC-8A10-11685C08FA7A}"/>
    <cellStyle name="Millares 9 3" xfId="3543" xr:uid="{CADCBE2A-0F86-4650-B7A5-B8C6F13FFB23}"/>
    <cellStyle name="Millares 9 3 10" xfId="3544" xr:uid="{04C965AE-BE0E-42A1-BEC9-2B51524AA851}"/>
    <cellStyle name="Millares 9 3 10 2" xfId="4823" xr:uid="{232FB90B-B542-4CAE-97EE-0C5E9BCC5DAE}"/>
    <cellStyle name="Millares 9 3 10 2 2" xfId="6496" xr:uid="{F6D322CA-0720-40A4-9770-DD2B75DE47E0}"/>
    <cellStyle name="Millares 9 3 10 2 3" xfId="8168" xr:uid="{155F93BB-1193-4154-8566-95CA8162FC2A}"/>
    <cellStyle name="Millares 9 3 10 3" xfId="5380" xr:uid="{454A9D4F-223F-462F-BDBC-4989DE2321FB}"/>
    <cellStyle name="Millares 9 3 10 3 2" xfId="7053" xr:uid="{D4D881D0-00F8-456B-B7C7-EEF83705E970}"/>
    <cellStyle name="Millares 9 3 10 3 3" xfId="8725" xr:uid="{DE24DC47-636B-4420-AF67-0443ED31C6F6}"/>
    <cellStyle name="Millares 9 3 10 4" xfId="5938" xr:uid="{58BB8870-2D54-433D-B33F-7953D78B9B0E}"/>
    <cellStyle name="Millares 9 3 10 5" xfId="7610" xr:uid="{1D81EF4E-AD83-4170-9617-12F0CF65D3C2}"/>
    <cellStyle name="Millares 9 3 10 6" xfId="9282" xr:uid="{1AD160DE-F499-4C14-9348-6AC9D2CB8B73}"/>
    <cellStyle name="Millares 9 3 11" xfId="4822" xr:uid="{F876D23B-87E4-4720-A40A-DAC608313DF5}"/>
    <cellStyle name="Millares 9 3 11 2" xfId="6495" xr:uid="{9EE111E3-DBAB-4B33-8B24-524BA12E8640}"/>
    <cellStyle name="Millares 9 3 11 3" xfId="8167" xr:uid="{288902EC-6813-4206-9D4B-C946BA3C71B3}"/>
    <cellStyle name="Millares 9 3 12" xfId="5379" xr:uid="{74DF5416-1CAF-45AC-851B-05E61CDE9264}"/>
    <cellStyle name="Millares 9 3 12 2" xfId="7052" xr:uid="{5E30A5CE-ABB6-4BED-BF9F-0A88FDA2BDDC}"/>
    <cellStyle name="Millares 9 3 12 3" xfId="8724" xr:uid="{E0AF5E17-D2C7-4C39-A53F-4315FEBA3A39}"/>
    <cellStyle name="Millares 9 3 13" xfId="5937" xr:uid="{B9BF661A-4CFC-44BC-801C-9898D8D2B35B}"/>
    <cellStyle name="Millares 9 3 14" xfId="7609" xr:uid="{27735E05-AF8D-41A3-8A81-82F12639E4F1}"/>
    <cellStyle name="Millares 9 3 15" xfId="9281" xr:uid="{8331FDFB-1A7D-4084-82CB-CAB402699A51}"/>
    <cellStyle name="Millares 9 3 2" xfId="3545" xr:uid="{099F575F-D934-4D1C-9DF0-9AC0A7327D68}"/>
    <cellStyle name="Millares 9 3 2 2" xfId="4824" xr:uid="{1E0E5F5B-4524-4AF3-A7F6-5365F26712BF}"/>
    <cellStyle name="Millares 9 3 2 2 2" xfId="6497" xr:uid="{428C5FBB-59AC-487A-9895-C685463DCB08}"/>
    <cellStyle name="Millares 9 3 2 2 3" xfId="8169" xr:uid="{F59E4DA3-A096-442F-8673-107CD003D3E2}"/>
    <cellStyle name="Millares 9 3 2 3" xfId="5381" xr:uid="{489D405A-D81B-4751-92F6-204DD86B18FF}"/>
    <cellStyle name="Millares 9 3 2 3 2" xfId="7054" xr:uid="{5B7C6114-F70D-41B2-9053-60069EAFADCD}"/>
    <cellStyle name="Millares 9 3 2 3 3" xfId="8726" xr:uid="{6A381E21-E571-4F64-A096-536D44079E09}"/>
    <cellStyle name="Millares 9 3 2 4" xfId="5939" xr:uid="{D51AF01D-38CC-4617-8768-B992C8FF49E4}"/>
    <cellStyle name="Millares 9 3 2 5" xfId="7611" xr:uid="{7BDDF82E-AD6C-4E6A-8E8F-022B4A3F12BC}"/>
    <cellStyle name="Millares 9 3 2 6" xfId="9283" xr:uid="{4D5BC9A9-66B3-42D7-B4A0-A17536C84E3C}"/>
    <cellStyle name="Millares 9 3 3" xfId="3546" xr:uid="{0684766A-A4ED-4986-9230-3F3AFE06F7E4}"/>
    <cellStyle name="Millares 9 3 3 2" xfId="4825" xr:uid="{D0D4BF7C-54D3-4A2A-A6A8-B3C0ABAA1187}"/>
    <cellStyle name="Millares 9 3 3 2 2" xfId="6498" xr:uid="{29830ADE-0287-4077-9118-BF2B0EE4FCAC}"/>
    <cellStyle name="Millares 9 3 3 2 3" xfId="8170" xr:uid="{3D98D79E-3038-49A6-9D77-87C2652675B6}"/>
    <cellStyle name="Millares 9 3 3 3" xfId="5382" xr:uid="{FDD5008E-3D3C-47E4-AC42-62789487556E}"/>
    <cellStyle name="Millares 9 3 3 3 2" xfId="7055" xr:uid="{619D6193-B1C4-4968-BBB4-F50899E6836D}"/>
    <cellStyle name="Millares 9 3 3 3 3" xfId="8727" xr:uid="{62E287EC-8D7F-4C7D-9C21-6D8257FB19AC}"/>
    <cellStyle name="Millares 9 3 3 4" xfId="5940" xr:uid="{D43A1D21-CD9C-4C65-BD30-4B789A14C93B}"/>
    <cellStyle name="Millares 9 3 3 5" xfId="7612" xr:uid="{AF3C6AC2-D522-40AA-B588-1FFD769A2054}"/>
    <cellStyle name="Millares 9 3 3 6" xfId="9284" xr:uid="{DF835CB9-B0C5-4A19-915B-E27EB1AC82C2}"/>
    <cellStyle name="Millares 9 3 4" xfId="3547" xr:uid="{3DCEAC4E-8A8C-4F79-B9E2-262FCFD20033}"/>
    <cellStyle name="Millares 9 3 4 2" xfId="4826" xr:uid="{2648DB2C-8068-4B56-80E3-62DB0C242B9B}"/>
    <cellStyle name="Millares 9 3 4 2 2" xfId="6499" xr:uid="{780DB46A-06F1-4659-AA56-24F07AAE8735}"/>
    <cellStyle name="Millares 9 3 4 2 3" xfId="8171" xr:uid="{ECFD779C-530E-4354-B65A-89AB09D20A39}"/>
    <cellStyle name="Millares 9 3 4 3" xfId="5383" xr:uid="{27C607EF-C1C4-448B-801B-1E27B2FAF7D5}"/>
    <cellStyle name="Millares 9 3 4 3 2" xfId="7056" xr:uid="{C04A069F-7B90-4545-A2BC-63BE68920B83}"/>
    <cellStyle name="Millares 9 3 4 3 3" xfId="8728" xr:uid="{F3323683-A217-4F4D-9F9B-4AEB3C348BB7}"/>
    <cellStyle name="Millares 9 3 4 4" xfId="5941" xr:uid="{13A6E535-BC4B-4769-8321-F97DF5F17DAA}"/>
    <cellStyle name="Millares 9 3 4 5" xfId="7613" xr:uid="{0DD6DDC2-201F-48DD-9BD5-9DD801A2B03F}"/>
    <cellStyle name="Millares 9 3 4 6" xfId="9285" xr:uid="{96068D4B-E2A4-4404-A18B-0C9ECD0044C7}"/>
    <cellStyle name="Millares 9 3 5" xfId="3548" xr:uid="{64FBF6E9-44B6-4066-A3BC-95F2F35C0A1A}"/>
    <cellStyle name="Millares 9 3 5 2" xfId="4827" xr:uid="{E56623AD-73CF-4F89-A8CC-F8AEC09DCF9D}"/>
    <cellStyle name="Millares 9 3 5 2 2" xfId="6500" xr:uid="{A65D2F8F-A76D-4A6A-AC27-7E6AC084EA9C}"/>
    <cellStyle name="Millares 9 3 5 2 3" xfId="8172" xr:uid="{AC65F6CF-29E1-4671-BFB0-ABF47C3774BA}"/>
    <cellStyle name="Millares 9 3 5 3" xfId="5384" xr:uid="{CEE842E1-7CCA-42A7-BC1C-9A2CD658243A}"/>
    <cellStyle name="Millares 9 3 5 3 2" xfId="7057" xr:uid="{04CB0386-0916-4508-B492-0A9DA69827DF}"/>
    <cellStyle name="Millares 9 3 5 3 3" xfId="8729" xr:uid="{85B2C30B-D35B-4F60-9BAE-2DECAEA413CE}"/>
    <cellStyle name="Millares 9 3 5 4" xfId="5942" xr:uid="{A0797FC2-3359-4902-B2D1-A792D98AFFF6}"/>
    <cellStyle name="Millares 9 3 5 5" xfId="7614" xr:uid="{97C90CC0-D158-4413-9B56-EA8C2F0C5457}"/>
    <cellStyle name="Millares 9 3 5 6" xfId="9286" xr:uid="{8BB6D6B9-96E2-436D-9518-442723F37A6D}"/>
    <cellStyle name="Millares 9 3 6" xfId="3549" xr:uid="{B3A71D7E-92F3-44F1-9B22-18737D9D917C}"/>
    <cellStyle name="Millares 9 3 6 2" xfId="4828" xr:uid="{BBA3B424-D959-42CE-A260-7984C3D6F573}"/>
    <cellStyle name="Millares 9 3 6 2 2" xfId="6501" xr:uid="{D39BC2A1-EEC9-4A88-AA27-2FB8AFE5ACB1}"/>
    <cellStyle name="Millares 9 3 6 2 3" xfId="8173" xr:uid="{C77EBF6B-10B9-4EB0-B4C8-36BF3E15B97F}"/>
    <cellStyle name="Millares 9 3 6 3" xfId="5385" xr:uid="{E407E763-036F-4B93-9206-2848C0AE8A5B}"/>
    <cellStyle name="Millares 9 3 6 3 2" xfId="7058" xr:uid="{00EE543B-568E-4D46-9CFC-7060C0F24FC0}"/>
    <cellStyle name="Millares 9 3 6 3 3" xfId="8730" xr:uid="{93956C82-2D6B-41A4-837B-74F2F4559B02}"/>
    <cellStyle name="Millares 9 3 6 4" xfId="5943" xr:uid="{BB77DCDC-0D0A-4ED5-AA7A-8BECAB0C4993}"/>
    <cellStyle name="Millares 9 3 6 5" xfId="7615" xr:uid="{8C6A1834-923A-4404-9998-D606BF864A90}"/>
    <cellStyle name="Millares 9 3 6 6" xfId="9287" xr:uid="{860A93C4-A5E6-4A22-9C2E-8DC191AB7D04}"/>
    <cellStyle name="Millares 9 3 7" xfId="3550" xr:uid="{6DDB1A8A-714C-42A9-9BF1-61FF5BCEB053}"/>
    <cellStyle name="Millares 9 3 7 2" xfId="4829" xr:uid="{5D50DD93-A34F-4C4A-A542-DCEF308B5BD4}"/>
    <cellStyle name="Millares 9 3 7 2 2" xfId="6502" xr:uid="{1360C7F0-24E4-444E-A27D-39A0EEFB9CE2}"/>
    <cellStyle name="Millares 9 3 7 2 3" xfId="8174" xr:uid="{DF0DB430-B8EA-4FF9-B548-1F8201F1A1E4}"/>
    <cellStyle name="Millares 9 3 7 3" xfId="5386" xr:uid="{6688A4BB-0D59-493E-A4FE-04989C6CB638}"/>
    <cellStyle name="Millares 9 3 7 3 2" xfId="7059" xr:uid="{503AA597-430B-4B6E-B2A1-525180F221D2}"/>
    <cellStyle name="Millares 9 3 7 3 3" xfId="8731" xr:uid="{189A5E40-CCF7-47AC-A524-4C69CD76C7B1}"/>
    <cellStyle name="Millares 9 3 7 4" xfId="5944" xr:uid="{3A66E857-B0F0-45AC-93D4-91DE59AFFFE7}"/>
    <cellStyle name="Millares 9 3 7 5" xfId="7616" xr:uid="{01BD40CC-64F5-48EF-800B-782D4E164556}"/>
    <cellStyle name="Millares 9 3 7 6" xfId="9288" xr:uid="{3FF0933B-47D4-4921-B972-4BA750F3FF18}"/>
    <cellStyle name="Millares 9 3 8" xfId="3551" xr:uid="{27328A1B-8097-45D6-BA0B-AB9885591294}"/>
    <cellStyle name="Millares 9 3 8 2" xfId="4830" xr:uid="{8D2A34D0-19D3-4A44-B27C-BD1DDF45388C}"/>
    <cellStyle name="Millares 9 3 8 2 2" xfId="6503" xr:uid="{E9ECB3AC-3976-4DCB-B826-F8EEE0B186DA}"/>
    <cellStyle name="Millares 9 3 8 2 3" xfId="8175" xr:uid="{90937FC5-BE91-4AC0-ACB3-FACB628EF71A}"/>
    <cellStyle name="Millares 9 3 8 3" xfId="5387" xr:uid="{18A91535-68DA-4035-BCC5-B0A5F56B10E8}"/>
    <cellStyle name="Millares 9 3 8 3 2" xfId="7060" xr:uid="{EBE1B383-89BE-4447-BDE3-4621D7BF8ACE}"/>
    <cellStyle name="Millares 9 3 8 3 3" xfId="8732" xr:uid="{DE0519CB-9026-419A-9E09-F8F8DA8FDC74}"/>
    <cellStyle name="Millares 9 3 8 4" xfId="5945" xr:uid="{16ADCBF5-76F8-4BA8-A99D-3678E4603F4A}"/>
    <cellStyle name="Millares 9 3 8 5" xfId="7617" xr:uid="{6F28C2B6-EB30-4CEA-A400-31E65C58B6AD}"/>
    <cellStyle name="Millares 9 3 8 6" xfId="9289" xr:uid="{1A57C886-1991-42E5-B6C7-C36999BDDB4E}"/>
    <cellStyle name="Millares 9 3 9" xfId="3552" xr:uid="{805A6548-CCDD-4916-BF69-14BAE09ED772}"/>
    <cellStyle name="Millares 9 3 9 2" xfId="4831" xr:uid="{78114E36-B1AA-4AF8-9AF5-B852EBEB0926}"/>
    <cellStyle name="Millares 9 3 9 2 2" xfId="6504" xr:uid="{DDC82F60-F089-4FCC-BDEE-753474A12DEE}"/>
    <cellStyle name="Millares 9 3 9 2 3" xfId="8176" xr:uid="{9CED487E-D1C8-4120-9F59-05DB3D5D805A}"/>
    <cellStyle name="Millares 9 3 9 3" xfId="5388" xr:uid="{BA680042-E1F5-44BC-BD16-8C3712019E18}"/>
    <cellStyle name="Millares 9 3 9 3 2" xfId="7061" xr:uid="{7162B55A-5D95-47AC-AE12-5026181B71DF}"/>
    <cellStyle name="Millares 9 3 9 3 3" xfId="8733" xr:uid="{4B3F1E1C-1839-4365-98F0-688E43C10228}"/>
    <cellStyle name="Millares 9 3 9 4" xfId="5946" xr:uid="{848DA885-5936-4E21-BF57-A99D89DC883B}"/>
    <cellStyle name="Millares 9 3 9 5" xfId="7618" xr:uid="{914021B8-1898-4FBE-B984-21701D52EEE3}"/>
    <cellStyle name="Millares 9 3 9 6" xfId="9290" xr:uid="{615D57E6-1486-4451-8F06-C4FDBBF39055}"/>
    <cellStyle name="Millares 9 4" xfId="3553" xr:uid="{E3C7E7F0-D106-4775-BF94-C7EA70ED8542}"/>
    <cellStyle name="Millares 9 4 2" xfId="4832" xr:uid="{BCC36533-995E-4299-BCF9-AF6E7937D331}"/>
    <cellStyle name="Millares 9 4 2 2" xfId="6505" xr:uid="{F066B6BF-AA39-47FC-817B-38F0BF6E55A0}"/>
    <cellStyle name="Millares 9 4 2 3" xfId="8177" xr:uid="{D7E1F4C0-255F-4200-88C0-A0DED61766B0}"/>
    <cellStyle name="Millares 9 4 3" xfId="5389" xr:uid="{20826B2A-B646-4DBA-85E1-4C6C97AB7218}"/>
    <cellStyle name="Millares 9 4 3 2" xfId="7062" xr:uid="{3320D0C8-C2B6-41DA-8BAD-B17C0F9B3266}"/>
    <cellStyle name="Millares 9 4 3 3" xfId="8734" xr:uid="{7729D8A6-D0AC-4180-9EF0-5E14D03E9037}"/>
    <cellStyle name="Millares 9 4 4" xfId="5947" xr:uid="{A5B7BFF0-AD43-49DC-9E1E-B1512BC5310E}"/>
    <cellStyle name="Millares 9 4 5" xfId="7619" xr:uid="{169A851E-E011-42B9-93B9-3D39E879D82E}"/>
    <cellStyle name="Millares 9 4 6" xfId="9291" xr:uid="{FE8D19BE-B084-4EF2-821D-D8F6D509A8AE}"/>
    <cellStyle name="Millares 9 5" xfId="3554" xr:uid="{75DCD6A5-0482-4139-85B2-88AD38C2F2E3}"/>
    <cellStyle name="Millares 9 5 2" xfId="4833" xr:uid="{D2A4DBD3-447F-427E-B587-798BDAFDAA7E}"/>
    <cellStyle name="Millares 9 5 2 2" xfId="6506" xr:uid="{657DACA0-A280-4317-B004-3E358E7E88A4}"/>
    <cellStyle name="Millares 9 5 2 3" xfId="8178" xr:uid="{7FBC332B-2811-4C97-9978-9D45A000EB0B}"/>
    <cellStyle name="Millares 9 5 3" xfId="5390" xr:uid="{04BC54AB-F35F-42E7-B84E-A5D660DD3DD0}"/>
    <cellStyle name="Millares 9 5 3 2" xfId="7063" xr:uid="{AC882085-F36A-4C43-9BC9-7B839ED79111}"/>
    <cellStyle name="Millares 9 5 3 3" xfId="8735" xr:uid="{71872FB5-8F20-462B-A133-7BFAF476BACF}"/>
    <cellStyle name="Millares 9 5 4" xfId="5948" xr:uid="{3DEF09DB-555D-4EDC-9BD6-C572F32467CD}"/>
    <cellStyle name="Millares 9 5 5" xfId="7620" xr:uid="{8B304CF7-85D3-475C-8DC3-F8F5C26FD050}"/>
    <cellStyle name="Millares 9 5 6" xfId="9292" xr:uid="{BE0920ED-1027-414F-B48F-D3749B31A821}"/>
    <cellStyle name="Millares 9 6" xfId="3555" xr:uid="{70CF385E-DE0B-48E7-B140-03106CDAF078}"/>
    <cellStyle name="Millares 9 6 2" xfId="4834" xr:uid="{FBD1F61B-A556-4D04-8852-95C75FF0DC98}"/>
    <cellStyle name="Millares 9 6 2 2" xfId="6507" xr:uid="{40B96A5C-2F0C-4869-BA50-89C28F0518E7}"/>
    <cellStyle name="Millares 9 6 2 3" xfId="8179" xr:uid="{A530EDB3-8A4A-4ACD-9335-AF75A4FA8499}"/>
    <cellStyle name="Millares 9 6 3" xfId="5391" xr:uid="{25C4AA28-EFCB-45C0-A033-FB9C595D1ED5}"/>
    <cellStyle name="Millares 9 6 3 2" xfId="7064" xr:uid="{20BF2C60-311F-49E3-A738-B7CDC93A7D02}"/>
    <cellStyle name="Millares 9 6 3 3" xfId="8736" xr:uid="{125E1079-FD76-4753-9EAA-C7EFF4178564}"/>
    <cellStyle name="Millares 9 6 4" xfId="5949" xr:uid="{165E6C29-3ACE-4F6A-89F2-A8AB21247A78}"/>
    <cellStyle name="Millares 9 6 5" xfId="7621" xr:uid="{4E69C6AD-BC8C-4A27-9BAE-2E24198BE9E0}"/>
    <cellStyle name="Millares 9 6 6" xfId="9293" xr:uid="{9E628D72-42FC-49E5-BF23-C3773C52C71D}"/>
    <cellStyle name="Millares 9 7" xfId="3556" xr:uid="{5F78C6D7-B8D0-41E9-B765-F8B45254FE0E}"/>
    <cellStyle name="Millares 9 7 2" xfId="4835" xr:uid="{60EBF95F-696B-4141-A2D7-C33DBAFB8FBE}"/>
    <cellStyle name="Millares 9 7 2 2" xfId="6508" xr:uid="{788EE478-BD2A-4610-B5D1-29B8D7FE3472}"/>
    <cellStyle name="Millares 9 7 2 3" xfId="8180" xr:uid="{C7AE50E2-7AFA-4BB1-81AC-F8BE560B9528}"/>
    <cellStyle name="Millares 9 7 3" xfId="5392" xr:uid="{D8431489-FBA2-4C51-A56C-35ABEE6558BD}"/>
    <cellStyle name="Millares 9 7 3 2" xfId="7065" xr:uid="{D54E446F-1C20-468B-A2C8-CAC8527807EA}"/>
    <cellStyle name="Millares 9 7 3 3" xfId="8737" xr:uid="{149DAB75-DD65-4226-8325-D7845E6CC26F}"/>
    <cellStyle name="Millares 9 7 4" xfId="5950" xr:uid="{6F055E75-CFB3-4C93-8BEC-751ED386D926}"/>
    <cellStyle name="Millares 9 7 5" xfId="7622" xr:uid="{61E430D5-CBC0-4EBF-AECA-9D0E8E12B0C2}"/>
    <cellStyle name="Millares 9 7 6" xfId="9294" xr:uid="{ED6DF0F9-ECC3-4531-A98F-59D17E712B84}"/>
    <cellStyle name="Millares 9 8" xfId="3557" xr:uid="{DD8FCB39-219D-4849-824C-18E3D235E505}"/>
    <cellStyle name="Millares 9 8 2" xfId="4836" xr:uid="{92FF8328-75A8-44B7-8C4F-C25E3862741E}"/>
    <cellStyle name="Millares 9 8 2 2" xfId="6509" xr:uid="{69CC0EA1-49C1-4464-8A5E-49CBF4F0F916}"/>
    <cellStyle name="Millares 9 8 2 3" xfId="8181" xr:uid="{D6AA7763-F426-40C3-87C5-52EA23DCB536}"/>
    <cellStyle name="Millares 9 8 3" xfId="5393" xr:uid="{943BF08C-D41D-4D87-ACDE-EB60EC8F7803}"/>
    <cellStyle name="Millares 9 8 3 2" xfId="7066" xr:uid="{FC0CF732-1294-4E1D-BE22-DC35649FBEE9}"/>
    <cellStyle name="Millares 9 8 3 3" xfId="8738" xr:uid="{04A99017-50AD-4C4B-ADEB-9718AC018325}"/>
    <cellStyle name="Millares 9 8 4" xfId="5951" xr:uid="{CDAA8FF0-9D93-4AB0-9BEA-151F7F8FEB52}"/>
    <cellStyle name="Millares 9 8 5" xfId="7623" xr:uid="{F909CC76-5DD7-415A-9BFC-6055177A1F8F}"/>
    <cellStyle name="Millares 9 8 6" xfId="9295" xr:uid="{CF0C6B48-E1A9-4CE7-8E20-00254931A047}"/>
    <cellStyle name="Millares 9 9" xfId="3558" xr:uid="{FB87FABB-C9B6-4043-9F4C-6F2AEBA080B9}"/>
    <cellStyle name="Millares 9 9 2" xfId="4837" xr:uid="{6D09929E-AC2F-4B9C-AF13-8A8CABB7E2A1}"/>
    <cellStyle name="Millares 9 9 2 2" xfId="6510" xr:uid="{F1CC0699-C3B8-40EE-8CE9-B109702FC698}"/>
    <cellStyle name="Millares 9 9 2 3" xfId="8182" xr:uid="{CD631DB3-DB4B-46DF-A11E-9D9759FBD734}"/>
    <cellStyle name="Millares 9 9 3" xfId="5394" xr:uid="{2F168B6D-EEFB-41AD-AE36-19B763F2CADB}"/>
    <cellStyle name="Millares 9 9 3 2" xfId="7067" xr:uid="{27438A6A-BCD9-4C74-94BE-D60343D76BD7}"/>
    <cellStyle name="Millares 9 9 3 3" xfId="8739" xr:uid="{59BF0EDE-CB7C-4E95-BEC4-56D463C34302}"/>
    <cellStyle name="Millares 9 9 4" xfId="5952" xr:uid="{85DFDDC6-F00D-4628-AC1C-2083F2C4A0CD}"/>
    <cellStyle name="Millares 9 9 5" xfId="7624" xr:uid="{161CFBC1-DA40-4A7D-AC6F-C53399477F9C}"/>
    <cellStyle name="Millares 9 9 6" xfId="9296" xr:uid="{FE09453A-C74B-472F-B7EB-7940EB7AD881}"/>
    <cellStyle name="Milliers [0]_!!!GO" xfId="3559" xr:uid="{0FAD6EBB-024F-4472-ADFF-1CBEE557EDD3}"/>
    <cellStyle name="Milliers_!!!GO" xfId="3560" xr:uid="{A7786253-3985-4D2B-A416-BC95C5481907}"/>
    <cellStyle name="Moeda [0]_BZL98FC6" xfId="3561" xr:uid="{7E21E4DC-599D-41EF-BDBB-D333452917F0}"/>
    <cellStyle name="Moeda_BZL98FC6" xfId="3562" xr:uid="{C0AA9A53-06C0-4998-88DF-228A078ABD6F}"/>
    <cellStyle name="Moneda" xfId="9350" builtinId="4"/>
    <cellStyle name="Moneda 2" xfId="4" xr:uid="{00000000-0005-0000-0000-000000000000}"/>
    <cellStyle name="Moneda 2 10" xfId="3563" xr:uid="{F2C3053B-7787-4CC3-9E80-6FE93AE677C8}"/>
    <cellStyle name="Moneda 2 10 2" xfId="4838" xr:uid="{01D4C306-8A01-4C99-94B8-2DC867882F57}"/>
    <cellStyle name="Moneda 2 10 2 2" xfId="6511" xr:uid="{355440C4-A1CE-4664-BF07-5FFBE56C7C69}"/>
    <cellStyle name="Moneda 2 10 2 3" xfId="8183" xr:uid="{EB0621A2-78E2-498F-A621-E2FF08D23604}"/>
    <cellStyle name="Moneda 2 10 3" xfId="5395" xr:uid="{70CF76AD-A5C1-47DC-BCF4-DD10787E43EE}"/>
    <cellStyle name="Moneda 2 10 3 2" xfId="7068" xr:uid="{EEB6A8EF-64ED-49DD-B4D2-B2D0D3E21C78}"/>
    <cellStyle name="Moneda 2 10 3 3" xfId="8740" xr:uid="{7DADAEB1-A49F-4086-A254-EA3AF583BA28}"/>
    <cellStyle name="Moneda 2 10 4" xfId="5953" xr:uid="{531084B3-0E40-4B4B-A954-00D125BBCF53}"/>
    <cellStyle name="Moneda 2 10 5" xfId="7625" xr:uid="{9BF648E3-CEE3-4ED5-AD73-2D1A2A3BA4B0}"/>
    <cellStyle name="Moneda 2 10 6" xfId="9297" xr:uid="{28A62CD8-27FC-4CF7-8E56-E43C50B9D93F}"/>
    <cellStyle name="Moneda 2 11" xfId="3564" xr:uid="{6BEC62F5-ACA4-4B01-801B-4EC1A524A804}"/>
    <cellStyle name="Moneda 2 11 2" xfId="4839" xr:uid="{5D7B4D52-CC8A-49DB-A03D-551B6D5415EE}"/>
    <cellStyle name="Moneda 2 11 2 2" xfId="6512" xr:uid="{839065E4-0547-42BA-B971-91ADEB2E3EA7}"/>
    <cellStyle name="Moneda 2 11 2 3" xfId="8184" xr:uid="{96E980E0-611A-4DA7-95E7-895450C86747}"/>
    <cellStyle name="Moneda 2 11 3" xfId="5396" xr:uid="{1E0606EC-23A1-4F5B-BE2C-39AF1C458958}"/>
    <cellStyle name="Moneda 2 11 3 2" xfId="7069" xr:uid="{555499B4-2233-4D1B-B1F9-F5F1B1C8A28C}"/>
    <cellStyle name="Moneda 2 11 3 3" xfId="8741" xr:uid="{3AE3E894-ADBB-439B-A206-0123841B5E19}"/>
    <cellStyle name="Moneda 2 11 4" xfId="5954" xr:uid="{6926F825-0A58-4411-88D0-C3616DDD17A4}"/>
    <cellStyle name="Moneda 2 11 5" xfId="7626" xr:uid="{5249A080-650F-4AA9-A26A-FE1D5FB26378}"/>
    <cellStyle name="Moneda 2 11 6" xfId="9298" xr:uid="{4942667A-C293-430A-A5AB-242BA35CB0CF}"/>
    <cellStyle name="Moneda 2 12" xfId="4317" xr:uid="{78113DF5-A14B-4520-8153-6D4C952F525A}"/>
    <cellStyle name="Moneda 2 12 2" xfId="4877" xr:uid="{8FC36D19-B9E3-4670-8BE5-DE4A78954F29}"/>
    <cellStyle name="Moneda 2 12 2 2" xfId="6550" xr:uid="{C28C16B2-14FA-43BF-B189-94EC2786190D}"/>
    <cellStyle name="Moneda 2 12 2 2 2" xfId="9347" xr:uid="{5965E042-8948-4C70-91C1-085682714653}"/>
    <cellStyle name="Moneda 2 12 2 2 2 2" xfId="9349" xr:uid="{15970E26-69B8-4E79-918A-CBBC86658E15}"/>
    <cellStyle name="Moneda 2 12 2 3" xfId="8222" xr:uid="{A2973F32-3245-44EC-8E82-664546E835AB}"/>
    <cellStyle name="Moneda 2 12 3" xfId="5434" xr:uid="{A4579AF0-2A91-496C-A0F0-707C3F0AAA36}"/>
    <cellStyle name="Moneda 2 12 3 2" xfId="7107" xr:uid="{2C7571EE-5F83-4098-8C09-C8F09DF4F4FE}"/>
    <cellStyle name="Moneda 2 12 3 3" xfId="8779" xr:uid="{6BF7EDE2-C1F4-4341-AF7F-0A82DA486F2E}"/>
    <cellStyle name="Moneda 2 12 4" xfId="5992" xr:uid="{066F0E89-8051-4508-94EE-FD82E478639E}"/>
    <cellStyle name="Moneda 2 12 5" xfId="7664" xr:uid="{96EA3A5B-0058-41D6-8FD0-FB39EDDA0A1A}"/>
    <cellStyle name="Moneda 2 12 6" xfId="9336" xr:uid="{40B3A315-E44A-4394-A90A-5B73FAAC940C}"/>
    <cellStyle name="Moneda 2 13" xfId="4322" xr:uid="{5F68FBA5-788C-40F7-B239-7C78ED6D367E}"/>
    <cellStyle name="Moneda 2 13 2" xfId="5995" xr:uid="{BE117A93-40BB-43E2-8FCD-F852013E6A07}"/>
    <cellStyle name="Moneda 2 13 3" xfId="7667" xr:uid="{85114924-D037-4461-9B6E-812C2516BD03}"/>
    <cellStyle name="Moneda 2 14" xfId="4879" xr:uid="{98328F07-1EBB-40B2-A347-A02904EEA9C0}"/>
    <cellStyle name="Moneda 2 14 2" xfId="6552" xr:uid="{DC8819C7-35AC-4C78-960A-B266E0E0C493}"/>
    <cellStyle name="Moneda 2 14 3" xfId="8224" xr:uid="{766132BE-13E7-4B78-98D8-6B32AF35DDE6}"/>
    <cellStyle name="Moneda 2 15" xfId="5437" xr:uid="{0AEE0523-B267-453D-86DF-452E095D9F39}"/>
    <cellStyle name="Moneda 2 16" xfId="7109" xr:uid="{72CD4EA6-2EFC-4A52-896D-228C958E6595}"/>
    <cellStyle name="Moneda 2 17" xfId="8781" xr:uid="{72843C62-107B-4B30-AE23-95D3610A8092}"/>
    <cellStyle name="Moneda 2 18" xfId="9338" xr:uid="{2D519555-96AF-4655-BB75-E60622C2CE90}"/>
    <cellStyle name="Moneda 2 19" xfId="9339" xr:uid="{39A571C5-9A62-4987-9451-802FF34BAE57}"/>
    <cellStyle name="Moneda 2 2" xfId="3565" xr:uid="{5D3F02A0-D368-44D2-8271-63B94263C699}"/>
    <cellStyle name="Moneda 2 2 10" xfId="3566" xr:uid="{8E6C4738-BB3D-4377-BD5E-D833E6BCFDEF}"/>
    <cellStyle name="Moneda 2 2 10 2" xfId="4841" xr:uid="{D4946A0E-5755-43D2-8E78-5683AB241E2E}"/>
    <cellStyle name="Moneda 2 2 10 2 2" xfId="6514" xr:uid="{ECC13C1E-8903-421E-9FFB-63981B91C846}"/>
    <cellStyle name="Moneda 2 2 10 2 3" xfId="8186" xr:uid="{F13C2B03-48BB-424A-9433-BF249C5BF82B}"/>
    <cellStyle name="Moneda 2 2 10 3" xfId="5398" xr:uid="{BF3E3208-B7A3-4B15-A999-FDEA11639D1E}"/>
    <cellStyle name="Moneda 2 2 10 3 2" xfId="7071" xr:uid="{1E5D9713-666F-42C6-BF41-1733D68D2FB9}"/>
    <cellStyle name="Moneda 2 2 10 3 3" xfId="8743" xr:uid="{0A403DF8-4720-47C1-8D12-92EECE0700EE}"/>
    <cellStyle name="Moneda 2 2 10 4" xfId="5956" xr:uid="{E4A12182-E9B8-4DAF-B3B4-6A22B48650CA}"/>
    <cellStyle name="Moneda 2 2 10 5" xfId="7628" xr:uid="{C7B4BBBD-60FF-424F-89DA-F93AB32E4400}"/>
    <cellStyle name="Moneda 2 2 10 6" xfId="9300" xr:uid="{1ABE95CC-D20B-40E3-B034-31CEAFC9B795}"/>
    <cellStyle name="Moneda 2 2 11" xfId="4840" xr:uid="{34E57460-CD33-4C9C-8F7C-8D42B5A4BEAB}"/>
    <cellStyle name="Moneda 2 2 11 2" xfId="6513" xr:uid="{40FA90EA-C460-42B7-B5E2-0EE6C5ED4341}"/>
    <cellStyle name="Moneda 2 2 11 3" xfId="8185" xr:uid="{90011E57-69CF-44DF-B33D-320F667158B1}"/>
    <cellStyle name="Moneda 2 2 12" xfId="5397" xr:uid="{7138ABA6-82D7-4F80-B0F1-A6B1959787A4}"/>
    <cellStyle name="Moneda 2 2 12 2" xfId="7070" xr:uid="{D3B38275-9685-4F86-B45A-3F0BCB65AB3E}"/>
    <cellStyle name="Moneda 2 2 12 3" xfId="8742" xr:uid="{AB90AC0D-AA21-4E34-BA84-D675F20BF825}"/>
    <cellStyle name="Moneda 2 2 13" xfId="5955" xr:uid="{95417CBD-1E0D-48AC-A52D-231B9BC9DBA2}"/>
    <cellStyle name="Moneda 2 2 14" xfId="7627" xr:uid="{06ADF97E-08E8-4B46-8EBF-A74C2CF76ADC}"/>
    <cellStyle name="Moneda 2 2 15" xfId="9299" xr:uid="{81E0DF54-BB94-4765-B2B3-4870CDA88000}"/>
    <cellStyle name="Moneda 2 2 2" xfId="3567" xr:uid="{7E519E5F-2AF6-4124-9D14-F4C7B3089874}"/>
    <cellStyle name="Moneda 2 2 2 2" xfId="4842" xr:uid="{22AF0137-628C-4CB6-BEC6-DB430D14ED64}"/>
    <cellStyle name="Moneda 2 2 2 2 2" xfId="6515" xr:uid="{16137BBB-1623-459C-A6EE-55391C7A25F4}"/>
    <cellStyle name="Moneda 2 2 2 2 3" xfId="8187" xr:uid="{295ED0FF-48A9-40F6-B2FA-B2EE9173F077}"/>
    <cellStyle name="Moneda 2 2 2 3" xfId="5399" xr:uid="{2C53F37C-4969-444D-A749-582A679587B6}"/>
    <cellStyle name="Moneda 2 2 2 3 2" xfId="7072" xr:uid="{FE135ED8-D7E9-40A5-8D66-F1F3F7728DF1}"/>
    <cellStyle name="Moneda 2 2 2 3 3" xfId="8744" xr:uid="{4C6FF4B9-4834-4C50-BD0D-538DB1DCE72E}"/>
    <cellStyle name="Moneda 2 2 2 4" xfId="5957" xr:uid="{8B9B32F2-D5FE-4533-8062-2C1DF36E34A1}"/>
    <cellStyle name="Moneda 2 2 2 5" xfId="7629" xr:uid="{AD64CF17-8B06-46D4-8C64-F2135732DAF2}"/>
    <cellStyle name="Moneda 2 2 2 6" xfId="9301" xr:uid="{DEA3C662-F98D-4750-909E-E402371F281E}"/>
    <cellStyle name="Moneda 2 2 3" xfId="3568" xr:uid="{0D0EAEF5-2C83-43F5-9F15-D338E0603045}"/>
    <cellStyle name="Moneda 2 2 3 2" xfId="4843" xr:uid="{8AA3ADF3-CD40-4ED4-A2EF-A306D2931069}"/>
    <cellStyle name="Moneda 2 2 3 2 2" xfId="6516" xr:uid="{BEF5E955-F042-40DD-9C85-4D988CCD2B7E}"/>
    <cellStyle name="Moneda 2 2 3 2 3" xfId="8188" xr:uid="{1B09CED2-8CD7-4602-841F-27513203DE38}"/>
    <cellStyle name="Moneda 2 2 3 3" xfId="5400" xr:uid="{F0A94873-66C4-45E4-82DD-A1429E9A70B7}"/>
    <cellStyle name="Moneda 2 2 3 3 2" xfId="7073" xr:uid="{DFD2CE71-4C6F-488A-97BD-59F303E35A36}"/>
    <cellStyle name="Moneda 2 2 3 3 3" xfId="8745" xr:uid="{08A7A6CB-3F2B-404A-8526-DC6876CF6E30}"/>
    <cellStyle name="Moneda 2 2 3 4" xfId="5958" xr:uid="{D06584B3-9F0D-43CE-BBC2-1008D1240E53}"/>
    <cellStyle name="Moneda 2 2 3 5" xfId="7630" xr:uid="{7C75603C-6FC3-4FDF-805A-62E9B9B4A4CE}"/>
    <cellStyle name="Moneda 2 2 3 6" xfId="9302" xr:uid="{1A58527D-A684-45AA-BF18-1FC3FD864788}"/>
    <cellStyle name="Moneda 2 2 4" xfId="3569" xr:uid="{0D02CC0F-F7E9-43E5-814F-D77CCB609EC8}"/>
    <cellStyle name="Moneda 2 2 4 2" xfId="4844" xr:uid="{C66DBDE9-9A43-4B5A-A673-62790ECA1D21}"/>
    <cellStyle name="Moneda 2 2 4 2 2" xfId="6517" xr:uid="{E21EA3CE-C2F2-437B-B272-2E95039C0018}"/>
    <cellStyle name="Moneda 2 2 4 2 3" xfId="8189" xr:uid="{15F3DB1E-D911-4C35-8EB4-EA1EC1F2850E}"/>
    <cellStyle name="Moneda 2 2 4 3" xfId="5401" xr:uid="{5FED0E09-1458-4893-A7D5-18BDE6C0CA05}"/>
    <cellStyle name="Moneda 2 2 4 3 2" xfId="7074" xr:uid="{9252DC90-D3A9-4F94-BE77-241E91456809}"/>
    <cellStyle name="Moneda 2 2 4 3 3" xfId="8746" xr:uid="{8DDD2043-B43A-465C-A150-282FB4A2522C}"/>
    <cellStyle name="Moneda 2 2 4 4" xfId="5959" xr:uid="{999D52B3-B7A8-4321-B5CA-7F05E5DF3E37}"/>
    <cellStyle name="Moneda 2 2 4 5" xfId="7631" xr:uid="{FF6256A2-AB92-4E5B-91B9-699C2D1CF5AD}"/>
    <cellStyle name="Moneda 2 2 4 6" xfId="9303" xr:uid="{A057EC79-7CA1-4D60-85BE-2FDCB25B2510}"/>
    <cellStyle name="Moneda 2 2 5" xfId="3570" xr:uid="{16888142-2BAA-4DFC-9EE9-B4FB21AE2F67}"/>
    <cellStyle name="Moneda 2 2 5 2" xfId="4845" xr:uid="{5CA0AA75-A4A0-42E9-8456-20BF70CFDF74}"/>
    <cellStyle name="Moneda 2 2 5 2 2" xfId="6518" xr:uid="{E36ED2BF-261E-4389-AC57-BF5C620834B0}"/>
    <cellStyle name="Moneda 2 2 5 2 3" xfId="8190" xr:uid="{88F3D726-7DA2-4DEA-B09B-25F3FC626829}"/>
    <cellStyle name="Moneda 2 2 5 3" xfId="5402" xr:uid="{8591CA89-ED48-4E37-AA05-56207D478F89}"/>
    <cellStyle name="Moneda 2 2 5 3 2" xfId="7075" xr:uid="{7FF01E46-6C6A-43FB-8058-0F0D5BCD52CE}"/>
    <cellStyle name="Moneda 2 2 5 3 3" xfId="8747" xr:uid="{30A458C8-9595-48BD-8F05-FBC09C01DF76}"/>
    <cellStyle name="Moneda 2 2 5 4" xfId="5960" xr:uid="{42DFFBB7-95E6-4467-8E72-548FC8DCACD8}"/>
    <cellStyle name="Moneda 2 2 5 5" xfId="7632" xr:uid="{81BB06BB-3DF4-4FCA-9970-C39FF0EAE43F}"/>
    <cellStyle name="Moneda 2 2 5 6" xfId="9304" xr:uid="{E8E29248-C199-4220-9BCC-ADE9E6FDA25C}"/>
    <cellStyle name="Moneda 2 2 6" xfId="3571" xr:uid="{EA208D6A-B6F6-4721-8D6F-2357FAA35AE0}"/>
    <cellStyle name="Moneda 2 2 6 2" xfId="4846" xr:uid="{A0F94C09-56C4-42E3-86E1-738FD41FD412}"/>
    <cellStyle name="Moneda 2 2 6 2 2" xfId="6519" xr:uid="{290EFEC1-2BD8-4668-8737-648F54F330C1}"/>
    <cellStyle name="Moneda 2 2 6 2 3" xfId="8191" xr:uid="{AF6344F7-7AC5-4BEB-9B47-F19FB7479D2E}"/>
    <cellStyle name="Moneda 2 2 6 3" xfId="5403" xr:uid="{92C41335-8557-4EC7-8E40-8A80292BDC96}"/>
    <cellStyle name="Moneda 2 2 6 3 2" xfId="7076" xr:uid="{6ADED879-E635-47D3-8897-168DAC9FC3BB}"/>
    <cellStyle name="Moneda 2 2 6 3 3" xfId="8748" xr:uid="{76561E2D-05F1-4FA2-8EE9-32B8400F2C40}"/>
    <cellStyle name="Moneda 2 2 6 4" xfId="5961" xr:uid="{FFE9BFE7-DE35-43BE-BB5A-31EE33A3BC33}"/>
    <cellStyle name="Moneda 2 2 6 5" xfId="7633" xr:uid="{0507C7E1-4258-43DC-9D96-745FE865A9CA}"/>
    <cellStyle name="Moneda 2 2 6 6" xfId="9305" xr:uid="{E9C427BB-D368-4DBB-A3E3-0F3E47E7D00D}"/>
    <cellStyle name="Moneda 2 2 7" xfId="3572" xr:uid="{BF4EFC0A-E58F-43EF-BA4D-6A09FEAB73EC}"/>
    <cellStyle name="Moneda 2 2 7 2" xfId="4847" xr:uid="{60FFEC2D-E823-4B52-8E55-F2D87CFEF7BB}"/>
    <cellStyle name="Moneda 2 2 7 2 2" xfId="6520" xr:uid="{8238F3DD-1CF8-4EA2-94CF-6EB8703998F9}"/>
    <cellStyle name="Moneda 2 2 7 2 3" xfId="8192" xr:uid="{13DA3071-70E4-4A10-8863-7EFF5E5DD044}"/>
    <cellStyle name="Moneda 2 2 7 3" xfId="5404" xr:uid="{02DB02DC-DBF4-4796-86FF-89DC5F667612}"/>
    <cellStyle name="Moneda 2 2 7 3 2" xfId="7077" xr:uid="{214E10B1-C388-47F5-A190-FEB09E20DC47}"/>
    <cellStyle name="Moneda 2 2 7 3 3" xfId="8749" xr:uid="{2C29022D-41D6-4BE4-A14C-8571141B4F09}"/>
    <cellStyle name="Moneda 2 2 7 4" xfId="5962" xr:uid="{9E12C7A7-3CEF-430E-967B-4632F074D406}"/>
    <cellStyle name="Moneda 2 2 7 5" xfId="7634" xr:uid="{F0676794-6A22-4175-9C0B-B2E2043D3B8F}"/>
    <cellStyle name="Moneda 2 2 7 6" xfId="9306" xr:uid="{78CBFE9F-8511-4F5C-BF01-B155532CD3A2}"/>
    <cellStyle name="Moneda 2 2 8" xfId="3573" xr:uid="{6E086184-929C-4826-A24B-080865DCF359}"/>
    <cellStyle name="Moneda 2 2 8 2" xfId="4848" xr:uid="{D9BA321D-6EAF-4DC0-8D19-B0BA898ADAEC}"/>
    <cellStyle name="Moneda 2 2 8 2 2" xfId="6521" xr:uid="{333F7759-48B3-495E-A097-DE24F1BA5990}"/>
    <cellStyle name="Moneda 2 2 8 2 3" xfId="8193" xr:uid="{4D865CD4-0348-42C1-A6B7-AF782D265ECF}"/>
    <cellStyle name="Moneda 2 2 8 3" xfId="5405" xr:uid="{497593B3-BE68-4D0C-9B48-74A3A6FB8E55}"/>
    <cellStyle name="Moneda 2 2 8 3 2" xfId="7078" xr:uid="{F2E58AA6-D0BB-4631-BDD3-BF2051568206}"/>
    <cellStyle name="Moneda 2 2 8 3 3" xfId="8750" xr:uid="{2DA60925-6DB0-48F6-85E7-5D4EFF5C04FC}"/>
    <cellStyle name="Moneda 2 2 8 4" xfId="5963" xr:uid="{2C4CDF61-DDE4-4B4A-B4FC-D5F1E09222FC}"/>
    <cellStyle name="Moneda 2 2 8 5" xfId="7635" xr:uid="{945DD4EC-E7FF-458F-BCCB-F2E594034C7C}"/>
    <cellStyle name="Moneda 2 2 8 6" xfId="9307" xr:uid="{BD5AEC7D-2392-486B-A9B4-463563F7E113}"/>
    <cellStyle name="Moneda 2 2 9" xfId="3574" xr:uid="{FF302003-58CD-41AB-AAF5-3C27927EB680}"/>
    <cellStyle name="Moneda 2 2 9 2" xfId="4849" xr:uid="{ED0D2279-DA7C-4FD8-B484-518E29F9DCBC}"/>
    <cellStyle name="Moneda 2 2 9 2 2" xfId="6522" xr:uid="{D375577C-2779-4F61-9498-7A8824506151}"/>
    <cellStyle name="Moneda 2 2 9 2 3" xfId="8194" xr:uid="{64E59C13-CD8C-4D3B-88AE-967C29C706E6}"/>
    <cellStyle name="Moneda 2 2 9 3" xfId="5406" xr:uid="{83CEA113-A42C-47D3-80B6-B5AC17576E8C}"/>
    <cellStyle name="Moneda 2 2 9 3 2" xfId="7079" xr:uid="{E86EE48E-9D13-47E3-BBE5-9982D8FD217F}"/>
    <cellStyle name="Moneda 2 2 9 3 3" xfId="8751" xr:uid="{F1FCF5AE-0868-4B58-96BE-066DC1E1E9A2}"/>
    <cellStyle name="Moneda 2 2 9 4" xfId="5964" xr:uid="{4038C28A-2340-42D9-A827-EA11EF271564}"/>
    <cellStyle name="Moneda 2 2 9 5" xfId="7636" xr:uid="{A6954899-958B-454A-830B-8643B24466EC}"/>
    <cellStyle name="Moneda 2 2 9 6" xfId="9308" xr:uid="{4052E25B-2F9E-4A5D-A9A9-1CC308E5BEA6}"/>
    <cellStyle name="Moneda 2 20" xfId="9340" xr:uid="{7FBD94B3-1E07-41D7-B05C-D9F56237AB00}"/>
    <cellStyle name="Moneda 2 21" xfId="9345" xr:uid="{73E9F9CE-8D65-4B79-BD01-FA27BBB075B8}"/>
    <cellStyle name="Moneda 2 22" xfId="5" xr:uid="{CC091BF8-9026-4153-8812-070EB4DC1F78}"/>
    <cellStyle name="Moneda 2 22 3" xfId="9351" xr:uid="{6370CAA5-AB28-4F75-B730-B647B693AEE2}"/>
    <cellStyle name="Moneda 2 23" xfId="9348" xr:uid="{93C4E655-0BF4-4DE5-85C5-FE815D3BA772}"/>
    <cellStyle name="Moneda 2 3" xfId="3575" xr:uid="{FF598F4F-942B-4CA4-A438-89426BFCF861}"/>
    <cellStyle name="Moneda 2 3 10" xfId="3576" xr:uid="{DFBDFDE9-C6E9-4176-A10C-976059277030}"/>
    <cellStyle name="Moneda 2 3 10 2" xfId="4851" xr:uid="{73137198-0DAF-45AE-A47F-00D6D55A28CF}"/>
    <cellStyle name="Moneda 2 3 10 2 2" xfId="6524" xr:uid="{A0E9E800-F814-43D5-B8B5-5CF6919925B4}"/>
    <cellStyle name="Moneda 2 3 10 2 3" xfId="8196" xr:uid="{6666636A-B77F-4723-B591-9083E9CD253D}"/>
    <cellStyle name="Moneda 2 3 10 3" xfId="5408" xr:uid="{86A998AA-1864-45E8-96B0-83B1353720AA}"/>
    <cellStyle name="Moneda 2 3 10 3 2" xfId="7081" xr:uid="{FBF6513B-ACD9-4E4D-9757-8151D6DBD688}"/>
    <cellStyle name="Moneda 2 3 10 3 3" xfId="8753" xr:uid="{B3360D81-C12C-4D2F-BB6F-669B8452E1B7}"/>
    <cellStyle name="Moneda 2 3 10 4" xfId="5966" xr:uid="{660CD643-4C38-4806-9CA6-ECAEEEFABFDF}"/>
    <cellStyle name="Moneda 2 3 10 5" xfId="7638" xr:uid="{D2515A54-6FB0-49F2-99BC-C872D68E9559}"/>
    <cellStyle name="Moneda 2 3 10 6" xfId="9310" xr:uid="{CE25A35C-F630-4B79-9D79-6AC421E59440}"/>
    <cellStyle name="Moneda 2 3 11" xfId="4850" xr:uid="{A731E1BD-7DDE-49C7-B3AE-6FC437DA3C03}"/>
    <cellStyle name="Moneda 2 3 11 2" xfId="6523" xr:uid="{2F485DF0-951F-4A04-A8BD-0E9AF76EC74F}"/>
    <cellStyle name="Moneda 2 3 11 3" xfId="8195" xr:uid="{E6C39908-0D7F-4754-B3BD-353657A80199}"/>
    <cellStyle name="Moneda 2 3 12" xfId="5407" xr:uid="{4476E2EA-F115-4351-A837-CD1DE3D605A2}"/>
    <cellStyle name="Moneda 2 3 12 2" xfId="7080" xr:uid="{029F075F-EB67-45A9-9B6C-F4162C5FB12B}"/>
    <cellStyle name="Moneda 2 3 12 3" xfId="8752" xr:uid="{6B88371C-EDDC-429D-BE6B-A39044A4B97A}"/>
    <cellStyle name="Moneda 2 3 13" xfId="5965" xr:uid="{2C889D5C-FF4D-4501-B3E3-E9BA7BDD0C4A}"/>
    <cellStyle name="Moneda 2 3 14" xfId="7637" xr:uid="{B4952B5F-3E3E-4DCC-9454-AD3F9E3C7145}"/>
    <cellStyle name="Moneda 2 3 15" xfId="9309" xr:uid="{3B5C4344-7F7E-4777-B617-25922A63FD2D}"/>
    <cellStyle name="Moneda 2 3 2" xfId="3577" xr:uid="{11375C6F-D983-4B68-97B3-1366ECD1979C}"/>
    <cellStyle name="Moneda 2 3 2 2" xfId="4852" xr:uid="{BE8462AE-DC4A-4500-8557-B134DECD151D}"/>
    <cellStyle name="Moneda 2 3 2 2 2" xfId="6525" xr:uid="{98FC59D4-74A5-4421-A6EB-4717C26EBBF3}"/>
    <cellStyle name="Moneda 2 3 2 2 3" xfId="8197" xr:uid="{74567F20-D3BA-4484-83F0-2CEE7C933491}"/>
    <cellStyle name="Moneda 2 3 2 3" xfId="5409" xr:uid="{6B9F8A40-00C6-479C-8929-1E1737FAD078}"/>
    <cellStyle name="Moneda 2 3 2 3 2" xfId="7082" xr:uid="{89176C5D-7CBC-46F7-9422-7B11526D2284}"/>
    <cellStyle name="Moneda 2 3 2 3 3" xfId="8754" xr:uid="{014FB52B-8D91-4455-A27E-2BA3CD4C9B61}"/>
    <cellStyle name="Moneda 2 3 2 4" xfId="5967" xr:uid="{583BB644-1F53-4442-B72B-3FA771DE3B0A}"/>
    <cellStyle name="Moneda 2 3 2 5" xfId="7639" xr:uid="{787CA5A7-1375-498D-AF86-01D93569BB40}"/>
    <cellStyle name="Moneda 2 3 2 6" xfId="9311" xr:uid="{A4E6E0B7-AA74-4CB4-82EE-1EC090EDC746}"/>
    <cellStyle name="Moneda 2 3 3" xfId="3578" xr:uid="{BC8A2053-E4A4-4692-BC86-9A4DB969241B}"/>
    <cellStyle name="Moneda 2 3 3 2" xfId="4853" xr:uid="{AB55FAFC-7DC3-45DC-BD3A-C3045D0BC3B5}"/>
    <cellStyle name="Moneda 2 3 3 2 2" xfId="6526" xr:uid="{804EFCCC-950D-4734-AE4E-015C6AA760B0}"/>
    <cellStyle name="Moneda 2 3 3 2 3" xfId="8198" xr:uid="{1757C0A3-97D1-4E33-946D-D782DA88580E}"/>
    <cellStyle name="Moneda 2 3 3 3" xfId="5410" xr:uid="{2E3A40BB-D402-4EA1-8625-C5D7F82F21E6}"/>
    <cellStyle name="Moneda 2 3 3 3 2" xfId="7083" xr:uid="{5E916DD8-1549-4F8F-AA22-D246A6B349CC}"/>
    <cellStyle name="Moneda 2 3 3 3 3" xfId="8755" xr:uid="{B02B1676-2B9A-4E7F-8B7B-185D67FC99B6}"/>
    <cellStyle name="Moneda 2 3 3 4" xfId="5968" xr:uid="{C91D10D2-8EBC-4B5F-B77C-38749736DCF6}"/>
    <cellStyle name="Moneda 2 3 3 5" xfId="7640" xr:uid="{C90FBA22-1EA0-4895-AC57-C2B62B5296A3}"/>
    <cellStyle name="Moneda 2 3 3 6" xfId="9312" xr:uid="{1F132F94-7DD2-4B48-9D7F-D95BCC446163}"/>
    <cellStyle name="Moneda 2 3 4" xfId="3579" xr:uid="{BA9DD5E7-C99F-418B-BF50-3CBEECB66F1F}"/>
    <cellStyle name="Moneda 2 3 4 2" xfId="4854" xr:uid="{F28BD0F2-56F0-47FF-A197-DEED721CC28C}"/>
    <cellStyle name="Moneda 2 3 4 2 2" xfId="6527" xr:uid="{75607952-9B12-458C-8022-72CFE6D175F2}"/>
    <cellStyle name="Moneda 2 3 4 2 3" xfId="8199" xr:uid="{FA2BF930-15C7-4C56-BD72-D535C6A68B2B}"/>
    <cellStyle name="Moneda 2 3 4 3" xfId="5411" xr:uid="{643A38C5-59E5-4089-9E65-C47F38B8C8FD}"/>
    <cellStyle name="Moneda 2 3 4 3 2" xfId="7084" xr:uid="{5C0AAEFB-6136-4FE7-ABE8-B01885A1D4FB}"/>
    <cellStyle name="Moneda 2 3 4 3 3" xfId="8756" xr:uid="{D4E1ED5C-CD9B-4C5A-B116-7C9D03D89C34}"/>
    <cellStyle name="Moneda 2 3 4 4" xfId="5969" xr:uid="{720980CD-F070-4B1A-B95B-B0CD4F02E0C5}"/>
    <cellStyle name="Moneda 2 3 4 5" xfId="7641" xr:uid="{34B9F54C-DFF5-4215-BA5D-D6A8C0EC5436}"/>
    <cellStyle name="Moneda 2 3 4 6" xfId="9313" xr:uid="{7D6C8860-C0EC-4BC4-BA7F-2CA30043D199}"/>
    <cellStyle name="Moneda 2 3 5" xfId="3580" xr:uid="{63EFFF25-02CF-4CEF-9128-B4205F798B0C}"/>
    <cellStyle name="Moneda 2 3 5 2" xfId="4855" xr:uid="{587AF3E8-3237-4088-B373-3ABEFB0785E7}"/>
    <cellStyle name="Moneda 2 3 5 2 2" xfId="6528" xr:uid="{63F73962-F671-483D-87D0-03CD62A1404C}"/>
    <cellStyle name="Moneda 2 3 5 2 3" xfId="8200" xr:uid="{B9E09C55-9544-4804-B34D-57751A0656B5}"/>
    <cellStyle name="Moneda 2 3 5 3" xfId="5412" xr:uid="{7B42FCD2-BA6F-4ACF-98C8-3D72491F1B41}"/>
    <cellStyle name="Moneda 2 3 5 3 2" xfId="7085" xr:uid="{1B4F79DD-E8D8-4D2F-8E78-41D19899D579}"/>
    <cellStyle name="Moneda 2 3 5 3 3" xfId="8757" xr:uid="{23AE2138-3C89-4264-8734-4A2CA6520FB2}"/>
    <cellStyle name="Moneda 2 3 5 4" xfId="5970" xr:uid="{292AD363-D2A5-41CF-BCCF-2D7703ACCC36}"/>
    <cellStyle name="Moneda 2 3 5 5" xfId="7642" xr:uid="{9F2A755C-EB2E-4B2D-BF00-B4CD3E12E5DE}"/>
    <cellStyle name="Moneda 2 3 5 6" xfId="9314" xr:uid="{152DAFBF-CCCE-4E0F-9C1C-E1265152A952}"/>
    <cellStyle name="Moneda 2 3 6" xfId="3581" xr:uid="{F7B2512E-9979-4EA0-9498-CBBE7F66703D}"/>
    <cellStyle name="Moneda 2 3 6 2" xfId="4856" xr:uid="{88E3E902-ECBB-4F5B-ADA5-E69678FA209B}"/>
    <cellStyle name="Moneda 2 3 6 2 2" xfId="6529" xr:uid="{5ADE700D-DC0C-495C-BA9F-9F83570BE294}"/>
    <cellStyle name="Moneda 2 3 6 2 3" xfId="8201" xr:uid="{331BC827-4F2D-4993-923E-9E402E928929}"/>
    <cellStyle name="Moneda 2 3 6 3" xfId="5413" xr:uid="{B178A1CA-5BFF-4A72-9184-E096562EC69D}"/>
    <cellStyle name="Moneda 2 3 6 3 2" xfId="7086" xr:uid="{8CB1C71A-A91D-4D4B-AEA6-A2272594C02F}"/>
    <cellStyle name="Moneda 2 3 6 3 3" xfId="8758" xr:uid="{4D0CE55B-247E-4A80-B5CF-8191DB616D30}"/>
    <cellStyle name="Moneda 2 3 6 4" xfId="5971" xr:uid="{E2C280B2-E821-482A-A2AC-491F3226192A}"/>
    <cellStyle name="Moneda 2 3 6 5" xfId="7643" xr:uid="{78B13AF6-D02A-4664-ABCC-4933DBBE7C7D}"/>
    <cellStyle name="Moneda 2 3 6 6" xfId="9315" xr:uid="{F3399329-850E-4BAA-8321-D5ADC51D9E16}"/>
    <cellStyle name="Moneda 2 3 7" xfId="3582" xr:uid="{F2ECAD1D-C9AD-4D0F-A35C-643968AD91F0}"/>
    <cellStyle name="Moneda 2 3 7 2" xfId="4857" xr:uid="{37A05C9D-44CA-4CC4-A26D-C424250EC7D1}"/>
    <cellStyle name="Moneda 2 3 7 2 2" xfId="6530" xr:uid="{E718296C-E793-458A-BD9B-D5B65867F5E0}"/>
    <cellStyle name="Moneda 2 3 7 2 3" xfId="8202" xr:uid="{AFD389FE-AC4B-4B64-9E51-3059D7EA0D53}"/>
    <cellStyle name="Moneda 2 3 7 3" xfId="5414" xr:uid="{2E0C4D8F-8DB6-4C8C-9E84-53FB3CFE1B3A}"/>
    <cellStyle name="Moneda 2 3 7 3 2" xfId="7087" xr:uid="{1ED11591-7F03-4940-BA06-B271278E2EF1}"/>
    <cellStyle name="Moneda 2 3 7 3 3" xfId="8759" xr:uid="{AE3C2FFE-0449-446D-9049-CABED39FA074}"/>
    <cellStyle name="Moneda 2 3 7 4" xfId="5972" xr:uid="{E1262D3D-8623-4C86-85EE-B681F027620B}"/>
    <cellStyle name="Moneda 2 3 7 5" xfId="7644" xr:uid="{CF68BA0A-3603-4A31-8C80-79EB9226E56A}"/>
    <cellStyle name="Moneda 2 3 7 6" xfId="9316" xr:uid="{8F198C9F-BE6F-4F8E-8832-8306DE5735AF}"/>
    <cellStyle name="Moneda 2 3 8" xfId="3583" xr:uid="{9FB14964-A950-4B92-9558-983E614AC36D}"/>
    <cellStyle name="Moneda 2 3 8 2" xfId="4858" xr:uid="{8277C8F5-8076-4971-A801-D4D563D13045}"/>
    <cellStyle name="Moneda 2 3 8 2 2" xfId="6531" xr:uid="{5FCD6C2E-77FC-4C2B-B480-72A4A18834CF}"/>
    <cellStyle name="Moneda 2 3 8 2 3" xfId="8203" xr:uid="{9954CF6C-2E37-424D-8B47-AD7B33D8EBF5}"/>
    <cellStyle name="Moneda 2 3 8 3" xfId="5415" xr:uid="{60E24BCE-7FCD-445B-A564-024DBFB8DCFD}"/>
    <cellStyle name="Moneda 2 3 8 3 2" xfId="7088" xr:uid="{A3AABC8F-ADBA-45AD-87B1-55E3EC76BCDE}"/>
    <cellStyle name="Moneda 2 3 8 3 3" xfId="8760" xr:uid="{C418C563-0A3B-4A21-A8AC-BDF9E917DBE6}"/>
    <cellStyle name="Moneda 2 3 8 4" xfId="5973" xr:uid="{335612AB-1473-41F3-87E5-D9E917512B2C}"/>
    <cellStyle name="Moneda 2 3 8 5" xfId="7645" xr:uid="{9ECBA53F-DE43-4D8D-BC7A-7651C0CF27BB}"/>
    <cellStyle name="Moneda 2 3 8 6" xfId="9317" xr:uid="{A832CE96-6FB6-48FC-B74C-21C828DBA85E}"/>
    <cellStyle name="Moneda 2 3 9" xfId="3584" xr:uid="{7A9CCDCA-AEF0-4217-BF39-3A53B5087D00}"/>
    <cellStyle name="Moneda 2 3 9 2" xfId="4859" xr:uid="{5600E680-5A4E-4A24-BC0B-E9EE202E8458}"/>
    <cellStyle name="Moneda 2 3 9 2 2" xfId="6532" xr:uid="{3BDE875D-9772-48B5-B3DD-8C0456809D9E}"/>
    <cellStyle name="Moneda 2 3 9 2 3" xfId="8204" xr:uid="{1844EEB5-00F0-4DF7-8250-5250A1BE5AEF}"/>
    <cellStyle name="Moneda 2 3 9 3" xfId="5416" xr:uid="{C345AC6F-06A9-401A-963E-8DAB21F7D864}"/>
    <cellStyle name="Moneda 2 3 9 3 2" xfId="7089" xr:uid="{E0B088DE-17B6-4032-A637-9F6743F8D59B}"/>
    <cellStyle name="Moneda 2 3 9 3 3" xfId="8761" xr:uid="{03637B21-97A7-43B0-8BBD-44876266DCA9}"/>
    <cellStyle name="Moneda 2 3 9 4" xfId="5974" xr:uid="{A73BCD5B-12D4-499C-838C-63497A24D16E}"/>
    <cellStyle name="Moneda 2 3 9 5" xfId="7646" xr:uid="{69F742C8-4E0C-4A3A-9B51-FF63BF7E9ADB}"/>
    <cellStyle name="Moneda 2 3 9 6" xfId="9318" xr:uid="{C7EC61FB-1388-44F5-A4F9-842752104AB1}"/>
    <cellStyle name="Moneda 2 4" xfId="3585" xr:uid="{6CB1FA3D-8E63-4069-BBE7-70949E4C9025}"/>
    <cellStyle name="Moneda 2 4 10" xfId="3586" xr:uid="{4BBD6707-F8AC-4134-AE24-940C0CEC1DF1}"/>
    <cellStyle name="Moneda 2 4 10 2" xfId="4861" xr:uid="{28629FF9-BF4A-4741-998C-E694F479AF2D}"/>
    <cellStyle name="Moneda 2 4 10 2 2" xfId="6534" xr:uid="{D1BD3433-1F4B-4C5E-8972-4EC00AA036A2}"/>
    <cellStyle name="Moneda 2 4 10 2 3" xfId="8206" xr:uid="{E26722B0-B18D-4F17-9B58-EA17029ADB11}"/>
    <cellStyle name="Moneda 2 4 10 3" xfId="5418" xr:uid="{01F85994-77EE-448C-8B7C-86781CD1C6BB}"/>
    <cellStyle name="Moneda 2 4 10 3 2" xfId="7091" xr:uid="{283F2A77-DF76-4DC8-A2D7-955EE26630E0}"/>
    <cellStyle name="Moneda 2 4 10 3 3" xfId="8763" xr:uid="{6A5C0B21-4B6B-4782-A395-2DFDE65F710F}"/>
    <cellStyle name="Moneda 2 4 10 4" xfId="5976" xr:uid="{4D743179-7A50-43F7-A357-950B0868151F}"/>
    <cellStyle name="Moneda 2 4 10 5" xfId="7648" xr:uid="{3375A810-DC82-4861-AB24-BC1C486E2423}"/>
    <cellStyle name="Moneda 2 4 10 6" xfId="9320" xr:uid="{71C11F8B-630B-4297-97A9-EB7CDE5ABD75}"/>
    <cellStyle name="Moneda 2 4 11" xfId="4860" xr:uid="{B141BC2A-7B29-4BBB-8172-0E1BF7599133}"/>
    <cellStyle name="Moneda 2 4 11 2" xfId="6533" xr:uid="{02808AEF-BF8B-4A5B-B555-136F695844B7}"/>
    <cellStyle name="Moneda 2 4 11 3" xfId="8205" xr:uid="{7721EFD0-CFC8-49C3-B7DC-1A92DC93430A}"/>
    <cellStyle name="Moneda 2 4 12" xfId="5417" xr:uid="{B8769B34-E1DC-4EC9-A919-CC8289F5805D}"/>
    <cellStyle name="Moneda 2 4 12 2" xfId="7090" xr:uid="{70F3E289-4659-4899-BC25-E2A6B2AA707D}"/>
    <cellStyle name="Moneda 2 4 12 3" xfId="8762" xr:uid="{2FCE3F70-BF8C-4552-AE4D-D0E7F10EAACB}"/>
    <cellStyle name="Moneda 2 4 13" xfId="5975" xr:uid="{4231D487-79D7-452B-8A2A-AA616DBEDDE7}"/>
    <cellStyle name="Moneda 2 4 14" xfId="7647" xr:uid="{F83CB595-0340-4F4F-A9BA-EC1D9062E8E9}"/>
    <cellStyle name="Moneda 2 4 15" xfId="9319" xr:uid="{CCCB1817-B4E0-4FDC-A056-22D5B3BC717C}"/>
    <cellStyle name="Moneda 2 4 2" xfId="3587" xr:uid="{74A7F4FF-BD57-4BB2-B292-0034F2F9D77F}"/>
    <cellStyle name="Moneda 2 4 2 2" xfId="4862" xr:uid="{97FC9DAB-E14F-47E6-8ECF-21FAEDD9F1F8}"/>
    <cellStyle name="Moneda 2 4 2 2 2" xfId="6535" xr:uid="{9166432B-52B4-4F71-901D-516914D836DE}"/>
    <cellStyle name="Moneda 2 4 2 2 3" xfId="8207" xr:uid="{09777BD3-AE3A-4541-B6DC-2EFB0EB4FE4C}"/>
    <cellStyle name="Moneda 2 4 2 3" xfId="5419" xr:uid="{D359DF8E-242A-4DAD-9BCD-E96D1FAAFD3F}"/>
    <cellStyle name="Moneda 2 4 2 3 2" xfId="7092" xr:uid="{F48E385D-66C6-4F5D-A350-930813CEE464}"/>
    <cellStyle name="Moneda 2 4 2 3 3" xfId="8764" xr:uid="{B93CFE77-6C88-436A-A789-FE40A4C58D70}"/>
    <cellStyle name="Moneda 2 4 2 4" xfId="5977" xr:uid="{83C90F18-E4B6-480D-8E3C-BFA8C72A93F0}"/>
    <cellStyle name="Moneda 2 4 2 5" xfId="7649" xr:uid="{42263E52-F898-4685-8BF8-1AB6E7EEB2AF}"/>
    <cellStyle name="Moneda 2 4 2 6" xfId="9321" xr:uid="{3D7015C8-7B33-4C2B-9B0D-82FCF68AC633}"/>
    <cellStyle name="Moneda 2 4 3" xfId="3588" xr:uid="{20994146-2B47-4DE8-9B70-26DBFED8E29E}"/>
    <cellStyle name="Moneda 2 4 3 2" xfId="4863" xr:uid="{3C01D9ED-BB39-419A-B985-5854E29CF5C9}"/>
    <cellStyle name="Moneda 2 4 3 2 2" xfId="6536" xr:uid="{A21D4EC2-8593-4658-9053-0B925C5A0D5E}"/>
    <cellStyle name="Moneda 2 4 3 2 3" xfId="8208" xr:uid="{77C1F907-3FC2-4C54-A1B5-90DA65046F82}"/>
    <cellStyle name="Moneda 2 4 3 3" xfId="5420" xr:uid="{FFDE8FFB-5387-4A92-B354-92CB2E4B5229}"/>
    <cellStyle name="Moneda 2 4 3 3 2" xfId="7093" xr:uid="{FE24952F-D3C1-4751-9C99-131EBA451280}"/>
    <cellStyle name="Moneda 2 4 3 3 3" xfId="8765" xr:uid="{9B24DE90-C993-41D5-B2B6-4187503B7848}"/>
    <cellStyle name="Moneda 2 4 3 4" xfId="5978" xr:uid="{043039CB-32A0-4996-AAE0-54D76E61655C}"/>
    <cellStyle name="Moneda 2 4 3 5" xfId="7650" xr:uid="{D98A2C1A-A852-4B15-BE96-B5BB32ABD705}"/>
    <cellStyle name="Moneda 2 4 3 6" xfId="9322" xr:uid="{B9227EF2-C2F9-439C-9256-B85EA6C0189B}"/>
    <cellStyle name="Moneda 2 4 4" xfId="3589" xr:uid="{E6FB6C5E-933F-4918-A86A-35ED4E98F5B3}"/>
    <cellStyle name="Moneda 2 4 4 2" xfId="4864" xr:uid="{9711DFEC-0B28-4D87-A343-40E970D388C0}"/>
    <cellStyle name="Moneda 2 4 4 2 2" xfId="6537" xr:uid="{FC61BFAE-426D-4149-B610-782B074931FD}"/>
    <cellStyle name="Moneda 2 4 4 2 3" xfId="8209" xr:uid="{5D097D02-22B6-48E2-8C46-07E21951EFBD}"/>
    <cellStyle name="Moneda 2 4 4 3" xfId="5421" xr:uid="{F0FEBE7E-3C72-47FF-8111-4FDF09D6AAFA}"/>
    <cellStyle name="Moneda 2 4 4 3 2" xfId="7094" xr:uid="{F3AFEF8C-11D5-459B-81C6-ADD67AA80AAA}"/>
    <cellStyle name="Moneda 2 4 4 3 3" xfId="8766" xr:uid="{7D8A3BBE-53C6-47FA-A8D5-C99A1DFA16B6}"/>
    <cellStyle name="Moneda 2 4 4 4" xfId="5979" xr:uid="{75D1B0A5-551C-4BEE-8414-903068673EA4}"/>
    <cellStyle name="Moneda 2 4 4 5" xfId="7651" xr:uid="{9D7265E7-D6B5-44E3-B033-C3E11DF2B4B9}"/>
    <cellStyle name="Moneda 2 4 4 6" xfId="9323" xr:uid="{A0D9E763-1AB6-4B7B-BD53-BF0432BA7097}"/>
    <cellStyle name="Moneda 2 4 5" xfId="3590" xr:uid="{9563C760-C4C3-48B4-B623-D05AEAA7282A}"/>
    <cellStyle name="Moneda 2 4 5 2" xfId="4865" xr:uid="{7C63C5B2-05A9-4035-8DFB-F725A482487A}"/>
    <cellStyle name="Moneda 2 4 5 2 2" xfId="6538" xr:uid="{46515905-627E-4252-AF1A-8373943FD0F7}"/>
    <cellStyle name="Moneda 2 4 5 2 3" xfId="8210" xr:uid="{9855B228-64A7-47D4-9272-612F13F6003A}"/>
    <cellStyle name="Moneda 2 4 5 3" xfId="5422" xr:uid="{4D9A75CE-DF7A-44DD-A78B-3A27EAC2FF45}"/>
    <cellStyle name="Moneda 2 4 5 3 2" xfId="7095" xr:uid="{C133B8BD-A9F1-421C-992B-6860B9802E77}"/>
    <cellStyle name="Moneda 2 4 5 3 3" xfId="8767" xr:uid="{334E0CE3-1D9D-4546-AA25-AB8A5781CFD4}"/>
    <cellStyle name="Moneda 2 4 5 4" xfId="5980" xr:uid="{8E3794BA-D493-4DC3-B169-267103CA9A88}"/>
    <cellStyle name="Moneda 2 4 5 5" xfId="7652" xr:uid="{A4B9D638-4E30-4875-86F2-E93402B64153}"/>
    <cellStyle name="Moneda 2 4 5 6" xfId="9324" xr:uid="{4DFE49D5-6E4C-44B5-B19C-8007A0795375}"/>
    <cellStyle name="Moneda 2 4 6" xfId="3591" xr:uid="{70E57A30-31AA-4CC6-AEAB-134D1CBF1D2A}"/>
    <cellStyle name="Moneda 2 4 6 2" xfId="4866" xr:uid="{C17E1723-B5C3-4922-A78B-1CB059D1C568}"/>
    <cellStyle name="Moneda 2 4 6 2 2" xfId="6539" xr:uid="{CF651C19-1003-41A0-9FDE-F2F67BBFE5D7}"/>
    <cellStyle name="Moneda 2 4 6 2 3" xfId="8211" xr:uid="{3A556DA1-1D7D-4B95-A83A-990BBB11613C}"/>
    <cellStyle name="Moneda 2 4 6 3" xfId="5423" xr:uid="{713E8F7A-4085-42E5-96F7-5E2B9104F0D0}"/>
    <cellStyle name="Moneda 2 4 6 3 2" xfId="7096" xr:uid="{001C0494-5984-47D0-8AB2-00234301A8A3}"/>
    <cellStyle name="Moneda 2 4 6 3 3" xfId="8768" xr:uid="{8AF7CC5A-8CA2-400C-9725-14A5E3A47969}"/>
    <cellStyle name="Moneda 2 4 6 4" xfId="5981" xr:uid="{ABC7FB1C-EF8A-4687-A73F-7FB2D6722381}"/>
    <cellStyle name="Moneda 2 4 6 5" xfId="7653" xr:uid="{89B49DD1-649F-4172-B892-DF6341615A91}"/>
    <cellStyle name="Moneda 2 4 6 6" xfId="9325" xr:uid="{5A8ACEB6-DD92-4A8D-AB57-5F46BCC16603}"/>
    <cellStyle name="Moneda 2 4 7" xfId="3592" xr:uid="{F3187B1C-5720-42F5-B7B0-C9847C5849AC}"/>
    <cellStyle name="Moneda 2 4 7 2" xfId="4867" xr:uid="{A17399FC-D905-4BE8-BAD1-A2D6743EA9BC}"/>
    <cellStyle name="Moneda 2 4 7 2 2" xfId="6540" xr:uid="{B15840F0-B6A5-432C-A17D-FD3C092CD3C0}"/>
    <cellStyle name="Moneda 2 4 7 2 3" xfId="8212" xr:uid="{F3AEE3E9-C224-4341-8836-536BD4320CFC}"/>
    <cellStyle name="Moneda 2 4 7 3" xfId="5424" xr:uid="{531CEEFD-06AF-4F52-B5F3-827BE64199AF}"/>
    <cellStyle name="Moneda 2 4 7 3 2" xfId="7097" xr:uid="{3201C07E-E6AB-4364-ACE8-060C1B2A952C}"/>
    <cellStyle name="Moneda 2 4 7 3 3" xfId="8769" xr:uid="{AEA5FD5B-3E26-4CC2-8D63-47427A7954A1}"/>
    <cellStyle name="Moneda 2 4 7 4" xfId="5982" xr:uid="{E73DEEB1-4395-4F62-8B0F-4ABC5B106975}"/>
    <cellStyle name="Moneda 2 4 7 5" xfId="7654" xr:uid="{4A06479A-EA3A-4C71-BA73-A6C46A060FD1}"/>
    <cellStyle name="Moneda 2 4 7 6" xfId="9326" xr:uid="{6D8DBC1D-031C-4A8E-B46D-71F7460A3F98}"/>
    <cellStyle name="Moneda 2 4 8" xfId="3593" xr:uid="{95057A41-387F-4EF0-BACA-0C50BD140E18}"/>
    <cellStyle name="Moneda 2 4 8 2" xfId="4868" xr:uid="{5A7F3799-EDC8-41EC-A7A8-8EC02B3678B7}"/>
    <cellStyle name="Moneda 2 4 8 2 2" xfId="6541" xr:uid="{45AA3070-0A1B-4C36-8FE7-52E23B7D32B5}"/>
    <cellStyle name="Moneda 2 4 8 2 3" xfId="8213" xr:uid="{23A34213-976D-4DDA-BDA6-CF9B39293342}"/>
    <cellStyle name="Moneda 2 4 8 3" xfId="5425" xr:uid="{5CD722FD-0F3B-4260-90B0-101748494E48}"/>
    <cellStyle name="Moneda 2 4 8 3 2" xfId="7098" xr:uid="{42A3EBEE-4DFB-4A24-B385-B8899CAD84E4}"/>
    <cellStyle name="Moneda 2 4 8 3 3" xfId="8770" xr:uid="{14FC8A3B-AC57-44BE-9F8B-A2C84B7E5331}"/>
    <cellStyle name="Moneda 2 4 8 4" xfId="5983" xr:uid="{66A0ED12-1CEE-4D74-B5FE-1468FB8F3350}"/>
    <cellStyle name="Moneda 2 4 8 5" xfId="7655" xr:uid="{B88E8304-B774-44F5-8467-93348224800D}"/>
    <cellStyle name="Moneda 2 4 8 6" xfId="9327" xr:uid="{C611CE3C-ED49-4CB9-BCE4-0CB6901A8253}"/>
    <cellStyle name="Moneda 2 4 9" xfId="3594" xr:uid="{74203054-5D2A-4D7F-9A4C-7CD044F74C48}"/>
    <cellStyle name="Moneda 2 4 9 2" xfId="4869" xr:uid="{ACAC8397-988F-41BA-8F3F-270266F9E1C2}"/>
    <cellStyle name="Moneda 2 4 9 2 2" xfId="6542" xr:uid="{559441C2-C0B9-402C-87B8-5ECD6E30F9C4}"/>
    <cellStyle name="Moneda 2 4 9 2 3" xfId="8214" xr:uid="{55EFA185-7D8B-4B9D-AEE1-BC51A5721860}"/>
    <cellStyle name="Moneda 2 4 9 3" xfId="5426" xr:uid="{C3B519A1-355B-4616-98AD-5AD942F7315E}"/>
    <cellStyle name="Moneda 2 4 9 3 2" xfId="7099" xr:uid="{E6FB225C-3C15-4D47-BB85-E67CD668AC2F}"/>
    <cellStyle name="Moneda 2 4 9 3 3" xfId="8771" xr:uid="{89C4136A-8AB6-4A42-AADA-8B5BAC0C1AAE}"/>
    <cellStyle name="Moneda 2 4 9 4" xfId="5984" xr:uid="{50D346BD-B40F-47E0-B205-805030F0150A}"/>
    <cellStyle name="Moneda 2 4 9 5" xfId="7656" xr:uid="{0D202DAA-50CA-4538-9D10-28612835C6A7}"/>
    <cellStyle name="Moneda 2 4 9 6" xfId="9328" xr:uid="{EAA6AB97-DFC6-466B-BA67-D208DB8D1363}"/>
    <cellStyle name="Moneda 2 5" xfId="3595" xr:uid="{7CADE264-C218-437C-8D50-27AC89513541}"/>
    <cellStyle name="Moneda 2 5 2" xfId="4870" xr:uid="{51368998-A059-41FB-A8D5-9A88D7804062}"/>
    <cellStyle name="Moneda 2 5 2 2" xfId="6543" xr:uid="{2CDC7F87-D293-40AF-88D5-84C355CF5ED7}"/>
    <cellStyle name="Moneda 2 5 2 3" xfId="8215" xr:uid="{F3ADC675-6C54-4DAE-B2D9-51912F73FB13}"/>
    <cellStyle name="Moneda 2 5 3" xfId="5427" xr:uid="{A45B26EC-C3CA-4BC7-A9DB-73546A5444CC}"/>
    <cellStyle name="Moneda 2 5 3 2" xfId="7100" xr:uid="{13FDB3F3-3E40-475C-B9BD-E728932A2614}"/>
    <cellStyle name="Moneda 2 5 3 3" xfId="8772" xr:uid="{FEEC978B-9664-4081-88AE-B195643CC530}"/>
    <cellStyle name="Moneda 2 5 4" xfId="5985" xr:uid="{17E86370-6F10-4A3E-AD56-9E86D98DDE94}"/>
    <cellStyle name="Moneda 2 5 5" xfId="7657" xr:uid="{E1965ED9-6CA5-4D82-96E5-2CD7AD697CAD}"/>
    <cellStyle name="Moneda 2 5 6" xfId="9329" xr:uid="{3A42BC8D-76BD-46F7-81CC-A619895E8FCF}"/>
    <cellStyle name="Moneda 2 6" xfId="3596" xr:uid="{0E756C3F-B05C-4B68-A0DD-79D0992E85E8}"/>
    <cellStyle name="Moneda 2 6 2" xfId="4871" xr:uid="{ADB0DF68-9326-44F9-BB19-5C114E09BAB2}"/>
    <cellStyle name="Moneda 2 6 2 2" xfId="6544" xr:uid="{D4022275-7FBC-4FA0-AB76-0D718CEA3911}"/>
    <cellStyle name="Moneda 2 6 2 3" xfId="8216" xr:uid="{E2B10A81-3A9B-49CF-B0F3-8A173A9D8F45}"/>
    <cellStyle name="Moneda 2 6 3" xfId="5428" xr:uid="{06F1492E-C273-4C90-A855-96E74BFCB909}"/>
    <cellStyle name="Moneda 2 6 3 2" xfId="7101" xr:uid="{3A84DE3B-2C2F-48ED-A883-CC7C604785C9}"/>
    <cellStyle name="Moneda 2 6 3 3" xfId="8773" xr:uid="{19DCFF29-EDA3-4EA2-A501-2F4ED8EDB701}"/>
    <cellStyle name="Moneda 2 6 4" xfId="5986" xr:uid="{8AC98980-55A5-4CF0-91CD-2C33E28EA01B}"/>
    <cellStyle name="Moneda 2 6 5" xfId="7658" xr:uid="{41A41315-5D22-40C8-9B7B-BA95B1927B36}"/>
    <cellStyle name="Moneda 2 6 6" xfId="9330" xr:uid="{7C85DDC2-EBA6-4176-A80D-4666D210A010}"/>
    <cellStyle name="Moneda 2 7" xfId="3597" xr:uid="{475D896D-0B2F-4E92-8029-870553EA52DC}"/>
    <cellStyle name="Moneda 2 7 2" xfId="4872" xr:uid="{204FF94B-13BE-427C-B525-EA988CCE5C38}"/>
    <cellStyle name="Moneda 2 7 2 2" xfId="6545" xr:uid="{A260F392-5CEF-4F0F-B0EC-8A6E66149DEB}"/>
    <cellStyle name="Moneda 2 7 2 3" xfId="8217" xr:uid="{8E1EB7E8-3E8E-443F-B7CA-7A06B2F2D37C}"/>
    <cellStyle name="Moneda 2 7 3" xfId="5429" xr:uid="{9C45D2F8-AB4C-41C8-8E8C-4BD55FF7D9BC}"/>
    <cellStyle name="Moneda 2 7 3 2" xfId="7102" xr:uid="{125A78A7-2150-4A21-9501-92970875B7DE}"/>
    <cellStyle name="Moneda 2 7 3 3" xfId="8774" xr:uid="{3BD373C3-2E38-4F56-BE7B-3848D105F387}"/>
    <cellStyle name="Moneda 2 7 4" xfId="5987" xr:uid="{8B1AD9FA-516B-4A7F-B421-D21E0AC24B0D}"/>
    <cellStyle name="Moneda 2 7 5" xfId="7659" xr:uid="{9549457C-B7C8-4655-A6EA-57D210278CAD}"/>
    <cellStyle name="Moneda 2 7 6" xfId="9331" xr:uid="{FC026C17-3BA1-4EC0-9F2C-8AF6428DA84B}"/>
    <cellStyle name="Moneda 2 8" xfId="3598" xr:uid="{CE09AF73-9C2F-4D19-948C-C9A41D3AA2BB}"/>
    <cellStyle name="Moneda 2 8 2" xfId="4873" xr:uid="{E33868D2-42DE-48A3-A328-4FE06EBDE6AF}"/>
    <cellStyle name="Moneda 2 8 2 2" xfId="6546" xr:uid="{8684F8E2-4D2E-4B08-A7AA-3B4381EA38C0}"/>
    <cellStyle name="Moneda 2 8 2 3" xfId="8218" xr:uid="{D3DEC5FA-A528-46E9-B2A8-54741C2E09BA}"/>
    <cellStyle name="Moneda 2 8 3" xfId="5430" xr:uid="{76382C87-DA55-4E41-A56E-47820AE4428F}"/>
    <cellStyle name="Moneda 2 8 3 2" xfId="7103" xr:uid="{C074A59D-83F3-4FEF-94B4-2AFCE666D207}"/>
    <cellStyle name="Moneda 2 8 3 3" xfId="8775" xr:uid="{CA9AEE9E-C568-4CB5-97CE-07E19833AF5B}"/>
    <cellStyle name="Moneda 2 8 4" xfId="5988" xr:uid="{C642B491-31C0-4F94-962A-F43167E9F64F}"/>
    <cellStyle name="Moneda 2 8 5" xfId="7660" xr:uid="{97EE89A9-2DDA-46E0-B087-530F9BEBAC3C}"/>
    <cellStyle name="Moneda 2 8 6" xfId="9332" xr:uid="{84321599-4A47-4693-A43C-30A20F4EB33E}"/>
    <cellStyle name="Moneda 2 9" xfId="3599" xr:uid="{B2B5E2D2-E703-4DFA-BA00-73D0489523E6}"/>
    <cellStyle name="Moneda 2 9 2" xfId="4874" xr:uid="{B519C6C7-C7AB-40F9-B45E-D6CE46FDEDD5}"/>
    <cellStyle name="Moneda 2 9 2 2" xfId="6547" xr:uid="{7C0D2413-6CC9-467F-8CEA-B382DD0013C3}"/>
    <cellStyle name="Moneda 2 9 2 3" xfId="8219" xr:uid="{DB0D22D6-7AA1-4A3D-9C9C-4EC9038B9BE6}"/>
    <cellStyle name="Moneda 2 9 3" xfId="5431" xr:uid="{8EBE7B99-633F-464A-9D59-F5D80761101D}"/>
    <cellStyle name="Moneda 2 9 3 2" xfId="7104" xr:uid="{687F0E2A-CA82-4FF5-A852-C2A1F6E45BE4}"/>
    <cellStyle name="Moneda 2 9 3 3" xfId="8776" xr:uid="{2455C441-01C2-4295-83BA-F46D3FF5ECDD}"/>
    <cellStyle name="Moneda 2 9 4" xfId="5989" xr:uid="{9173E5EF-3731-40C1-8B5A-545F7B6F360A}"/>
    <cellStyle name="Moneda 2 9 5" xfId="7661" xr:uid="{A4881C24-BE76-48FE-8ACC-E3406FBE7C07}"/>
    <cellStyle name="Moneda 2 9 6" xfId="9333" xr:uid="{187A79BF-8B45-40D2-A865-F03CB0ADDC8D}"/>
    <cellStyle name="Moneda 3" xfId="4321" xr:uid="{BA330433-F460-454D-B273-711CED7C8291}"/>
    <cellStyle name="Moneda 3 2" xfId="5994" xr:uid="{E25F0D80-39D1-4A9C-B3EA-BF439C5F8E59}"/>
    <cellStyle name="Moneda 3 3" xfId="7666" xr:uid="{C8A3A48A-6E08-4C3E-B83C-3785F1E68126}"/>
    <cellStyle name="Moneda 4" xfId="4323" xr:uid="{962B65B9-1459-452F-8B10-13DDFAD2E611}"/>
    <cellStyle name="Moneda 4 2" xfId="5996" xr:uid="{CFE0BDB7-5909-4C46-BBC8-F0B79B6DCA5F}"/>
    <cellStyle name="Moneda 4 3" xfId="7668" xr:uid="{CAE59578-5904-4810-A73E-B0ED91BD6CE9}"/>
    <cellStyle name="Moneda 5" xfId="4880" xr:uid="{C272A037-7641-4745-B649-D51ADAA26F9C}"/>
    <cellStyle name="Moneda 5 2" xfId="6553" xr:uid="{FE4591E4-0287-45A6-ADBC-D255A69E34FF}"/>
    <cellStyle name="Moneda 5 3" xfId="8225" xr:uid="{14534445-26CE-4140-9A01-02FDA3D2C7C4}"/>
    <cellStyle name="Moneda 6" xfId="5438" xr:uid="{4936535A-CA2D-406B-A8BB-40999F11CA61}"/>
    <cellStyle name="Moneda 7" xfId="7110" xr:uid="{32588CE2-522F-4B77-8426-0316BFAA419D}"/>
    <cellStyle name="Moneda 8" xfId="8782" xr:uid="{146972E5-8B6B-49C8-8562-FEAB0E3CB048}"/>
    <cellStyle name="Moneda 9" xfId="7" xr:uid="{CE118F48-D51D-437B-8241-685E0505830E}"/>
    <cellStyle name="Monétaire [0]_!!!GO" xfId="3600" xr:uid="{4E1DCC49-9EE9-48FF-85E6-FFE384D29399}"/>
    <cellStyle name="Monétaire_!!!GO" xfId="3601" xr:uid="{6BB2CCC4-F5C7-4DA0-8C30-833A0FC04AE6}"/>
    <cellStyle name="Neutral 2" xfId="3602" xr:uid="{CBCEF7B9-8F6B-486B-A205-33DC03612B79}"/>
    <cellStyle name="Neutral 2 2" xfId="3603" xr:uid="{9D8967E7-16E8-4C19-BA23-6C3F76452D56}"/>
    <cellStyle name="Neutral 2 3" xfId="3604" xr:uid="{B5C98903-BE02-498C-9E21-B5120F598AA3}"/>
    <cellStyle name="Neutral 2 4" xfId="3605" xr:uid="{B786B4CC-3534-45DC-9A85-4E3DA393D077}"/>
    <cellStyle name="Neutral 2 5" xfId="3606" xr:uid="{76C2E36E-8343-4594-9DF2-AFC7019ED9CC}"/>
    <cellStyle name="Neutral 3" xfId="3607" xr:uid="{F08C77A1-4445-4C84-A25B-B2AFADE97659}"/>
    <cellStyle name="Neutral 4" xfId="3608" xr:uid="{33888AB8-A15C-4274-A98D-14A0EC914517}"/>
    <cellStyle name="Neutral 5" xfId="3609" xr:uid="{14010B4D-53A5-47C7-8DBE-64918370F7AB}"/>
    <cellStyle name="Neutral 6" xfId="3610" xr:uid="{18519825-83D2-4F19-87F7-B96FB9313912}"/>
    <cellStyle name="New Times Roman" xfId="3611" xr:uid="{A0766731-ADB8-44DB-8E49-3984949B9149}"/>
    <cellStyle name="no dec" xfId="3612" xr:uid="{7E731EDE-A45C-4BD2-A96A-34F8A57C599A}"/>
    <cellStyle name="Normal" xfId="0" builtinId="0"/>
    <cellStyle name="Normal - Estilo1" xfId="3613" xr:uid="{A9DB7A73-D009-48AD-AFDB-DC989A0C53CD}"/>
    <cellStyle name="Normal - Estilo2" xfId="3614" xr:uid="{027BF9E8-15C8-488C-87C7-DE577988B288}"/>
    <cellStyle name="Normal - Estilo3" xfId="3615" xr:uid="{41FC760C-0722-44D6-B80D-9EBB65B749FF}"/>
    <cellStyle name="Normal - Estilo4" xfId="3616" xr:uid="{B039CF6F-19FF-42A1-8024-F2DCC4DD9052}"/>
    <cellStyle name="Normal - Estilo5" xfId="3617" xr:uid="{D9A272B8-456C-4F6F-A453-8F70404FBD50}"/>
    <cellStyle name="Normal - Estilo6" xfId="3618" xr:uid="{F30BB7CB-BF7F-4C66-AF97-8F2AE42C8FEA}"/>
    <cellStyle name="Normal - Estilo7" xfId="3619" xr:uid="{BA0219B8-3B70-4F08-A738-73D6824D89BF}"/>
    <cellStyle name="Normal - Estilo8" xfId="3620" xr:uid="{410A6408-45DC-4A8A-BDAE-06683E63C6D1}"/>
    <cellStyle name="Normal - Style1" xfId="3621" xr:uid="{BD6C0AA1-8CD0-4014-86F3-C11D57A6CB33}"/>
    <cellStyle name="Normal 10" xfId="3622" xr:uid="{15474627-C6A3-4B99-B35D-4C59BD6200FD}"/>
    <cellStyle name="Normal 11" xfId="3623" xr:uid="{4189E1B7-F875-4392-AE9B-655182FF79A9}"/>
    <cellStyle name="Normal 12" xfId="3624" xr:uid="{255258CE-4EA9-490D-887D-6C780C8923EB}"/>
    <cellStyle name="Normal 13" xfId="3625" xr:uid="{E58CEE72-1F55-412A-80CE-2A512CA76C94}"/>
    <cellStyle name="Normal 14" xfId="3626" xr:uid="{28A42897-1DFD-4894-85D2-E6725EFCC6CB}"/>
    <cellStyle name="Normal 15" xfId="3627" xr:uid="{53C93D95-E9AC-4868-BC91-829F06E26B8C}"/>
    <cellStyle name="Normal 16" xfId="3628" xr:uid="{5AA3D412-DEDD-416E-834A-F6095ABD879E}"/>
    <cellStyle name="Normal 17" xfId="3629" xr:uid="{E16A122A-35FD-4E76-B0FF-8969AB6DD8EA}"/>
    <cellStyle name="Normal 18" xfId="3630" xr:uid="{685A4CF7-24AD-4171-B1B5-5CE479FF13AC}"/>
    <cellStyle name="Normal 19" xfId="3631" xr:uid="{BB0E1E5B-AA53-47E8-AD92-A3E0E6120327}"/>
    <cellStyle name="Normal 2" xfId="3632" xr:uid="{31914532-1C12-4F19-8657-5E4D7275E02E}"/>
    <cellStyle name="Normal 2 10" xfId="3633" xr:uid="{A138D7A8-EF6F-4AB9-BF6E-F4CAE04CEC9D}"/>
    <cellStyle name="Normal 2 11" xfId="3634" xr:uid="{6BB6741B-520D-4C63-B23E-4E8C0B61E5A1}"/>
    <cellStyle name="Normal 2 12" xfId="3635" xr:uid="{C54C78E4-A83C-4619-9758-EDF98078061C}"/>
    <cellStyle name="Normal 2 13" xfId="3636" xr:uid="{90CDEAF1-357F-4BDE-B848-4CE2FB8E379D}"/>
    <cellStyle name="Normal 2 14" xfId="3637" xr:uid="{29994D82-4AEC-436C-BEBA-1ED2D3486123}"/>
    <cellStyle name="Normal 2 15" xfId="3638" xr:uid="{E5079704-262D-4548-89A3-1D8D0143BB61}"/>
    <cellStyle name="Normal 2 16" xfId="3639" xr:uid="{337A8471-DEF7-466B-A1CC-A14E1A429936}"/>
    <cellStyle name="Normal 2 16 2" xfId="3640" xr:uid="{717C3CC1-9E17-4EFD-BF44-704D8BF0B28B}"/>
    <cellStyle name="Normal 2 16 3" xfId="3641" xr:uid="{6E4FF00F-0F48-4D30-B515-1226577BF533}"/>
    <cellStyle name="Normal 2 16 4" xfId="3642" xr:uid="{F144D232-FE90-488F-BDCD-617DF8EEF342}"/>
    <cellStyle name="Normal 2 17" xfId="9341" xr:uid="{866649D1-A13E-415E-9F40-EA57A671BDF3}"/>
    <cellStyle name="Normal 2 2" xfId="3643" xr:uid="{0E7D5320-2C24-44AE-BBE6-77CB9D9784B3}"/>
    <cellStyle name="Normal 2 2 10" xfId="3644" xr:uid="{4DD3ADA7-2019-4AAB-8B0A-07EA8AEA432C}"/>
    <cellStyle name="Normal 2 2 11" xfId="3645" xr:uid="{8F36E7EE-2FCC-42AC-BEE0-B91B1022A6D1}"/>
    <cellStyle name="Normal 2 2 12" xfId="3646" xr:uid="{864D2655-EF1C-42C7-8012-B6ED6D632086}"/>
    <cellStyle name="Normal 2 2 13" xfId="3647" xr:uid="{CF256E4A-9014-42D7-B966-39CEA2356B2F}"/>
    <cellStyle name="Normal 2 2 14" xfId="3648" xr:uid="{EABF5116-2975-42E1-8A35-7B40F40CC116}"/>
    <cellStyle name="Normal 2 2 15" xfId="3649" xr:uid="{DBF07CEC-9D23-44B5-9FFE-5A29423954FC}"/>
    <cellStyle name="Normal 2 2 16" xfId="3650" xr:uid="{9241D2A4-5DA4-4538-9114-B9ADA8AE5DD1}"/>
    <cellStyle name="Normal 2 2 17" xfId="3651" xr:uid="{6C0C67DE-38DF-4435-AE9F-961A1CEFAC74}"/>
    <cellStyle name="Normal 2 2 18" xfId="3652" xr:uid="{C5DC3C6F-1E55-4932-AC51-FC1620C13338}"/>
    <cellStyle name="Normal 2 2 19" xfId="3653" xr:uid="{9CE7A1D9-04EE-4F00-A990-3A14B25A8609}"/>
    <cellStyle name="Normal 2 2 2" xfId="3654" xr:uid="{079B2203-8C6C-44C7-9603-33334BA9CABE}"/>
    <cellStyle name="Normal 2 2 2 10" xfId="3655" xr:uid="{80DDF7C0-F105-44E0-AA63-C94C2322157F}"/>
    <cellStyle name="Normal 2 2 2 11" xfId="3656" xr:uid="{B44B8CBC-08B3-4375-AC32-CB6EAC8FCDCF}"/>
    <cellStyle name="Normal 2 2 2 12" xfId="9342" xr:uid="{475BF82E-7A93-4D94-8012-CD3CFFBCDE1A}"/>
    <cellStyle name="Normal 2 2 2 2" xfId="3657" xr:uid="{CD40245A-FE33-4774-BC41-3F378FCA9610}"/>
    <cellStyle name="Normal 2 2 2 2 10" xfId="3658" xr:uid="{3C040D6F-82F1-4D12-9156-22D4A072CFCF}"/>
    <cellStyle name="Normal 2 2 2 2 2" xfId="3659" xr:uid="{9221E0E4-BB4F-4D85-BAAA-FFA92D203DA1}"/>
    <cellStyle name="Normal 2 2 2 2 2 2" xfId="3660" xr:uid="{7D8B2BEC-B325-4C87-B69E-6F95FF3B7ED2}"/>
    <cellStyle name="Normal 2 2 2 2 2 2 2" xfId="3661" xr:uid="{14532549-994B-434D-BFDE-90A8C39FB8D8}"/>
    <cellStyle name="Normal 2 2 2 2 2 2 2 2" xfId="3662" xr:uid="{E6E8A317-4C6E-4854-83EB-F32DA12EF8DF}"/>
    <cellStyle name="Normal 2 2 2 2 2 2 2 2 2" xfId="3663" xr:uid="{1E64073D-7347-43AC-A04D-87FFC8E3FCB7}"/>
    <cellStyle name="Normal 2 2 2 2 2 2 2 3" xfId="3664" xr:uid="{5B69DC54-2ABB-44EE-8293-A1A9A06E61BF}"/>
    <cellStyle name="Normal 2 2 2 2 2 2 2 4" xfId="3665" xr:uid="{6683A1C9-A23C-45DC-B4C5-2BEB79F8F19F}"/>
    <cellStyle name="Normal 2 2 2 2 2 2 2 5" xfId="3666" xr:uid="{FF6225CC-481D-426A-A5CF-76DD9E535D2F}"/>
    <cellStyle name="Normal 2 2 2 2 2 2 3" xfId="3667" xr:uid="{C295F5E4-FADF-4C71-98BC-4613C993CAF5}"/>
    <cellStyle name="Normal 2 2 2 2 2 2 4" xfId="3668" xr:uid="{529E562E-5B4F-4B54-83A4-C4E6315A9C75}"/>
    <cellStyle name="Normal 2 2 2 2 2 2 5" xfId="3669" xr:uid="{BE05300E-DEC9-49DA-8E95-3D1714B498D5}"/>
    <cellStyle name="Normal 2 2 2 2 2 2 6" xfId="3670" xr:uid="{77BDE9FF-325F-4283-BBA6-52285863D388}"/>
    <cellStyle name="Normal 2 2 2 2 2 3" xfId="3671" xr:uid="{829FFD8A-121D-4F9E-B159-9394D0B24FAC}"/>
    <cellStyle name="Normal 2 2 2 2 2 4" xfId="3672" xr:uid="{0631AB6F-5A4A-44DB-8C2D-5A9EABB8F75B}"/>
    <cellStyle name="Normal 2 2 2 2 2 5" xfId="3673" xr:uid="{55A114F6-B5F2-477F-9226-F09152006F9E}"/>
    <cellStyle name="Normal 2 2 2 2 2 6" xfId="3674" xr:uid="{CC8B25EF-959D-43F2-AADC-562F76675A6F}"/>
    <cellStyle name="Normal 2 2 2 2 2 7" xfId="3675" xr:uid="{7C42BE2E-C2F1-4F2A-88A8-27F99E197EBF}"/>
    <cellStyle name="Normal 2 2 2 2 2 8" xfId="3676" xr:uid="{7CB7D5DC-9A43-4D34-BFE5-7B06F584C992}"/>
    <cellStyle name="Normal 2 2 2 2 3" xfId="3677" xr:uid="{4EA571BE-AA76-447B-AD2E-BFF04E9ED425}"/>
    <cellStyle name="Normal 2 2 2 2 4" xfId="3678" xr:uid="{63C8FFD5-73FE-4C45-A409-83A87ECA9B85}"/>
    <cellStyle name="Normal 2 2 2 2 5" xfId="3679" xr:uid="{165D3BAA-F467-4CA6-82F7-BD816CDDDAB2}"/>
    <cellStyle name="Normal 2 2 2 2 6" xfId="3680" xr:uid="{1F3F782B-63F8-4376-8623-4ECA823E4B36}"/>
    <cellStyle name="Normal 2 2 2 2 7" xfId="3681" xr:uid="{B713C1C0-896E-4039-9202-041592FE07CD}"/>
    <cellStyle name="Normal 2 2 2 2 8" xfId="3682" xr:uid="{BE687220-30A5-4DCA-BD93-4C1383F6BC21}"/>
    <cellStyle name="Normal 2 2 2 2 9" xfId="3683" xr:uid="{A51A167E-E62C-4EE9-9E86-1DE7C78600F1}"/>
    <cellStyle name="Normal 2 2 2 3" xfId="3684" xr:uid="{92C3CCD5-DA17-403D-A9E2-55F467656E2C}"/>
    <cellStyle name="Normal 2 2 2 4" xfId="3685" xr:uid="{E96662C9-CDFC-4024-B566-5BE2BAA052FF}"/>
    <cellStyle name="Normal 2 2 2 4 2" xfId="3686" xr:uid="{403C5625-9116-4CE2-B235-F8940B8311BF}"/>
    <cellStyle name="Normal 2 2 2 4 3" xfId="3687" xr:uid="{A7B9FF5E-FEB7-45EA-B0A6-47A1F61F6BC6}"/>
    <cellStyle name="Normal 2 2 2 5" xfId="3688" xr:uid="{8E43E5AC-B6A8-4E25-BFBD-B9E7F24A2B41}"/>
    <cellStyle name="Normal 2 2 2 6" xfId="3689" xr:uid="{C1E156C7-3ED2-42D8-93C8-A4C38EB639DE}"/>
    <cellStyle name="Normal 2 2 2 7" xfId="3690" xr:uid="{54CB9892-E68C-4D49-8F29-2A327AF0E4AC}"/>
    <cellStyle name="Normal 2 2 2 8" xfId="3691" xr:uid="{7456BAA5-CAF6-48C8-AF2B-A78F7E18B0D5}"/>
    <cellStyle name="Normal 2 2 2 9" xfId="3692" xr:uid="{549D868C-9F19-4AD0-B3F1-A9D4EBE96B89}"/>
    <cellStyle name="Normal 2 2 20" xfId="3693" xr:uid="{2A9DB347-AB38-49D1-93A8-15BAAE463BA1}"/>
    <cellStyle name="Normal 2 2 21" xfId="3694" xr:uid="{F5B3BFF3-C9CE-4B96-87B0-1A2BC71A6F91}"/>
    <cellStyle name="Normal 2 2 3" xfId="3695" xr:uid="{DBB67126-E617-4E45-B18C-A03184C95FDA}"/>
    <cellStyle name="Normal 2 2 4" xfId="3696" xr:uid="{DE1FB1B7-5D67-49B9-B41F-7DC4C0DDC045}"/>
    <cellStyle name="Normal 2 2 5" xfId="3697" xr:uid="{82988287-F576-401F-BFFA-5C3AAA1776BC}"/>
    <cellStyle name="Normal 2 2 5 2" xfId="3698" xr:uid="{4B4DBFDD-6DB9-48A3-9051-DFEA6E338E0D}"/>
    <cellStyle name="Normal 2 2 5 3" xfId="3699" xr:uid="{20587AE7-F1B1-4216-AD9B-B691F71B0A60}"/>
    <cellStyle name="Normal 2 2 6" xfId="3700" xr:uid="{27338CD5-D4EE-4215-9D5A-4F6A4B6363F7}"/>
    <cellStyle name="Normal 2 2 7" xfId="3701" xr:uid="{69A95955-1A5A-470A-8229-B744B585C047}"/>
    <cellStyle name="Normal 2 2 8" xfId="3702" xr:uid="{14AF0567-D318-48ED-95B6-8A4768FA09A5}"/>
    <cellStyle name="Normal 2 2 8 2" xfId="3703" xr:uid="{A83CFED3-5285-4A04-B841-F7C6E59F62C9}"/>
    <cellStyle name="Normal 2 2 8 3" xfId="3704" xr:uid="{474E16D9-4364-4166-BF50-1A5558FBCE8A}"/>
    <cellStyle name="Normal 2 2 8 4" xfId="3705" xr:uid="{B3D21207-1255-49B0-A23F-D9B381525F4F}"/>
    <cellStyle name="Normal 2 2 8 5" xfId="3706" xr:uid="{55BECB5D-DB59-406C-8F22-E07BB9CB6A18}"/>
    <cellStyle name="Normal 2 2 9" xfId="3707" xr:uid="{0E7DC9F5-6FD2-458A-83D0-33F17625E70F}"/>
    <cellStyle name="Normal 2 3" xfId="3708" xr:uid="{F317F564-E653-44EA-8D33-7C63FAD837E8}"/>
    <cellStyle name="Normal 2 3 2" xfId="3709" xr:uid="{3B0E11A1-4544-4367-B533-091905E2BF7B}"/>
    <cellStyle name="Normal 2 3 2 2" xfId="3710" xr:uid="{D5B93429-D61B-4014-A201-59FC0C3ED8BB}"/>
    <cellStyle name="Normal 2 3 2 3" xfId="3711" xr:uid="{24852F29-E38B-4D22-BD8E-DE99C09D755A}"/>
    <cellStyle name="Normal 2 3 3" xfId="3712" xr:uid="{4DD0D45B-C374-4B23-93A5-366DD44CD4F0}"/>
    <cellStyle name="Normal 2 3 4" xfId="3713" xr:uid="{BAE149FF-3C7F-4BAB-8AF2-5FC9517D6944}"/>
    <cellStyle name="Normal 2 3 5" xfId="3714" xr:uid="{668F295B-1D42-4AA6-8CAF-D3A31EF07B57}"/>
    <cellStyle name="Normal 2 3 6" xfId="3715" xr:uid="{6E8BCF22-0AC4-423D-BBD8-92B067310DE0}"/>
    <cellStyle name="Normal 2 4" xfId="3716" xr:uid="{1BAC47DE-E778-48B4-8DA1-C295DBA5BF16}"/>
    <cellStyle name="Normal 2 5" xfId="3717" xr:uid="{36FE1CB1-1659-45C2-9A8E-DECAE5970E76}"/>
    <cellStyle name="Normal 2 6" xfId="3718" xr:uid="{E325172E-81C6-40D2-BDD9-E5C30D670442}"/>
    <cellStyle name="Normal 2 6 2" xfId="3719" xr:uid="{516FE1B9-98FF-4034-A375-253AF26D272A}"/>
    <cellStyle name="Normal 2 6 3" xfId="3720" xr:uid="{77CE0D7E-D902-4536-AE2B-C89D620AB3DC}"/>
    <cellStyle name="Normal 2 6 4" xfId="3721" xr:uid="{EF478532-F02E-4857-87B8-22A9781B6BF3}"/>
    <cellStyle name="Normal 2 6 5" xfId="3722" xr:uid="{1A23222E-D684-4871-A718-1CC791623149}"/>
    <cellStyle name="Normal 2 7" xfId="3723" xr:uid="{2FB056F9-50DA-413D-A04C-117A0F8A2963}"/>
    <cellStyle name="Normal 2 8" xfId="3724" xr:uid="{2CE8C8D2-7D43-4241-BC32-4AD4FADA93B6}"/>
    <cellStyle name="Normal 2 9" xfId="3725" xr:uid="{0A2F992F-516C-4AE6-809B-CB330D7F1E63}"/>
    <cellStyle name="Normal 20" xfId="3726" xr:uid="{E6011D89-2B19-4418-BB7A-CDDBB2E9AE49}"/>
    <cellStyle name="Normal 21" xfId="3727" xr:uid="{9BCCE361-9D66-4730-B4E0-EB561C9331D7}"/>
    <cellStyle name="Normal 21 2" xfId="3728" xr:uid="{83872A94-63FE-43CD-A7CC-FD7D0555EA4A}"/>
    <cellStyle name="Normal 22" xfId="3729" xr:uid="{E3152D4D-8135-4D63-89FC-BA0061072E3A}"/>
    <cellStyle name="Normal 23" xfId="3730" xr:uid="{26DEB993-0187-45B8-820F-0B813DEDE5F4}"/>
    <cellStyle name="Normal 24" xfId="3731" xr:uid="{CAF22F41-E0CE-44B4-AEDB-2E15E4474F63}"/>
    <cellStyle name="Normal 25" xfId="3732" xr:uid="{65C5FBA0-D803-49D5-B84C-01B2878C87FC}"/>
    <cellStyle name="Normal 26" xfId="3733" xr:uid="{3CAA4DAE-E106-476F-BFAB-24972BE74903}"/>
    <cellStyle name="Normal 27" xfId="3734" xr:uid="{58BD027B-EB93-450E-BB66-7A591BA431E7}"/>
    <cellStyle name="Normal 28" xfId="3735" xr:uid="{FF5BF6F4-B574-43DC-8E77-CC39773F0B94}"/>
    <cellStyle name="Normal 29" xfId="3736" xr:uid="{99054701-0292-4C33-A06E-92D1C952282C}"/>
    <cellStyle name="Normal 3" xfId="3" xr:uid="{00000000-0005-0000-0000-000002000000}"/>
    <cellStyle name="Normal 3 2" xfId="3738" xr:uid="{02DD5355-3217-45D7-BCBF-D0CD810CA91C}"/>
    <cellStyle name="Normal 3 3" xfId="3739" xr:uid="{3D274532-5548-46E6-B60E-7087941C85C0}"/>
    <cellStyle name="Normal 3 4" xfId="3740" xr:uid="{87C382E3-D31D-433F-AF13-0194DE398B56}"/>
    <cellStyle name="Normal 3 5" xfId="4318" xr:uid="{22CCA063-0BE7-4CE8-B9EC-81E9F8284103}"/>
    <cellStyle name="Normal 3 6" xfId="3737" xr:uid="{CA472805-0EEB-4767-B34F-51A7ACE5D69F}"/>
    <cellStyle name="Normal 3 7" xfId="9343" xr:uid="{12DEA903-D001-400B-948B-04FF4E989AC7}"/>
    <cellStyle name="Normal 30" xfId="3741" xr:uid="{C9D2870D-76BB-437C-94B3-75670F59A4A4}"/>
    <cellStyle name="Normal 31" xfId="3742" xr:uid="{BA62D673-A460-4AAA-BB72-D2AD7AEE99FF}"/>
    <cellStyle name="Normal 32" xfId="3743" xr:uid="{51569D88-EBD2-484E-A720-7D020ED29AFC}"/>
    <cellStyle name="Normal 33" xfId="3744" xr:uid="{CC68C734-A73F-4051-A53B-7905FCCC20EC}"/>
    <cellStyle name="Normal 34" xfId="3745" xr:uid="{B1443119-A929-4A09-9287-DDFF046400CC}"/>
    <cellStyle name="Normal 35" xfId="3746" xr:uid="{594DB1BC-1C12-4F65-8E00-D7CEE80D2517}"/>
    <cellStyle name="Normal 35 2" xfId="3747" xr:uid="{EE64F3D9-F233-4A45-9401-2DCB0E7FE501}"/>
    <cellStyle name="Normal 36" xfId="3748" xr:uid="{4DAF8FCD-F213-471E-A15E-C2D2E1D63CE7}"/>
    <cellStyle name="Normal 36 2" xfId="3749" xr:uid="{5AEB53CD-E437-408E-8CE4-5D84B500252F}"/>
    <cellStyle name="Normal 36 2 2" xfId="3750" xr:uid="{70C28DE8-D2C9-496D-8F28-F6E64AC0323A}"/>
    <cellStyle name="Normal 36 3" xfId="3751" xr:uid="{DE93F2AB-71EF-4F56-BFAC-CA01D3F2A10C}"/>
    <cellStyle name="Normal 36 3 2" xfId="3752" xr:uid="{789E9DF8-123F-498B-B174-93036314540C}"/>
    <cellStyle name="Normal 36 4" xfId="3753" xr:uid="{CCAD13DA-0CC5-474F-B856-8E5BA1ADDF61}"/>
    <cellStyle name="Normal 36 5" xfId="3754" xr:uid="{3D4167F1-C911-427C-AA2B-1458BC7308EB}"/>
    <cellStyle name="Normal 37" xfId="3755" xr:uid="{436A4336-9D15-492D-A22D-A1B55422A8BE}"/>
    <cellStyle name="Normal 38" xfId="3756" xr:uid="{132DF1B5-9BBD-4BD9-8EEC-06D13B7641B9}"/>
    <cellStyle name="Normal 39" xfId="3757" xr:uid="{8D748AE7-79E5-48B6-81F3-E6CB5AB38189}"/>
    <cellStyle name="Normal 4" xfId="3758" xr:uid="{9EE16650-4283-4F81-B4DC-DBE1965D0D0A}"/>
    <cellStyle name="Normal 4 10" xfId="3759" xr:uid="{AF031C8C-2FF1-4B58-B9C0-785704D0B9D0}"/>
    <cellStyle name="Normal 4 11" xfId="3760" xr:uid="{164551F6-39FD-4173-B205-26E0C905429B}"/>
    <cellStyle name="Normal 4 12" xfId="3761" xr:uid="{4058D4EB-F629-4B65-B7D6-4A7F4981E4C1}"/>
    <cellStyle name="Normal 4 13" xfId="3762" xr:uid="{176AA4C3-14D7-4554-B2C7-54AFC1C25D4D}"/>
    <cellStyle name="Normal 4 14" xfId="3763" xr:uid="{1DAC0A00-4689-4633-BAA8-2C0E19ED9996}"/>
    <cellStyle name="Normal 4 15" xfId="3764" xr:uid="{46871556-9748-465D-9FF7-D6A1A3BAA09D}"/>
    <cellStyle name="Normal 4 2" xfId="3765" xr:uid="{D771379C-F038-4EFE-A81F-EE54F075BC6E}"/>
    <cellStyle name="Normal 4 2 10" xfId="3766" xr:uid="{97937F2B-E278-4EA1-AA6E-2CB4D1844A36}"/>
    <cellStyle name="Normal 4 2 11" xfId="3767" xr:uid="{37979954-1FC7-43C7-8EC7-86351658A813}"/>
    <cellStyle name="Normal 4 2 12" xfId="3768" xr:uid="{955396D0-6AB8-4541-A980-43ED30C02404}"/>
    <cellStyle name="Normal 4 2 2" xfId="3769" xr:uid="{C5951E35-3E28-49A5-BEAA-03E20F3DFC97}"/>
    <cellStyle name="Normal 4 2 2 10" xfId="3770" xr:uid="{D9590D09-2CC9-4534-A333-CA17CC9FFFA6}"/>
    <cellStyle name="Normal 4 2 2 2" xfId="3771" xr:uid="{99D64CAB-A968-47BF-8025-B05AEAD353A6}"/>
    <cellStyle name="Normal 4 2 2 3" xfId="3772" xr:uid="{769EF52C-B4AA-450E-99A0-DD5CB336A8BA}"/>
    <cellStyle name="Normal 4 2 2 4" xfId="3773" xr:uid="{7FD5314B-42CB-428A-B569-EC60F0379B68}"/>
    <cellStyle name="Normal 4 2 2 5" xfId="3774" xr:uid="{EBAE1290-55F0-4864-B704-F7CC946F5270}"/>
    <cellStyle name="Normal 4 2 2 6" xfId="3775" xr:uid="{54CAC83C-6A73-4F67-8EFC-D707DA6B4801}"/>
    <cellStyle name="Normal 4 2 2 7" xfId="3776" xr:uid="{A9045091-A650-46F7-B9C7-19FEAD031226}"/>
    <cellStyle name="Normal 4 2 2 8" xfId="3777" xr:uid="{B84B2CFB-68C6-4E3D-9B89-297990FC18E8}"/>
    <cellStyle name="Normal 4 2 2 9" xfId="3778" xr:uid="{A31D5929-954E-430C-B766-DBDF1C19BAF4}"/>
    <cellStyle name="Normal 4 2 3" xfId="3779" xr:uid="{AC3C1276-436B-42A1-B554-08B8EE15BAAB}"/>
    <cellStyle name="Normal 4 2 3 10" xfId="3780" xr:uid="{F687A9A3-EABF-4051-920E-C98664C1EB2C}"/>
    <cellStyle name="Normal 4 2 3 2" xfId="3781" xr:uid="{DD8F59A4-E214-47D3-980A-812AAC782685}"/>
    <cellStyle name="Normal 4 2 3 3" xfId="3782" xr:uid="{EBB44ACF-AE96-4886-9AC5-C5B59F318460}"/>
    <cellStyle name="Normal 4 2 3 4" xfId="3783" xr:uid="{C8CB45CB-B1A9-4FDC-9D31-1D6C0259C044}"/>
    <cellStyle name="Normal 4 2 3 5" xfId="3784" xr:uid="{443D10C9-A37E-4B2D-A330-A9577DEF9E4E}"/>
    <cellStyle name="Normal 4 2 3 6" xfId="3785" xr:uid="{9055A01F-186D-4FD5-B9B2-28AB39D55E47}"/>
    <cellStyle name="Normal 4 2 3 7" xfId="3786" xr:uid="{36D47E6A-8420-48E9-BC6E-98D64277A32F}"/>
    <cellStyle name="Normal 4 2 3 8" xfId="3787" xr:uid="{B65BAE8E-DCAF-466A-AE7B-CA27AEC455DF}"/>
    <cellStyle name="Normal 4 2 3 9" xfId="3788" xr:uid="{D2463282-29AF-4076-A0FF-0644468EBD0D}"/>
    <cellStyle name="Normal 4 2 4" xfId="3789" xr:uid="{C35BF9BF-8ACC-41FD-84E3-0AFA91877B6E}"/>
    <cellStyle name="Normal 4 2 5" xfId="3790" xr:uid="{E64D7CED-6ED4-454D-A457-79E6FDA130D8}"/>
    <cellStyle name="Normal 4 2 6" xfId="3791" xr:uid="{3D3C7E6E-D829-45FD-BA18-7BC015CC0BBB}"/>
    <cellStyle name="Normal 4 2 7" xfId="3792" xr:uid="{BE32932F-C312-4C55-87F7-3C37476B13FD}"/>
    <cellStyle name="Normal 4 2 8" xfId="3793" xr:uid="{E8482233-0764-4ABA-9E59-44A557E4A9FF}"/>
    <cellStyle name="Normal 4 2 9" xfId="3794" xr:uid="{0C17549D-0096-41BC-A659-ACAD122B9478}"/>
    <cellStyle name="Normal 4 3" xfId="3795" xr:uid="{D412306A-FC23-41D7-81B4-E3DD9DB0D95C}"/>
    <cellStyle name="Normal 4 3 10" xfId="3796" xr:uid="{F9C58241-B8E0-4412-8CFD-99B11D480F50}"/>
    <cellStyle name="Normal 4 3 11" xfId="3797" xr:uid="{B56BE5ED-5447-4727-8439-C6AA9F3488F2}"/>
    <cellStyle name="Normal 4 3 12" xfId="3798" xr:uid="{F2BA5334-3226-4222-9290-8C92E6D40B26}"/>
    <cellStyle name="Normal 4 3 2" xfId="3799" xr:uid="{FF232FC2-99D0-4BBA-9A82-07651B21F9ED}"/>
    <cellStyle name="Normal 4 3 2 10" xfId="3800" xr:uid="{341F3F54-CBAF-450F-9F79-CEF8CB944B27}"/>
    <cellStyle name="Normal 4 3 2 2" xfId="3801" xr:uid="{B78FB0A6-78C9-4B6B-B61D-1584D1FDD4E5}"/>
    <cellStyle name="Normal 4 3 2 3" xfId="3802" xr:uid="{C961707C-35FB-4A90-90A8-0DCECCD69C97}"/>
    <cellStyle name="Normal 4 3 2 4" xfId="3803" xr:uid="{C52E3914-EBA3-4E84-A284-9CA7EA8DE7F4}"/>
    <cellStyle name="Normal 4 3 2 5" xfId="3804" xr:uid="{1F830241-095A-4E0F-85FA-A2BC145EF53A}"/>
    <cellStyle name="Normal 4 3 2 6" xfId="3805" xr:uid="{9070F0D3-B0B5-49EF-AD65-3913270A814E}"/>
    <cellStyle name="Normal 4 3 2 7" xfId="3806" xr:uid="{33FE9A50-53DE-4990-94D2-89A9BC7187A0}"/>
    <cellStyle name="Normal 4 3 2 8" xfId="3807" xr:uid="{9CBB6AF6-699A-406D-89A7-21407EE406C6}"/>
    <cellStyle name="Normal 4 3 2 9" xfId="3808" xr:uid="{57A3F1A7-5DFF-4D7F-A29D-0D746D2C24C7}"/>
    <cellStyle name="Normal 4 3 3" xfId="3809" xr:uid="{B4FB87D8-2B7D-4914-8F52-490A3C9770A6}"/>
    <cellStyle name="Normal 4 3 3 10" xfId="3810" xr:uid="{549C3232-8F67-4B76-ADDB-44981737D468}"/>
    <cellStyle name="Normal 4 3 3 2" xfId="3811" xr:uid="{4F0C9E96-B031-4B76-8759-1A6919F1038F}"/>
    <cellStyle name="Normal 4 3 3 3" xfId="3812" xr:uid="{32762C69-3202-467D-B48B-204236F5D55B}"/>
    <cellStyle name="Normal 4 3 3 4" xfId="3813" xr:uid="{0C71BE42-3422-4ECE-9B14-27AC43916816}"/>
    <cellStyle name="Normal 4 3 3 5" xfId="3814" xr:uid="{0F49CF6F-2800-47E5-A955-D68BD9853B62}"/>
    <cellStyle name="Normal 4 3 3 6" xfId="3815" xr:uid="{CF75D97C-C0F5-45B1-BA8F-91565D6EE04F}"/>
    <cellStyle name="Normal 4 3 3 7" xfId="3816" xr:uid="{0729DA65-B503-4D70-A807-9086CE64307A}"/>
    <cellStyle name="Normal 4 3 3 8" xfId="3817" xr:uid="{27880F7F-7ED7-46DD-85BB-259FE1EDFB02}"/>
    <cellStyle name="Normal 4 3 3 9" xfId="3818" xr:uid="{96A87D6E-2DC2-48D1-938F-B075A50CF6FD}"/>
    <cellStyle name="Normal 4 3 4" xfId="3819" xr:uid="{6E09C241-1ADF-412A-A335-5341D6EBBAF5}"/>
    <cellStyle name="Normal 4 3 5" xfId="3820" xr:uid="{359B9F73-9392-482A-8853-2B07CBC0F3E8}"/>
    <cellStyle name="Normal 4 3 6" xfId="3821" xr:uid="{D609B8C4-B624-44F4-8006-9B7E3CD39C3B}"/>
    <cellStyle name="Normal 4 3 7" xfId="3822" xr:uid="{A787EA42-9812-4AD5-9EE8-2554D8E4170D}"/>
    <cellStyle name="Normal 4 3 8" xfId="3823" xr:uid="{61649318-D7F4-4316-8CDC-DA9B5C6BAD46}"/>
    <cellStyle name="Normal 4 3 9" xfId="3824" xr:uid="{D18DCA8E-6009-4846-B16E-7DB08E193AFA}"/>
    <cellStyle name="Normal 4 4" xfId="3825" xr:uid="{282439E1-07F5-404F-A574-CF4D29384186}"/>
    <cellStyle name="Normal 4 4 10" xfId="3826" xr:uid="{3C0333BC-FA88-4381-9C89-FA6195D4B186}"/>
    <cellStyle name="Normal 4 4 2" xfId="3827" xr:uid="{FA3C9F63-4AB3-4CC7-89A5-2B6AFF0C0A32}"/>
    <cellStyle name="Normal 4 4 3" xfId="3828" xr:uid="{2C868114-6DC7-4565-A2CE-C293E09CD5A4}"/>
    <cellStyle name="Normal 4 4 4" xfId="3829" xr:uid="{AF91B9AE-BFAD-4259-AC7C-03D60D490364}"/>
    <cellStyle name="Normal 4 4 5" xfId="3830" xr:uid="{C9336195-E0A7-43DD-84CE-3D580A263C54}"/>
    <cellStyle name="Normal 4 4 6" xfId="3831" xr:uid="{BD9517A2-0472-46B9-B00C-25BE2CEA8386}"/>
    <cellStyle name="Normal 4 4 7" xfId="3832" xr:uid="{1A401D7A-0A10-40EB-9E01-652B1D200F46}"/>
    <cellStyle name="Normal 4 4 8" xfId="3833" xr:uid="{1F8D1DE4-A0AD-4C4D-ADD7-B7065327D1EE}"/>
    <cellStyle name="Normal 4 4 9" xfId="3834" xr:uid="{A3A98111-6B90-459D-A2BE-528EE32D88BE}"/>
    <cellStyle name="Normal 4 5" xfId="3835" xr:uid="{86B10723-18F0-42E2-916F-A3C8F95F267D}"/>
    <cellStyle name="Normal 4 5 10" xfId="3836" xr:uid="{4F555999-5B7B-4FB0-AA9E-74712E24279A}"/>
    <cellStyle name="Normal 4 5 2" xfId="3837" xr:uid="{61BEF241-8C51-4F1B-AFF8-D861076DAEC0}"/>
    <cellStyle name="Normal 4 5 3" xfId="3838" xr:uid="{98653959-4B3A-4C49-B465-8F933F8364DD}"/>
    <cellStyle name="Normal 4 5 4" xfId="3839" xr:uid="{3BFDA42A-AB06-4F63-BC3D-FEA24CFF9FB3}"/>
    <cellStyle name="Normal 4 5 5" xfId="3840" xr:uid="{1F95BC45-7433-4EFA-906E-42F8AC323799}"/>
    <cellStyle name="Normal 4 5 6" xfId="3841" xr:uid="{C2A1B5EA-6EC5-40EE-B4D6-031FA9A11351}"/>
    <cellStyle name="Normal 4 5 7" xfId="3842" xr:uid="{CB4251A5-CCC6-4CBA-839F-0E7154580CE8}"/>
    <cellStyle name="Normal 4 5 8" xfId="3843" xr:uid="{2BA148D2-2237-477F-AA7C-3BEB878260C9}"/>
    <cellStyle name="Normal 4 5 9" xfId="3844" xr:uid="{64BE7550-F0BA-41F6-A779-CE40FCDDD55C}"/>
    <cellStyle name="Normal 4 6" xfId="3845" xr:uid="{7199E990-4223-4DD2-BB04-C06433BBE689}"/>
    <cellStyle name="Normal 4 7" xfId="3846" xr:uid="{B4DE4CE6-3D4A-43E6-BFAC-2960658BBA3D}"/>
    <cellStyle name="Normal 4 8" xfId="3847" xr:uid="{4923E150-5858-44F0-B5A1-0C8A40D1E025}"/>
    <cellStyle name="Normal 4 9" xfId="3848" xr:uid="{ECC978BF-CF34-4770-8E4D-8FED6464CED6}"/>
    <cellStyle name="Normal 40" xfId="3849" xr:uid="{79E0EF6E-0E41-4FDB-AD03-0625010B4C8C}"/>
    <cellStyle name="Normal 41" xfId="3850" xr:uid="{EEFF62E2-C8C9-4673-B870-47C14B429CEB}"/>
    <cellStyle name="Normal 42" xfId="3851" xr:uid="{305B90BC-2006-46B8-B62F-96B5F672EB49}"/>
    <cellStyle name="Normal 43" xfId="3852" xr:uid="{384D1376-2E03-45E3-9929-80EB4598537B}"/>
    <cellStyle name="Normal 44" xfId="3853" xr:uid="{405177E9-2367-4E4B-8DD2-8D5DAE2E2F73}"/>
    <cellStyle name="Normal 44 2" xfId="3854" xr:uid="{2AD10CAC-677C-407A-AB2A-410B47358587}"/>
    <cellStyle name="Normal 44 3" xfId="3855" xr:uid="{C345F9DC-ED1F-410F-814D-2D50BC55D2B4}"/>
    <cellStyle name="Normal 45" xfId="3856" xr:uid="{38B0F393-624B-4F4E-AF55-6E9A41A0204B}"/>
    <cellStyle name="Normal 46" xfId="3857" xr:uid="{1D8CBDCB-0C79-4100-9DF7-AA13F2A8F223}"/>
    <cellStyle name="Normal 47" xfId="3858" xr:uid="{BD00105F-0329-4BC7-8837-653ECDCF680B}"/>
    <cellStyle name="Normal 48" xfId="3859" xr:uid="{FC97FD7E-AB63-4DD5-8FC1-8E6C61844596}"/>
    <cellStyle name="Normal 49" xfId="3860" xr:uid="{AF114DC9-7371-45D3-AF74-BD47F6E4DA50}"/>
    <cellStyle name="Normal 5" xfId="2" xr:uid="{00000000-0005-0000-0000-000003000000}"/>
    <cellStyle name="Normal 5 10" xfId="3862" xr:uid="{48085BEE-9307-4B5E-9532-E3BD0A3E2168}"/>
    <cellStyle name="Normal 5 11" xfId="3863" xr:uid="{F709A6CC-5046-4FA7-BDB9-AB5601EB7EFF}"/>
    <cellStyle name="Normal 5 12" xfId="3864" xr:uid="{4C5CBA0B-C7D8-4EEE-A0A5-5B852F7EF70B}"/>
    <cellStyle name="Normal 5 13" xfId="3861" xr:uid="{4182B857-7D11-4803-AB32-DB2EB8D7078A}"/>
    <cellStyle name="Normal 5 2" xfId="3865" xr:uid="{FCB127C8-E1B9-4432-81E7-9DCB701773AA}"/>
    <cellStyle name="Normal 5 2 10" xfId="3866" xr:uid="{5072586E-AD4E-4725-9B81-36543C686F0B}"/>
    <cellStyle name="Normal 5 2 2" xfId="3867" xr:uid="{789D50C4-9138-44C5-9BE0-DD76E1AE6987}"/>
    <cellStyle name="Normal 5 2 3" xfId="3868" xr:uid="{A02518F5-B75E-4A0F-9C80-35ED11CA858E}"/>
    <cellStyle name="Normal 5 2 4" xfId="3869" xr:uid="{67301DEF-ACBB-4DB1-8E3F-C6530894D464}"/>
    <cellStyle name="Normal 5 2 5" xfId="3870" xr:uid="{6000F0D9-FCA6-4FD2-8D15-301E6CBCD437}"/>
    <cellStyle name="Normal 5 2 6" xfId="3871" xr:uid="{DB329980-A579-4F6F-BCFD-D6F2015B02BC}"/>
    <cellStyle name="Normal 5 2 7" xfId="3872" xr:uid="{322CA514-5200-4384-BF18-A9D8515F44DE}"/>
    <cellStyle name="Normal 5 2 8" xfId="3873" xr:uid="{3C388828-F467-4FF3-BBCA-80B2496128CC}"/>
    <cellStyle name="Normal 5 2 9" xfId="3874" xr:uid="{1D920813-C86E-453F-B9BD-4ACECFBA57A6}"/>
    <cellStyle name="Normal 5 3" xfId="3875" xr:uid="{090366DC-C1AC-4CD8-8517-F6FA892E2F6D}"/>
    <cellStyle name="Normal 5 3 10" xfId="3876" xr:uid="{B4269F4A-4771-4681-90D9-DBA9B1A30E89}"/>
    <cellStyle name="Normal 5 3 2" xfId="3877" xr:uid="{F66B85F2-EDCB-481E-A417-452BC01BAD3D}"/>
    <cellStyle name="Normal 5 3 3" xfId="3878" xr:uid="{89F135CD-7048-45A9-8148-BA3C3EBBB2BC}"/>
    <cellStyle name="Normal 5 3 4" xfId="3879" xr:uid="{0EFF6435-1442-4F94-9053-D864A6F72151}"/>
    <cellStyle name="Normal 5 3 5" xfId="3880" xr:uid="{F993A7B4-CB39-4FC9-BC8C-627EA4C54F08}"/>
    <cellStyle name="Normal 5 3 6" xfId="3881" xr:uid="{B8C6355F-AEB1-41AF-BB45-7A326A42356A}"/>
    <cellStyle name="Normal 5 3 7" xfId="3882" xr:uid="{F5D03CE6-7207-4F06-AA14-951A3515469C}"/>
    <cellStyle name="Normal 5 3 8" xfId="3883" xr:uid="{3EDCFA1F-ADBE-4A64-B46D-B9C0AC8E2A37}"/>
    <cellStyle name="Normal 5 3 9" xfId="3884" xr:uid="{C95A0E37-55FD-45CD-9B59-561DA0D067B2}"/>
    <cellStyle name="Normal 5 4" xfId="3885" xr:uid="{7E4FBC23-BB4E-4633-BAFF-92C06CEE703F}"/>
    <cellStyle name="Normal 5 5" xfId="3886" xr:uid="{0F36876F-5CB0-4B8B-A999-6F9901089A78}"/>
    <cellStyle name="Normal 5 6" xfId="3887" xr:uid="{559B005B-E48F-40A7-B324-D30DC90443A1}"/>
    <cellStyle name="Normal 5 7" xfId="3888" xr:uid="{EAE799C1-1D4E-4CE4-BEED-AFFACA988F14}"/>
    <cellStyle name="Normal 5 8" xfId="3889" xr:uid="{7454EC52-D644-4A9B-B13E-FBD4C55E87AF}"/>
    <cellStyle name="Normal 5 9" xfId="3890" xr:uid="{7D7CCAC8-0821-4F3C-8336-F1FA78F3B2A4}"/>
    <cellStyle name="Normal 50" xfId="3891" xr:uid="{6FE6573C-FE86-497D-9793-63919003F4DD}"/>
    <cellStyle name="Normal 50 2" xfId="3892" xr:uid="{DE39A8BB-9807-4F9B-8FEC-4A3F0556DE0D}"/>
    <cellStyle name="Normal 51" xfId="3893" xr:uid="{AF6C1D57-107D-4F42-91C6-F27CCB110A58}"/>
    <cellStyle name="Normal 51 2" xfId="3894" xr:uid="{D7818272-EB6D-4F1E-A828-D675419C015E}"/>
    <cellStyle name="Normal 52" xfId="3895" xr:uid="{700CB9D1-4502-43BF-BDA0-CCBCFD04D38A}"/>
    <cellStyle name="Normal 52 2" xfId="3896" xr:uid="{EF2F333A-17D2-420F-A2A6-15E4D15DE944}"/>
    <cellStyle name="Normal 52 2 2" xfId="3897" xr:uid="{D58531E7-9510-4BA7-90FF-69BAB21C7BD1}"/>
    <cellStyle name="Normal 52 3" xfId="3898" xr:uid="{5F404B57-6B99-4D56-A526-9F05A183B5C8}"/>
    <cellStyle name="Normal 52 4" xfId="3899" xr:uid="{8B0F3413-DE70-4AB6-AF89-F590566237DE}"/>
    <cellStyle name="Normal 53" xfId="3900" xr:uid="{D1DD07C8-1DDC-4348-ADAB-BB3A664B0E54}"/>
    <cellStyle name="Normal 53 2" xfId="3901" xr:uid="{C0B435C4-9424-4950-B811-7FCC539E9A8E}"/>
    <cellStyle name="Normal 54" xfId="3902" xr:uid="{15746220-746A-4B86-94DC-FE590CEC7D1B}"/>
    <cellStyle name="Normal 55" xfId="3903" xr:uid="{7084F3DC-1EF6-46EC-BFA2-1335D6BEA548}"/>
    <cellStyle name="Normal 56" xfId="3904" xr:uid="{9F9F198C-A86F-4EAB-B72A-27E518FB6751}"/>
    <cellStyle name="Normal 57" xfId="3905" xr:uid="{CB4A27E9-B5D0-4A4A-966E-372FAA9CC02C}"/>
    <cellStyle name="Normal 58" xfId="3906" xr:uid="{DA9EB02D-0EFE-4FC6-B698-6827242E02C4}"/>
    <cellStyle name="Normal 58 10" xfId="3907" xr:uid="{53625298-0CF3-4F1C-B9B6-7E112989C504}"/>
    <cellStyle name="Normal 58 2" xfId="3908" xr:uid="{073DF209-A99A-4F70-858A-64925CB250A8}"/>
    <cellStyle name="Normal 58 3" xfId="3909" xr:uid="{AFF425A0-FC30-4D6A-8D46-3A20D68D5271}"/>
    <cellStyle name="Normal 58 4" xfId="3910" xr:uid="{41F48818-8295-4381-B4A8-1D88F3496405}"/>
    <cellStyle name="Normal 58 5" xfId="3911" xr:uid="{1FFB5B29-0025-4578-B103-A3A288D52980}"/>
    <cellStyle name="Normal 58 6" xfId="3912" xr:uid="{AFCFDB0C-91E4-47F1-B96D-AAA0FBEF8A38}"/>
    <cellStyle name="Normal 58 7" xfId="3913" xr:uid="{E4A8AC03-61F7-4FC1-AADF-0BC516F53599}"/>
    <cellStyle name="Normal 58 8" xfId="3914" xr:uid="{B5BADC60-D1BC-4F6A-AD15-7D22AF0C8C32}"/>
    <cellStyle name="Normal 58 9" xfId="3915" xr:uid="{8991EC42-9941-45B9-A705-CB96B74CCAC9}"/>
    <cellStyle name="Normal 59" xfId="3916" xr:uid="{D7F2B990-CE5B-476C-B334-2F6471785381}"/>
    <cellStyle name="Normal 6" xfId="3917" xr:uid="{F1E526E8-34EB-4A7C-B44D-5167F8126A09}"/>
    <cellStyle name="Normal 6 2" xfId="3918" xr:uid="{F5845D5A-17AE-4AFF-9A57-0EA53BF2919A}"/>
    <cellStyle name="Normal 60" xfId="3919" xr:uid="{F68480CA-2FBB-4B6A-B34A-D50B159712E0}"/>
    <cellStyle name="Normal 60 2" xfId="3920" xr:uid="{F94AF3BA-7E7D-4568-AE38-2A83245B227B}"/>
    <cellStyle name="Normal 60 3" xfId="3921" xr:uid="{5C736A85-4C9E-4BC2-B3E5-283492969A2E}"/>
    <cellStyle name="Normal 61" xfId="1" xr:uid="{00000000-0005-0000-0000-000004000000}"/>
    <cellStyle name="Normal 61 2" xfId="4315" xr:uid="{D81C6768-B29B-4B49-A49B-D039C3447B2A}"/>
    <cellStyle name="Normal 61 3" xfId="5436" xr:uid="{A3D17E21-EDBA-4D98-A7D0-A01C9FFEDAD6}"/>
    <cellStyle name="Normal 61 4" xfId="3922" xr:uid="{31657DA3-C708-445F-97EC-ABC904324807}"/>
    <cellStyle name="Normal 62" xfId="3923" xr:uid="{46A2742C-4326-48A5-B8E0-FA462863B0FC}"/>
    <cellStyle name="Normal 63" xfId="4316" xr:uid="{B1444090-4596-4317-A087-8DF7D8E2663F}"/>
    <cellStyle name="Normal 7" xfId="3924" xr:uid="{ED2167AD-668B-4E89-87B3-468A38425E3C}"/>
    <cellStyle name="Normal 8" xfId="3925" xr:uid="{99B9294B-7CD8-4FF6-9CA8-AB9F0FDA5499}"/>
    <cellStyle name="Normal 9" xfId="3926" xr:uid="{B740154D-BF22-4C47-8156-E33E13F957D1}"/>
    <cellStyle name="Notas 10" xfId="3927" xr:uid="{7A8B7B77-B743-4866-960C-842FFB20A4BF}"/>
    <cellStyle name="Notas 11" xfId="3928" xr:uid="{8E641B9E-27BF-4459-8BAD-818D5FAF78F0}"/>
    <cellStyle name="Notas 12" xfId="3929" xr:uid="{60DBAD8D-E57F-4D4B-96BB-029A1DCA4C45}"/>
    <cellStyle name="Notas 2" xfId="3930" xr:uid="{25AF54D8-C735-4CEC-9413-0689DCEA7692}"/>
    <cellStyle name="Notas 3" xfId="3931" xr:uid="{AF1DA75D-6001-4D50-9357-F839C92428EC}"/>
    <cellStyle name="Notas 4" xfId="3932" xr:uid="{8522736D-C933-4DE3-97D7-2C0EAC535198}"/>
    <cellStyle name="Notas 5" xfId="3933" xr:uid="{92037BFB-B44B-4628-8BFC-3632B35E03D3}"/>
    <cellStyle name="Notas 6" xfId="3934" xr:uid="{9C79C5FF-7761-4F59-B6FA-C23C3C7C9C88}"/>
    <cellStyle name="Notas 7" xfId="3935" xr:uid="{004DFB06-774B-44B6-9751-9A800DE5943C}"/>
    <cellStyle name="Notas 8" xfId="3936" xr:uid="{AABD655E-3077-48CE-AD49-198587B65ED8}"/>
    <cellStyle name="Notas 9" xfId="3937" xr:uid="{FCAC10F4-62AD-4D69-ACF3-3170DD85D28D}"/>
    <cellStyle name="Number" xfId="3938" xr:uid="{79F85C61-38C9-4EC6-B1DA-FDE62CEF2305}"/>
    <cellStyle name="Œ…‹æØ‚è [0.00]_laroux" xfId="3939" xr:uid="{EFD0BDC3-4EB9-469B-881E-6F9CC76B1752}"/>
    <cellStyle name="Œ…‹æØ‚è_laroux" xfId="3940" xr:uid="{B7D89BD9-3058-4C2B-9166-74AA030E6758}"/>
    <cellStyle name="Output" xfId="3941" xr:uid="{67E06A56-BB35-433F-BFC2-5F8352DFB4ED}"/>
    <cellStyle name="OUTPUT AMOUNTS" xfId="3942" xr:uid="{979AAAA5-665C-460E-BA2D-5C5AB6E92A18}"/>
    <cellStyle name="OUTPUT COLUMN HEADINGS" xfId="3943" xr:uid="{4B3055B2-01D8-43B2-A502-375783559A17}"/>
    <cellStyle name="OUTPUT LINE ITEMS" xfId="3944" xr:uid="{E76974E5-3511-43D8-8DF0-57FF078B9152}"/>
    <cellStyle name="OUTPUT REPORT HEADING" xfId="3945" xr:uid="{89E59718-D7AD-41B6-BE2A-2DF7DEDDFAA4}"/>
    <cellStyle name="OUTPUT REPORT TITLE" xfId="3946" xr:uid="{6FA07A3A-FD3E-488D-BC90-0498217D9E78}"/>
    <cellStyle name="OUTPUT TEMPORARY" xfId="3947" xr:uid="{BAB208E5-8ABE-4D69-AEC2-E601B24C3FF6}"/>
    <cellStyle name="OUTPUT TEMPORARY 2" xfId="4875" xr:uid="{A7A28A63-27C6-4CB6-9A1B-ADE2A91A48EE}"/>
    <cellStyle name="OUTPUT TEMPORARY 2 2" xfId="6548" xr:uid="{098771A0-8FF1-44CB-8FBC-9C4052C15DC4}"/>
    <cellStyle name="OUTPUT TEMPORARY 2 3" xfId="8220" xr:uid="{A37693C7-D9D4-448D-8BD1-DAF7CFECABA2}"/>
    <cellStyle name="OUTPUT TEMPORARY 3" xfId="5432" xr:uid="{63B8071D-DB2F-421F-860D-A9A68D9A327E}"/>
    <cellStyle name="OUTPUT TEMPORARY 3 2" xfId="7105" xr:uid="{5FF8512F-1611-4383-B0DC-FC14A9C29A53}"/>
    <cellStyle name="OUTPUT TEMPORARY 3 3" xfId="8777" xr:uid="{5703EBBA-28E6-432B-A773-D22BCC3B4C6C}"/>
    <cellStyle name="OUTPUT TEMPORARY 4" xfId="5990" xr:uid="{523B8E26-B6F0-4EF0-8BB4-05F679649D75}"/>
    <cellStyle name="OUTPUT TEMPORARY 5" xfId="7662" xr:uid="{1435A3E3-6654-4320-B3CE-BFF9AA1098BB}"/>
    <cellStyle name="OUTPUT TEMPORARY 6" xfId="9334" xr:uid="{70260B19-72C5-4D7E-8EB3-5137F600592B}"/>
    <cellStyle name="paint" xfId="3948" xr:uid="{470870B4-C9FA-4C32-A6C7-12B8E282EF4E}"/>
    <cellStyle name="Percent [0]" xfId="3949" xr:uid="{4032CBD0-6450-4954-9DEB-4726AF79E92A}"/>
    <cellStyle name="Percent [00]" xfId="3950" xr:uid="{F59E44D4-D658-48BB-82DD-2F56B62F919E}"/>
    <cellStyle name="Percent [2]" xfId="3951" xr:uid="{554E3257-5A06-4495-A943-7FB3F143377C}"/>
    <cellStyle name="Percent 2" xfId="3952" xr:uid="{E6240600-1867-4BEA-841B-1E2A5E156488}"/>
    <cellStyle name="Percent 2 2" xfId="3953" xr:uid="{E4D8A747-9013-4740-B9D7-E1022379111E}"/>
    <cellStyle name="Percent-0.0%" xfId="3954" xr:uid="{4F1B4004-0A29-48E4-B288-45906AD10E8D}"/>
    <cellStyle name="Percent-0.0% 2" xfId="3955" xr:uid="{7539976C-E7C9-4E41-8C5A-2FB0904B3688}"/>
    <cellStyle name="Percent-no dec" xfId="3956" xr:uid="{4196EAB8-405B-4F75-BCC3-525EE5F5900F}"/>
    <cellStyle name="Porcentual 2" xfId="3957" xr:uid="{B8B31133-CCE5-42A1-B0A7-FF562F410186}"/>
    <cellStyle name="Porcentual 2 10" xfId="3958" xr:uid="{FBACFB82-3F27-4687-ADD8-819050E2DA94}"/>
    <cellStyle name="Porcentual 2 11" xfId="3959" xr:uid="{061B9C82-921A-46E9-AC06-F241F6F9B6D8}"/>
    <cellStyle name="Porcentual 2 12" xfId="3960" xr:uid="{4E3A925B-3D7C-4DFB-8810-CE685334549B}"/>
    <cellStyle name="Porcentual 2 13" xfId="3961" xr:uid="{A62B5899-AC4C-489D-B6CD-0726F12CCE09}"/>
    <cellStyle name="Porcentual 2 14" xfId="3962" xr:uid="{5D882784-8407-4204-8D20-552813EFE485}"/>
    <cellStyle name="Porcentual 2 15" xfId="3963" xr:uid="{DAA06D65-E899-41D5-A1D2-17F8B8DBD6FC}"/>
    <cellStyle name="Porcentual 2 2" xfId="3964" xr:uid="{0AAB1C8A-1DC2-4615-839F-97FBDA9FC9C5}"/>
    <cellStyle name="Porcentual 2 3" xfId="3965" xr:uid="{B0A00E88-E806-4D5B-AE13-79BAD9DB021A}"/>
    <cellStyle name="Porcentual 2 4" xfId="3966" xr:uid="{A6CF6C40-A266-4F86-85AB-C5332A7D0929}"/>
    <cellStyle name="Porcentual 2 5" xfId="3967" xr:uid="{09B70A34-89E9-4EFE-A8E3-0C1DA06FD184}"/>
    <cellStyle name="Porcentual 2 6" xfId="3968" xr:uid="{B811E33E-7068-46EA-8EE4-D44908018FF8}"/>
    <cellStyle name="Porcentual 2 7" xfId="3969" xr:uid="{FD6DCF32-A96F-4453-AFB0-A8394A7C045B}"/>
    <cellStyle name="Porcentual 2 8" xfId="3970" xr:uid="{B8FEF828-52C7-4599-A2EF-EE8B47FCE404}"/>
    <cellStyle name="Porcentual 2 9" xfId="3971" xr:uid="{DE639DC2-BFC8-4D15-ACEF-6DE782B1F560}"/>
    <cellStyle name="Porcentual 3" xfId="3972" xr:uid="{2EB19FD3-C94B-4107-BD47-43A569A51573}"/>
    <cellStyle name="Porcentual 3 10" xfId="3973" xr:uid="{550A09F9-FF7A-40CA-9549-856C126678A5}"/>
    <cellStyle name="Porcentual 3 11" xfId="3974" xr:uid="{D53BA835-A937-4F93-BDAA-2BB325E45500}"/>
    <cellStyle name="Porcentual 3 12" xfId="3975" xr:uid="{AC8174F4-C154-4F10-B64F-BA5A6CB0CD3D}"/>
    <cellStyle name="Porcentual 3 13" xfId="3976" xr:uid="{4E033BE8-85FE-47A1-A907-2357C6EA0380}"/>
    <cellStyle name="Porcentual 3 14" xfId="3977" xr:uid="{D31804F7-5F06-4633-AB8C-091DE75E3E69}"/>
    <cellStyle name="Porcentual 3 15" xfId="3978" xr:uid="{50EA6CFD-97CB-4FC0-9461-2507D82E77CE}"/>
    <cellStyle name="Porcentual 3 2" xfId="3979" xr:uid="{0B1449B1-3A6A-4DD7-9801-AC6E45612E03}"/>
    <cellStyle name="Porcentual 3 3" xfId="3980" xr:uid="{5ABED088-7046-4155-96B3-FD6A05A0D60D}"/>
    <cellStyle name="Porcentual 3 4" xfId="3981" xr:uid="{590AB80C-10C8-4135-A050-CAA7D08C04E6}"/>
    <cellStyle name="Porcentual 3 5" xfId="3982" xr:uid="{B643CFB8-95FE-476F-BDFB-D3DDC4C6BD1D}"/>
    <cellStyle name="Porcentual 3 6" xfId="3983" xr:uid="{8620538A-0201-4ACA-BC38-6780C0CD44EB}"/>
    <cellStyle name="Porcentual 3 7" xfId="3984" xr:uid="{81CE0181-6BE1-469F-8CB4-0CE24B2752AC}"/>
    <cellStyle name="Porcentual 3 8" xfId="3985" xr:uid="{436B599C-6E68-4D9A-9BC0-CF9A145F4429}"/>
    <cellStyle name="Porcentual 3 9" xfId="3986" xr:uid="{BE0BAB56-34A5-48C6-A3EC-A00D31C69EA8}"/>
    <cellStyle name="Porcentual 4" xfId="3987" xr:uid="{F0814335-3C4E-447A-8304-100A0A16A30A}"/>
    <cellStyle name="Porcentual 4 10" xfId="3988" xr:uid="{3F273879-DB6D-41E0-A7E8-8DD25B40062A}"/>
    <cellStyle name="Porcentual 4 11" xfId="3989" xr:uid="{E06F5094-E10C-4233-BEFC-F3D61BE7BF21}"/>
    <cellStyle name="Porcentual 4 12" xfId="3990" xr:uid="{F209F489-F921-43A2-B500-A22CAD78B1EC}"/>
    <cellStyle name="Porcentual 4 13" xfId="3991" xr:uid="{CCFB5FE7-DD13-4B6B-B3AF-94406FE26F02}"/>
    <cellStyle name="Porcentual 4 14" xfId="3992" xr:uid="{58B94F8A-5C54-497F-890E-9A21BAB20B5E}"/>
    <cellStyle name="Porcentual 4 2" xfId="3993" xr:uid="{5B318A4E-FDCC-409D-8429-C7FCF967015E}"/>
    <cellStyle name="Porcentual 4 2 10" xfId="3994" xr:uid="{1F0F5019-3808-4ECA-B5CB-B556B23366C0}"/>
    <cellStyle name="Porcentual 4 2 11" xfId="3995" xr:uid="{7D4B9872-476A-4E1C-9DD8-26E06F2E22E2}"/>
    <cellStyle name="Porcentual 4 2 12" xfId="3996" xr:uid="{2096E3DC-6E51-4554-A44A-AA2123A798DC}"/>
    <cellStyle name="Porcentual 4 2 2" xfId="3997" xr:uid="{E652FBD5-85D4-42E0-8672-4B627EC8A5FB}"/>
    <cellStyle name="Porcentual 4 2 2 10" xfId="3998" xr:uid="{3AE67CD5-88DB-43EC-944C-4FC6827E2955}"/>
    <cellStyle name="Porcentual 4 2 2 2" xfId="3999" xr:uid="{D4ACB8E3-E951-4D0E-BA30-5513C83D92D1}"/>
    <cellStyle name="Porcentual 4 2 2 3" xfId="4000" xr:uid="{25C42DBC-3EED-4884-B5C4-C223EB0C8895}"/>
    <cellStyle name="Porcentual 4 2 2 4" xfId="4001" xr:uid="{AF177581-B888-4044-9580-2F65792AA41A}"/>
    <cellStyle name="Porcentual 4 2 2 5" xfId="4002" xr:uid="{399B44A4-8222-41E0-8F64-FD390C227909}"/>
    <cellStyle name="Porcentual 4 2 2 6" xfId="4003" xr:uid="{64B43AC2-99A5-4FF7-B44C-19BD1FA5DE45}"/>
    <cellStyle name="Porcentual 4 2 2 7" xfId="4004" xr:uid="{FFDE0D33-428C-4A27-8622-71BB6D36C1DF}"/>
    <cellStyle name="Porcentual 4 2 2 8" xfId="4005" xr:uid="{68CC6FE0-26AA-4824-83D1-FD1339F8E6F8}"/>
    <cellStyle name="Porcentual 4 2 2 9" xfId="4006" xr:uid="{CAEDDF17-8318-4B30-97FE-3162F65C6A34}"/>
    <cellStyle name="Porcentual 4 2 3" xfId="4007" xr:uid="{FB7EDECE-931F-460C-8541-53436816F64C}"/>
    <cellStyle name="Porcentual 4 2 3 10" xfId="4008" xr:uid="{41C0D1F6-8A07-4455-B339-4CD81F060EC8}"/>
    <cellStyle name="Porcentual 4 2 3 2" xfId="4009" xr:uid="{D7036797-85E5-4BE7-A4A9-2D054C473B12}"/>
    <cellStyle name="Porcentual 4 2 3 3" xfId="4010" xr:uid="{2F6A6C20-EB44-4703-82A6-77CC6621E6BF}"/>
    <cellStyle name="Porcentual 4 2 3 4" xfId="4011" xr:uid="{8D3F80A7-EA4D-4910-B048-1CB9FEA9C80B}"/>
    <cellStyle name="Porcentual 4 2 3 5" xfId="4012" xr:uid="{8CCD8A80-BBD9-44D5-9B8F-2D313944CD47}"/>
    <cellStyle name="Porcentual 4 2 3 6" xfId="4013" xr:uid="{77943505-65B1-4378-91C8-1F3AC5299DC3}"/>
    <cellStyle name="Porcentual 4 2 3 7" xfId="4014" xr:uid="{2A76762D-1753-45D6-83A7-576D0B974848}"/>
    <cellStyle name="Porcentual 4 2 3 8" xfId="4015" xr:uid="{0B231B11-8B59-4675-8511-DC8089349898}"/>
    <cellStyle name="Porcentual 4 2 3 9" xfId="4016" xr:uid="{A7845C76-062A-4002-9B0D-D11B9AD7464A}"/>
    <cellStyle name="Porcentual 4 2 4" xfId="4017" xr:uid="{F980B1BF-0DD3-4F48-B0FB-4A8A74C5B67A}"/>
    <cellStyle name="Porcentual 4 2 5" xfId="4018" xr:uid="{ADCFC7DF-38A1-492F-99A8-9F4EDBAB703A}"/>
    <cellStyle name="Porcentual 4 2 6" xfId="4019" xr:uid="{D3A09920-6014-4679-B714-489E40FC439A}"/>
    <cellStyle name="Porcentual 4 2 7" xfId="4020" xr:uid="{37939594-F871-4989-89E5-7D9677829B5B}"/>
    <cellStyle name="Porcentual 4 2 8" xfId="4021" xr:uid="{8A03F0C8-A3AB-46B8-9F59-9907323802E6}"/>
    <cellStyle name="Porcentual 4 2 9" xfId="4022" xr:uid="{F87BE3A4-0351-4111-B802-FF7AB26266A5}"/>
    <cellStyle name="Porcentual 4 3" xfId="4023" xr:uid="{B54A0568-E6AA-45AF-AF7D-EFC37F98C578}"/>
    <cellStyle name="Porcentual 4 3 10" xfId="4024" xr:uid="{362C8C35-5B59-4E8B-BF3E-7B956A67E570}"/>
    <cellStyle name="Porcentual 4 3 11" xfId="4025" xr:uid="{5269C276-F09B-430D-A543-47ED18857634}"/>
    <cellStyle name="Porcentual 4 3 12" xfId="4026" xr:uid="{B67CDB73-9E83-4CFA-A2E3-52B80E265BFB}"/>
    <cellStyle name="Porcentual 4 3 2" xfId="4027" xr:uid="{78915AFF-65E2-4DF3-B3E8-4CD66790961A}"/>
    <cellStyle name="Porcentual 4 3 2 10" xfId="4028" xr:uid="{5BC95AF7-397E-4833-A764-F09DBC03AB1B}"/>
    <cellStyle name="Porcentual 4 3 2 2" xfId="4029" xr:uid="{B4135CB1-A5F3-4EE9-984E-D17FFB00720B}"/>
    <cellStyle name="Porcentual 4 3 2 3" xfId="4030" xr:uid="{EB0AA3FB-7403-4276-83D7-D013937CFED1}"/>
    <cellStyle name="Porcentual 4 3 2 4" xfId="4031" xr:uid="{7D5E9279-B5F3-4197-B239-0A3A83AFC7DD}"/>
    <cellStyle name="Porcentual 4 3 2 5" xfId="4032" xr:uid="{50AE2DF7-0598-4EF0-9C1F-A2E44D23B391}"/>
    <cellStyle name="Porcentual 4 3 2 6" xfId="4033" xr:uid="{D4C16117-20F2-4509-A1A6-66B755BF4C7E}"/>
    <cellStyle name="Porcentual 4 3 2 7" xfId="4034" xr:uid="{2AF63C69-E9A7-4073-97F8-947FA19B59E3}"/>
    <cellStyle name="Porcentual 4 3 2 8" xfId="4035" xr:uid="{3B5E28B9-6619-4B7C-9997-174CDC9EAED1}"/>
    <cellStyle name="Porcentual 4 3 2 9" xfId="4036" xr:uid="{15442A17-1B42-4611-A07A-BB2483D0F846}"/>
    <cellStyle name="Porcentual 4 3 3" xfId="4037" xr:uid="{FF927CE8-B37C-48E7-AD7D-0179FFAFCF9E}"/>
    <cellStyle name="Porcentual 4 3 3 10" xfId="4038" xr:uid="{C1BDF370-86FF-4B33-9942-D3134E8BE5DF}"/>
    <cellStyle name="Porcentual 4 3 3 2" xfId="4039" xr:uid="{942987AE-BC11-4ADC-BC72-4D561846AA15}"/>
    <cellStyle name="Porcentual 4 3 3 3" xfId="4040" xr:uid="{A4DC30F7-11FB-49EA-BF9F-8E55FBAB7EE7}"/>
    <cellStyle name="Porcentual 4 3 3 4" xfId="4041" xr:uid="{CC83EB9A-7126-4FB5-92C7-3820F5BF0267}"/>
    <cellStyle name="Porcentual 4 3 3 5" xfId="4042" xr:uid="{342C7EA7-963A-417D-95F0-09A5DA53F234}"/>
    <cellStyle name="Porcentual 4 3 3 6" xfId="4043" xr:uid="{EB953B6C-B482-44A0-A6BE-B8EA7D97EFC1}"/>
    <cellStyle name="Porcentual 4 3 3 7" xfId="4044" xr:uid="{1466AFD2-B3EF-403B-83FE-9336C8E9F210}"/>
    <cellStyle name="Porcentual 4 3 3 8" xfId="4045" xr:uid="{579DB25B-FC9A-475A-8B42-FA83501DDAC8}"/>
    <cellStyle name="Porcentual 4 3 3 9" xfId="4046" xr:uid="{37D3D073-DA11-44F0-A667-9CD7C096AF55}"/>
    <cellStyle name="Porcentual 4 3 4" xfId="4047" xr:uid="{CF45024F-51F4-47C3-B9C1-0F166C650306}"/>
    <cellStyle name="Porcentual 4 3 5" xfId="4048" xr:uid="{D0193CD4-11AE-4309-BBB1-4C3C5A1552DC}"/>
    <cellStyle name="Porcentual 4 3 6" xfId="4049" xr:uid="{F5E595AC-4326-4AE9-9795-BF3C0844046A}"/>
    <cellStyle name="Porcentual 4 3 7" xfId="4050" xr:uid="{63CD3B9C-5777-4646-B8EF-38E26A35B57D}"/>
    <cellStyle name="Porcentual 4 3 8" xfId="4051" xr:uid="{DC2ABD16-28EA-44B1-96C0-8355F332A3E5}"/>
    <cellStyle name="Porcentual 4 3 9" xfId="4052" xr:uid="{9976DE48-846E-4645-8F0A-FCCBAC243182}"/>
    <cellStyle name="Porcentual 4 4" xfId="4053" xr:uid="{74A82621-3464-4B8B-BC53-EFEC42CCD3A1}"/>
    <cellStyle name="Porcentual 4 4 10" xfId="4054" xr:uid="{C58F9FEF-F68A-43A4-97BE-FD458D389CE1}"/>
    <cellStyle name="Porcentual 4 4 2" xfId="4055" xr:uid="{2CFDE83F-79DD-4E06-9F42-995B292B3103}"/>
    <cellStyle name="Porcentual 4 4 3" xfId="4056" xr:uid="{2FE545C1-D37E-4A1A-9A64-D38DECED917D}"/>
    <cellStyle name="Porcentual 4 4 4" xfId="4057" xr:uid="{4803299C-E322-4562-8FDC-6CD58344C40C}"/>
    <cellStyle name="Porcentual 4 4 5" xfId="4058" xr:uid="{935364F3-3666-41A9-B0F8-7BE782F95965}"/>
    <cellStyle name="Porcentual 4 4 6" xfId="4059" xr:uid="{AD8F3A2A-6529-46E6-A17B-5ADF607AB233}"/>
    <cellStyle name="Porcentual 4 4 7" xfId="4060" xr:uid="{6177CD74-2D79-4375-B7EE-86DFF062B278}"/>
    <cellStyle name="Porcentual 4 4 8" xfId="4061" xr:uid="{27A8F413-E678-4D68-8B0D-4EDB7AA5E4FA}"/>
    <cellStyle name="Porcentual 4 4 9" xfId="4062" xr:uid="{52936053-959C-4F1C-A267-25FA55E9BBD8}"/>
    <cellStyle name="Porcentual 4 5" xfId="4063" xr:uid="{83AFBEB1-0EE8-4F8F-A1F3-BCB2AB66E7E5}"/>
    <cellStyle name="Porcentual 4 5 10" xfId="4064" xr:uid="{6BE35573-FC8F-49AB-BDF0-3580E59EF7AE}"/>
    <cellStyle name="Porcentual 4 5 2" xfId="4065" xr:uid="{AF0B5904-2B7E-4EBE-8B75-194BB5788A69}"/>
    <cellStyle name="Porcentual 4 5 3" xfId="4066" xr:uid="{00E5FED3-4F4E-4274-96CE-355C4C318806}"/>
    <cellStyle name="Porcentual 4 5 4" xfId="4067" xr:uid="{0D671A63-7A16-4DB1-A35F-3F6813D9C7D8}"/>
    <cellStyle name="Porcentual 4 5 5" xfId="4068" xr:uid="{CAD19F20-CBDD-4108-8898-08785504849F}"/>
    <cellStyle name="Porcentual 4 5 6" xfId="4069" xr:uid="{B8455E82-B787-4ADD-94EC-5CB44B0D519C}"/>
    <cellStyle name="Porcentual 4 5 7" xfId="4070" xr:uid="{9A05ED14-DEDE-45E1-8326-34B5DEDFFE38}"/>
    <cellStyle name="Porcentual 4 5 8" xfId="4071" xr:uid="{0D4BF6B7-B40C-492D-B4C1-5D5C938FEF85}"/>
    <cellStyle name="Porcentual 4 5 9" xfId="4072" xr:uid="{3E60AE86-9288-4B7F-8396-D920A5E43129}"/>
    <cellStyle name="Porcentual 4 6" xfId="4073" xr:uid="{5D596DCA-2AC7-4E33-9959-29BBCDCD771A}"/>
    <cellStyle name="Porcentual 4 7" xfId="4074" xr:uid="{DF1F754E-7120-4625-B4A3-8F3A0C41147E}"/>
    <cellStyle name="Porcentual 4 8" xfId="4075" xr:uid="{E557B456-905D-4D69-9E49-67F117282BDF}"/>
    <cellStyle name="Porcentual 4 9" xfId="4076" xr:uid="{A1A25E6E-4C64-4B16-9CD8-9056BDE9B59A}"/>
    <cellStyle name="Porcentual 5" xfId="4077" xr:uid="{EECADE6F-36EE-4B8D-AE0A-61055C494910}"/>
    <cellStyle name="Porcentual 5 10" xfId="4078" xr:uid="{0FF69CF7-75B7-4140-BC0E-19E5E49DC9E0}"/>
    <cellStyle name="Porcentual 5 11" xfId="4079" xr:uid="{3FEEE3B6-07AB-4515-9415-61D2A83DC574}"/>
    <cellStyle name="Porcentual 5 12" xfId="4080" xr:uid="{5BA4EAD2-9D3E-4A3A-A135-2DFAC14C64B3}"/>
    <cellStyle name="Porcentual 5 2" xfId="4081" xr:uid="{716B73A1-422B-4339-A42A-ED83B786FF7B}"/>
    <cellStyle name="Porcentual 5 2 10" xfId="4082" xr:uid="{1FFA5948-71AF-489E-A268-963B5422D535}"/>
    <cellStyle name="Porcentual 5 2 2" xfId="4083" xr:uid="{CAC84072-CE37-4450-B71B-5C522AA7488F}"/>
    <cellStyle name="Porcentual 5 2 3" xfId="4084" xr:uid="{2F725A91-3B02-48F1-BCB8-E63E1F26A01F}"/>
    <cellStyle name="Porcentual 5 2 4" xfId="4085" xr:uid="{F30EAFA1-89D7-4D84-87F8-93097D0DB20C}"/>
    <cellStyle name="Porcentual 5 2 5" xfId="4086" xr:uid="{107ECE27-D799-41B7-93B1-4279B003401E}"/>
    <cellStyle name="Porcentual 5 2 6" xfId="4087" xr:uid="{2FD7CA1D-942F-4297-BA3F-DD00B27E7352}"/>
    <cellStyle name="Porcentual 5 2 7" xfId="4088" xr:uid="{C0A4E5D9-C641-44FB-BB17-B8DE9C180D41}"/>
    <cellStyle name="Porcentual 5 2 8" xfId="4089" xr:uid="{8A8E1C86-54A1-4FE4-AB41-CB82091023BB}"/>
    <cellStyle name="Porcentual 5 2 9" xfId="4090" xr:uid="{450D7835-94A2-4B41-9FAB-86668DCB28D2}"/>
    <cellStyle name="Porcentual 5 3" xfId="4091" xr:uid="{C05DA707-2CC4-4DE5-9E58-A664585A51D4}"/>
    <cellStyle name="Porcentual 5 3 10" xfId="4092" xr:uid="{2D7D63E4-E233-476D-A007-FE745E70E692}"/>
    <cellStyle name="Porcentual 5 3 2" xfId="4093" xr:uid="{C9D35B6A-E393-49C4-9F79-E327CC24AE59}"/>
    <cellStyle name="Porcentual 5 3 3" xfId="4094" xr:uid="{04C4894E-C1AC-4483-BFB2-A2F9E1DB9520}"/>
    <cellStyle name="Porcentual 5 3 4" xfId="4095" xr:uid="{0C471DE2-576A-4C5D-806A-C725EDA42ED5}"/>
    <cellStyle name="Porcentual 5 3 5" xfId="4096" xr:uid="{ECF2AB7F-CFDE-462F-BB8E-F30E9C1CA624}"/>
    <cellStyle name="Porcentual 5 3 6" xfId="4097" xr:uid="{CC93E5C0-9758-478B-820F-1745038437A9}"/>
    <cellStyle name="Porcentual 5 3 7" xfId="4098" xr:uid="{78D678C8-D117-417C-B87E-6BEB3A597642}"/>
    <cellStyle name="Porcentual 5 3 8" xfId="4099" xr:uid="{87AE6EBD-AF82-4461-BEB4-A2BCCA25B06F}"/>
    <cellStyle name="Porcentual 5 3 9" xfId="4100" xr:uid="{35F26BC6-2F17-41DF-A011-5CC61F0BE91B}"/>
    <cellStyle name="Porcentual 5 4" xfId="4101" xr:uid="{38A61604-A160-42D6-95F3-9C9CC8E8DC93}"/>
    <cellStyle name="Porcentual 5 5" xfId="4102" xr:uid="{4FC1FD4D-9FB7-4FA6-93AF-3B8AC2D195BF}"/>
    <cellStyle name="Porcentual 5 6" xfId="4103" xr:uid="{D5113082-D83D-4A00-95C0-E963F191AC78}"/>
    <cellStyle name="Porcentual 5 7" xfId="4104" xr:uid="{12B86EB0-0358-4887-B45A-B503EBB9F2F5}"/>
    <cellStyle name="Porcentual 5 8" xfId="4105" xr:uid="{62F3650B-06F7-472B-B7E5-4B66D3BB1BE4}"/>
    <cellStyle name="Porcentual 5 9" xfId="4106" xr:uid="{4912F059-63C3-48A4-A55F-73243B587198}"/>
    <cellStyle name="Porcentual 6" xfId="4107" xr:uid="{9F77BF22-CAE9-42F9-BC39-ECD700A4B3DE}"/>
    <cellStyle name="Porcentual 6 10" xfId="4108" xr:uid="{0A5D1B7E-6CE5-4B0C-83FB-8DE2454C26E5}"/>
    <cellStyle name="Porcentual 6 11" xfId="4109" xr:uid="{DD2E73CE-1097-4F24-B7E1-3545914351DD}"/>
    <cellStyle name="Porcentual 6 12" xfId="4110" xr:uid="{A4D59821-6A13-4385-B036-9D6EA04C0710}"/>
    <cellStyle name="Porcentual 6 2" xfId="4111" xr:uid="{B9866420-75CE-4F9F-BB6D-EA3FAEABFBAC}"/>
    <cellStyle name="Porcentual 6 2 10" xfId="4112" xr:uid="{2CB4AD2B-AE5D-452E-86BD-71C7D7987C9B}"/>
    <cellStyle name="Porcentual 6 2 2" xfId="4113" xr:uid="{FC670A36-7163-4109-9A43-E737B9C0556C}"/>
    <cellStyle name="Porcentual 6 2 3" xfId="4114" xr:uid="{79646556-C949-4F5B-9C82-123EB4EF83AB}"/>
    <cellStyle name="Porcentual 6 2 4" xfId="4115" xr:uid="{083130FB-F972-4EEF-9C87-867492F547D8}"/>
    <cellStyle name="Porcentual 6 2 5" xfId="4116" xr:uid="{CE480B04-D5BC-49F4-9BE4-2C1C186147C8}"/>
    <cellStyle name="Porcentual 6 2 6" xfId="4117" xr:uid="{98E19911-90F6-411D-95FF-DA759EE42AD9}"/>
    <cellStyle name="Porcentual 6 2 7" xfId="4118" xr:uid="{735A030F-7449-4750-8182-B08FA5B91A14}"/>
    <cellStyle name="Porcentual 6 2 8" xfId="4119" xr:uid="{F5F54312-A936-4291-AC0D-62BF1A2753C6}"/>
    <cellStyle name="Porcentual 6 2 9" xfId="4120" xr:uid="{355DC830-0689-4CF4-A25E-8BF04B9E3010}"/>
    <cellStyle name="Porcentual 6 3" xfId="4121" xr:uid="{7A0F82C6-78EF-4255-A2AD-BE7B35EDAB2B}"/>
    <cellStyle name="Porcentual 6 3 10" xfId="4122" xr:uid="{1BC5FBC6-68BB-481D-B8E4-D4938876E606}"/>
    <cellStyle name="Porcentual 6 3 2" xfId="4123" xr:uid="{EE42268F-D72F-4603-A344-2FA1DB42FDE7}"/>
    <cellStyle name="Porcentual 6 3 3" xfId="4124" xr:uid="{B67AF689-FF91-43F9-A5AD-5CD3D7D93BE6}"/>
    <cellStyle name="Porcentual 6 3 4" xfId="4125" xr:uid="{C1D60555-C609-42B0-BC9A-093AB9CC8F11}"/>
    <cellStyle name="Porcentual 6 3 5" xfId="4126" xr:uid="{1853701E-BF6C-4BB2-8024-870A1A3335C3}"/>
    <cellStyle name="Porcentual 6 3 6" xfId="4127" xr:uid="{5DB7C8FB-BED8-46E1-97E9-40D0757887D6}"/>
    <cellStyle name="Porcentual 6 3 7" xfId="4128" xr:uid="{076C9272-98C1-4B4D-8EF1-66E3A7C71F19}"/>
    <cellStyle name="Porcentual 6 3 8" xfId="4129" xr:uid="{00A6FB8C-59B1-4157-B6B9-AE80B8093385}"/>
    <cellStyle name="Porcentual 6 3 9" xfId="4130" xr:uid="{A7EE5D7B-E10D-4336-A34F-2375D58CB8B3}"/>
    <cellStyle name="Porcentual 6 4" xfId="4131" xr:uid="{D401119E-E2A4-4F45-BD05-799BFA63667D}"/>
    <cellStyle name="Porcentual 6 4 2" xfId="4132" xr:uid="{290AB115-7779-4F6A-B6BF-7A15CE4A276C}"/>
    <cellStyle name="Porcentual 6 4 3" xfId="4133" xr:uid="{D66E4100-39D1-41F8-BC77-19D74ED96CA6}"/>
    <cellStyle name="Porcentual 6 4 4" xfId="4134" xr:uid="{8CE02B89-7A62-4230-BEF1-1BE96774BA35}"/>
    <cellStyle name="Porcentual 6 4 5" xfId="4135" xr:uid="{3CD9E28B-FE38-4D59-9099-573A0F281C1F}"/>
    <cellStyle name="Porcentual 6 5" xfId="4136" xr:uid="{EDE0BAB4-A611-4C86-ADD7-4C4E94F78E89}"/>
    <cellStyle name="Porcentual 6 5 2" xfId="4137" xr:uid="{DB360DB3-704F-4C8C-89E0-0D77CCF033A4}"/>
    <cellStyle name="Porcentual 6 5 3" xfId="4138" xr:uid="{A45CF8D1-98D7-40A2-A6FC-D28A0DF6C497}"/>
    <cellStyle name="Porcentual 6 5 4" xfId="4139" xr:uid="{A7D85BC3-515F-4552-BB29-66D535AEBA93}"/>
    <cellStyle name="Porcentual 6 5 5" xfId="4140" xr:uid="{2948C931-9894-4C51-98F1-C44F198A0753}"/>
    <cellStyle name="Porcentual 6 6" xfId="4141" xr:uid="{540B7D60-EBB5-404A-95E5-E55A399EA36D}"/>
    <cellStyle name="Porcentual 6 7" xfId="4142" xr:uid="{D057A02B-634C-498D-8FD2-639E2274A276}"/>
    <cellStyle name="Porcentual 6 8" xfId="4143" xr:uid="{2115609E-491C-4586-AE2D-F1246F6A3643}"/>
    <cellStyle name="Porcentual 6 9" xfId="4144" xr:uid="{27733A33-E0D3-465B-9F73-570EA58A4B9A}"/>
    <cellStyle name="Porcentual 7" xfId="4145" xr:uid="{B00DDA49-3303-437B-8E05-9E22C6CB20F0}"/>
    <cellStyle name="Porcentual 8" xfId="4146" xr:uid="{A6DB3DDF-2BFE-49BC-83D0-EB8A82F06317}"/>
    <cellStyle name="PrePop Currency (0)" xfId="4147" xr:uid="{84AD18F1-091D-4E6A-91E2-00009200D833}"/>
    <cellStyle name="PrePop Currency (2)" xfId="4148" xr:uid="{ED06AFEA-DEF4-415C-A637-96D717154D9C}"/>
    <cellStyle name="PrePop Units (0)" xfId="4149" xr:uid="{E429F524-1C11-4CA0-BFD4-7BF4BB43983C}"/>
    <cellStyle name="PrePop Units (1)" xfId="4150" xr:uid="{D58DA24F-F014-4691-AD9D-4B72DFCAD4BE}"/>
    <cellStyle name="PrePop Units (2)" xfId="4151" xr:uid="{434E1842-863B-4A13-8D06-58229A22A1D9}"/>
    <cellStyle name="PSChar" xfId="4152" xr:uid="{EC5A1AFF-7F46-4F31-9E2A-3FBDDA976382}"/>
    <cellStyle name="PSChar 10" xfId="4153" xr:uid="{B617CE73-70F4-4AED-842C-5F381DF78852}"/>
    <cellStyle name="PSChar 11" xfId="4154" xr:uid="{4DBBA42C-283D-4D95-8121-5C80A0D7EAD4}"/>
    <cellStyle name="PSChar 12" xfId="4155" xr:uid="{E7487673-CF35-4C72-8E48-9138334F255A}"/>
    <cellStyle name="PSChar 13" xfId="4156" xr:uid="{24819DC3-2EA1-4F52-82B7-610D4BF62984}"/>
    <cellStyle name="PSChar 14" xfId="4157" xr:uid="{A4B50A7F-8489-46DF-84CD-82F3B7866FC1}"/>
    <cellStyle name="PSChar 2" xfId="4158" xr:uid="{20A810B5-78A0-475C-B52D-D0CC1E8AAA17}"/>
    <cellStyle name="PSChar 3" xfId="4159" xr:uid="{9D26AC90-77A0-431A-962B-19C3D7A5E0C2}"/>
    <cellStyle name="PSChar 4" xfId="4160" xr:uid="{C5D058B2-F184-4C01-AB88-D39517AF8214}"/>
    <cellStyle name="PSChar 5" xfId="4161" xr:uid="{AD659A9E-E292-4991-8301-70BE8E63EF23}"/>
    <cellStyle name="PSChar 6" xfId="4162" xr:uid="{E5C771D2-84B5-444E-8EB7-61B5005B0B94}"/>
    <cellStyle name="PSChar 7" xfId="4163" xr:uid="{830036C6-8193-4086-9291-CD1EC15CC4DF}"/>
    <cellStyle name="PSChar 8" xfId="4164" xr:uid="{44C6D1B3-4AE9-4DFE-9B67-E18F6D38C7E6}"/>
    <cellStyle name="PSChar 9" xfId="4165" xr:uid="{4401C5E5-5B5B-4786-B39C-167EAC1FEA01}"/>
    <cellStyle name="PSHeading" xfId="4166" xr:uid="{6D42DFCC-D2C4-416B-9148-0540BA38891E}"/>
    <cellStyle name="PSSpacer" xfId="4167" xr:uid="{3D29E04F-6F4F-4CDF-A2E0-8D2690BDAD93}"/>
    <cellStyle name="PSSpacer 10" xfId="4168" xr:uid="{43773563-6613-40BB-8452-646F20E650AA}"/>
    <cellStyle name="PSSpacer 11" xfId="4169" xr:uid="{C74ECA1E-1A83-46BF-8385-2C9473FC4BD2}"/>
    <cellStyle name="PSSpacer 12" xfId="4170" xr:uid="{C38F09C3-F1CE-4695-92C7-DD32540FFAD4}"/>
    <cellStyle name="PSSpacer 13" xfId="4171" xr:uid="{2DFAF830-2697-4B7B-8C6C-33B41E1C6D55}"/>
    <cellStyle name="PSSpacer 14" xfId="4172" xr:uid="{A3B5C99C-5BCD-401F-98C2-45C7371BF28E}"/>
    <cellStyle name="PSSpacer 2" xfId="4173" xr:uid="{F4D61726-A55E-4731-ADE1-C4D685CA5907}"/>
    <cellStyle name="PSSpacer 3" xfId="4174" xr:uid="{FE236650-70D1-471C-B5A9-231FF70D830B}"/>
    <cellStyle name="PSSpacer 4" xfId="4175" xr:uid="{14F00B90-11A5-4707-9DB8-4FF87B6498DD}"/>
    <cellStyle name="PSSpacer 5" xfId="4176" xr:uid="{19612E48-8782-4DBA-8BD9-5D29187D2237}"/>
    <cellStyle name="PSSpacer 6" xfId="4177" xr:uid="{B5462CDD-2A62-4C0D-A605-4AA7A2F82A6B}"/>
    <cellStyle name="PSSpacer 7" xfId="4178" xr:uid="{6F51CCF4-B73B-44A1-8C28-225275E9A021}"/>
    <cellStyle name="PSSpacer 8" xfId="4179" xr:uid="{6C759E7F-CA5F-420F-B48E-2011F1FDAE1F}"/>
    <cellStyle name="PSSpacer 9" xfId="4180" xr:uid="{E45A4F12-121D-46F8-B8BD-0FD1ECED626B}"/>
    <cellStyle name="Red" xfId="4181" xr:uid="{703CDE53-0AA8-4A9D-AFDA-CAB8C76E6EC5}"/>
    <cellStyle name="ReportTitlePrompt" xfId="4182" xr:uid="{0AFF9EE7-A8CB-4502-9850-E822612FDDC7}"/>
    <cellStyle name="ReportTitleValue" xfId="4183" xr:uid="{C7930957-207D-457F-81BA-5F2ED86E6D97}"/>
    <cellStyle name="robs" xfId="4184" xr:uid="{1811A3F1-8D5D-406D-85A6-509809EFF804}"/>
    <cellStyle name="RowAcctAbovePrompt" xfId="4185" xr:uid="{05A4F118-7832-4F4E-9889-9185E90EB579}"/>
    <cellStyle name="RowAcctSOBAbovePrompt" xfId="4186" xr:uid="{B07ADE27-CB04-4320-83EA-0C58FEDBB098}"/>
    <cellStyle name="RowAcctSOBValue" xfId="4187" xr:uid="{E1B973F5-B29E-40A1-A2D3-92F3EE41D9FE}"/>
    <cellStyle name="RowAcctValue" xfId="4188" xr:uid="{77D5D7B8-DE7B-4DF4-9E2F-2880162BF6D4}"/>
    <cellStyle name="RowAttrAbovePrompt" xfId="4189" xr:uid="{40518629-D91C-4F48-BEA3-0745D1A9F3CD}"/>
    <cellStyle name="RowAttrValue" xfId="4190" xr:uid="{409FAC65-7278-49A4-8804-09BB0D2C0CA5}"/>
    <cellStyle name="RowColSetAbovePrompt" xfId="4191" xr:uid="{BF0313D9-D9C9-41FF-BD72-F2B3056B6217}"/>
    <cellStyle name="RowColSetLeftPrompt" xfId="4192" xr:uid="{989CABAA-F994-4C61-8D3E-78B278A3A2AD}"/>
    <cellStyle name="RowColSetValue" xfId="4193" xr:uid="{372D6BD6-3D02-445D-9E33-97E5869E51BB}"/>
    <cellStyle name="RowLeftPrompt" xfId="4194" xr:uid="{CE180D87-0747-47DA-9347-B687B558AAD9}"/>
    <cellStyle name="Salida 2" xfId="4195" xr:uid="{21D44D4C-F1F2-4FB9-97F4-0F2E39C24DE3}"/>
    <cellStyle name="Salida 3" xfId="4196" xr:uid="{30D12339-DCEA-415F-A123-F2F9F28E0709}"/>
    <cellStyle name="Salida 4" xfId="4197" xr:uid="{BACC63C3-E667-4793-A7A2-260445453DB1}"/>
    <cellStyle name="Salida 5" xfId="4198" xr:uid="{1B05823F-AC4E-4042-88C9-BF3E5A44FC19}"/>
    <cellStyle name="Salida 6" xfId="4199" xr:uid="{8FBC11AF-9E5C-4E9E-9C0B-EC3BD81FED6E}"/>
    <cellStyle name="SampleUsingFormatMask" xfId="4200" xr:uid="{09827828-EF59-4EA9-89B3-3EAA9CAB42BC}"/>
    <cellStyle name="SampleWithNoFormatMask" xfId="4201" xr:uid="{1942BF3E-20F0-45A2-B9D2-C6F2A0680782}"/>
    <cellStyle name="Separador de milhares [0]_IB06" xfId="4202" xr:uid="{A4307D05-23F3-4FAE-97B1-8A2F374AF942}"/>
    <cellStyle name="Separador de milhares_IB06" xfId="4203" xr:uid="{6AD35002-895F-48A0-A30E-71DD1D829ED9}"/>
    <cellStyle name="shade" xfId="4204" xr:uid="{25A1252F-39BD-4F6D-9F8E-095961A499D5}"/>
    <cellStyle name="shade 2" xfId="4205" xr:uid="{D5D766BF-C119-4DB4-B51F-2D6B570C1CED}"/>
    <cellStyle name="shade 3" xfId="4206" xr:uid="{16FD0958-E1A1-4293-AF57-6493A827D895}"/>
    <cellStyle name="shade 3 2" xfId="4207" xr:uid="{35619AD7-E5B9-4409-A41F-57D03B82E633}"/>
    <cellStyle name="Single Accounting" xfId="4208" xr:uid="{0D412802-096E-41E9-A997-C8B900434B72}"/>
    <cellStyle name="Single Accounting 2" xfId="4876" xr:uid="{73E65221-E36B-433B-9C76-A3F99569871E}"/>
    <cellStyle name="Single Accounting 2 2" xfId="6549" xr:uid="{AD65EB86-B711-4EF8-9F29-7F892587EFB5}"/>
    <cellStyle name="Single Accounting 2 3" xfId="8221" xr:uid="{83E20C77-2944-4F6C-BC6A-07822AE823F2}"/>
    <cellStyle name="Single Accounting 3" xfId="5433" xr:uid="{6CA876F7-7B03-47A3-8C77-DDF45D868AA7}"/>
    <cellStyle name="Single Accounting 3 2" xfId="7106" xr:uid="{D5F2CE1C-A561-4AA2-A601-1504C84DECE1}"/>
    <cellStyle name="Single Accounting 3 3" xfId="8778" xr:uid="{E6D056E6-1020-4D5A-B8CE-986B472852EF}"/>
    <cellStyle name="Single Accounting 4" xfId="5991" xr:uid="{5AD30017-8DB2-4B73-9DF3-110BE21BB087}"/>
    <cellStyle name="Single Accounting 5" xfId="7663" xr:uid="{A78161F1-2A23-490C-8A62-D6A245EE2B84}"/>
    <cellStyle name="Single Accounting 6" xfId="9335" xr:uid="{751251F7-A558-4A4C-A53D-DE02CEE06470}"/>
    <cellStyle name="STANDARD" xfId="4209" xr:uid="{62AC2A3F-D2BA-401B-B8A3-E4F076968B7B}"/>
    <cellStyle name="STANDARD 10" xfId="4210" xr:uid="{54041ABE-A412-47E6-BF5F-8AAFA91D3150}"/>
    <cellStyle name="STANDARD 11" xfId="4211" xr:uid="{A17FBE30-F87F-4D1F-AC86-10617884D14B}"/>
    <cellStyle name="STANDARD 12" xfId="4212" xr:uid="{50D13388-7D01-4BFC-AFF2-D7C28E4C628A}"/>
    <cellStyle name="STANDARD 13" xfId="4213" xr:uid="{CEE20F26-FB89-4AE3-9DF0-7AE867BCF47A}"/>
    <cellStyle name="STANDARD 14" xfId="4214" xr:uid="{20C383BA-FF78-4420-BD09-75922F537192}"/>
    <cellStyle name="STANDARD 2" xfId="4215" xr:uid="{21391D27-61E4-47CF-8218-89727131CBC9}"/>
    <cellStyle name="STANDARD 3" xfId="4216" xr:uid="{D5662509-B854-40EE-A42C-6494616D8C3C}"/>
    <cellStyle name="STANDARD 4" xfId="4217" xr:uid="{80487499-609F-4AFB-81C0-251E654A9D1E}"/>
    <cellStyle name="STANDARD 5" xfId="4218" xr:uid="{FD869F83-3B17-42A0-ACFC-94D1649EDF4E}"/>
    <cellStyle name="STANDARD 6" xfId="4219" xr:uid="{E58BAE9D-8E3F-4664-AD90-60F0819EB41B}"/>
    <cellStyle name="STANDARD 7" xfId="4220" xr:uid="{6DCE5875-2317-4CFF-A260-FF6A77B2D7BF}"/>
    <cellStyle name="STANDARD 8" xfId="4221" xr:uid="{88E5EB5D-DD30-4497-A54A-FD74C7CC9333}"/>
    <cellStyle name="STANDARD 9" xfId="4222" xr:uid="{A5B4FE9A-ED00-4444-A29A-80EC1AE90C16}"/>
    <cellStyle name="STANDARD_20100528 Inventario GA" xfId="4223" xr:uid="{1162F678-F13F-4A8F-8C0E-76AFF916F3FD}"/>
    <cellStyle name="Style 1" xfId="4224" xr:uid="{96E081D0-5EC8-44FC-A51C-29635EDFAFDE}"/>
    <cellStyle name="Style 1 10" xfId="4225" xr:uid="{4B7BF628-7AF3-4276-8E1E-C56E9FB5B850}"/>
    <cellStyle name="Style 1 11" xfId="4226" xr:uid="{AB4C9C28-B268-4C77-9D5A-1770BFF685B8}"/>
    <cellStyle name="Style 1 12" xfId="4227" xr:uid="{7FE2A282-A262-492A-9CFE-9C01A66A7093}"/>
    <cellStyle name="Style 1 13" xfId="4228" xr:uid="{75F2F60C-8AC9-4B18-81F3-F2C4725D949B}"/>
    <cellStyle name="Style 1 14" xfId="4229" xr:uid="{EBE95DDB-D76E-4170-965D-DAC10AB3D4C7}"/>
    <cellStyle name="Style 1 2" xfId="4230" xr:uid="{E1AB167B-3C42-4FCD-BA38-AE81ED0AC75D}"/>
    <cellStyle name="Style 1 3" xfId="4231" xr:uid="{B40470E4-E02A-4D31-8B59-D86CF346EC6B}"/>
    <cellStyle name="Style 1 4" xfId="4232" xr:uid="{9DEDBCC7-C422-459F-9296-C76823A0FB09}"/>
    <cellStyle name="Style 1 5" xfId="4233" xr:uid="{10AC7D07-43A7-43E0-9F58-BADD645D4BAD}"/>
    <cellStyle name="Style 1 6" xfId="4234" xr:uid="{A746F837-DDB0-460D-B5E8-2DAB89A029AC}"/>
    <cellStyle name="Style 1 7" xfId="4235" xr:uid="{CDAFE8B1-0A53-456B-933A-3F7920BA636F}"/>
    <cellStyle name="Style 1 8" xfId="4236" xr:uid="{1C2FD5C4-441F-473D-ABDC-4AE8D29DB167}"/>
    <cellStyle name="Style 1 9" xfId="4237" xr:uid="{62EF028D-DC00-4B33-858C-4DC85114C4BD}"/>
    <cellStyle name="Style 2" xfId="4238" xr:uid="{0644C328-7C43-4AF4-9114-ABA4B8E6A56C}"/>
    <cellStyle name="Style 2 10" xfId="4239" xr:uid="{E58992B7-3E83-4D25-A03E-AC280461BBAB}"/>
    <cellStyle name="Style 2 11" xfId="4240" xr:uid="{264A6B20-6FA7-4303-B899-89D49B52D90E}"/>
    <cellStyle name="Style 2 12" xfId="4241" xr:uid="{15B2D39D-7CA4-4156-8C9D-89AB6B10279E}"/>
    <cellStyle name="Style 2 13" xfId="4242" xr:uid="{CECE258A-27AC-46BE-993C-73191D32F61F}"/>
    <cellStyle name="Style 2 14" xfId="4243" xr:uid="{456A28EE-BE3A-4A9B-8DE3-92829E085D4B}"/>
    <cellStyle name="Style 2 2" xfId="4244" xr:uid="{F4AA4AE3-C16A-4CB8-9EE4-6257586B0D90}"/>
    <cellStyle name="Style 2 3" xfId="4245" xr:uid="{4AF0DA62-8A32-46BE-A1B2-1BE1EEFA0FBC}"/>
    <cellStyle name="Style 2 4" xfId="4246" xr:uid="{63DD37D3-B974-4F77-86CA-37E9A4A8D6F3}"/>
    <cellStyle name="Style 2 5" xfId="4247" xr:uid="{82333F2F-C166-4261-B37C-2406899637F6}"/>
    <cellStyle name="Style 2 6" xfId="4248" xr:uid="{5E91A8CC-0D7A-49BA-80F0-D1541B3FF539}"/>
    <cellStyle name="Style 2 7" xfId="4249" xr:uid="{B0FF1665-0F4D-4F85-B7DF-B40AB85F0A00}"/>
    <cellStyle name="Style 2 8" xfId="4250" xr:uid="{CE1B8D1C-B7AB-4D7A-9B54-6B8E0BE9EA8B}"/>
    <cellStyle name="Style 2 9" xfId="4251" xr:uid="{5F3876F3-C89C-42F4-82E7-227F7A0A70A8}"/>
    <cellStyle name="Text Indent A" xfId="4252" xr:uid="{BA61FCB1-1F6E-47A0-A3D0-CDDD367DD3D4}"/>
    <cellStyle name="Text Indent B" xfId="4253" xr:uid="{171B4DE8-6AC0-4A50-9D30-0E52128C282B}"/>
    <cellStyle name="Text Indent C" xfId="4254" xr:uid="{A285B487-0FCF-43AB-BEB0-D043ED539ADC}"/>
    <cellStyle name="Texto de advertencia 2" xfId="4255" xr:uid="{9942BC52-0515-41AA-AD09-DFB412092C6B}"/>
    <cellStyle name="Texto de advertencia 3" xfId="4256" xr:uid="{92F1CAA7-0450-4981-A4E4-88626B64800E}"/>
    <cellStyle name="Texto de advertencia 4" xfId="4257" xr:uid="{340C3D71-B600-4D79-90D0-39E31A2A9346}"/>
    <cellStyle name="Texto de advertencia 5" xfId="4258" xr:uid="{54EBABA3-6C13-4AC3-92AA-A6EE25C20B42}"/>
    <cellStyle name="Texto de advertencia 6" xfId="4259" xr:uid="{1498BEDE-ABB6-4D3D-9B3C-E2031E27F677}"/>
    <cellStyle name="Texto explicativo 2" xfId="4260" xr:uid="{C2EEE7F6-253F-4F66-ADB5-142A75576282}"/>
    <cellStyle name="Texto explicativo 3" xfId="4261" xr:uid="{5D93A09B-9458-4FFF-944A-BD831D248BDD}"/>
    <cellStyle name="Texto explicativo 4" xfId="4262" xr:uid="{C628A79A-25A2-4864-8CCF-9990343EE6B9}"/>
    <cellStyle name="Texto explicativo 5" xfId="4263" xr:uid="{15500A99-8352-4536-93DA-BDEE8678B8E0}"/>
    <cellStyle name="Texto explicativo 6" xfId="4264" xr:uid="{6D394FA3-BC93-4656-9CA6-D83A964105F7}"/>
    <cellStyle name="Times 10" xfId="4265" xr:uid="{D0D8CA26-3458-4A1A-AC17-B63297158B68}"/>
    <cellStyle name="Times 12" xfId="4266" xr:uid="{4C8677B7-84BD-4E43-8E58-D5CCEA035CC9}"/>
    <cellStyle name="Title" xfId="4267" xr:uid="{F289EE0C-BC4A-4FDD-AFC6-797244B84DE8}"/>
    <cellStyle name="Título 1 2" xfId="4268" xr:uid="{42BCCE1C-21A2-4FB9-A2DC-A027AA441227}"/>
    <cellStyle name="Título 1 3" xfId="4269" xr:uid="{FC2C4600-EF9A-4629-98D5-AB04FA987367}"/>
    <cellStyle name="Título 1 4" xfId="4270" xr:uid="{0ED35724-9F2C-4B6C-B36C-58322B7DF6C2}"/>
    <cellStyle name="Título 1 5" xfId="4271" xr:uid="{D3DBE34B-D69D-462E-A85E-D12778724FD4}"/>
    <cellStyle name="Título 1 6" xfId="4272" xr:uid="{C7439EE5-616A-42C7-824B-8ABC9B6FB556}"/>
    <cellStyle name="Título 2 2" xfId="4273" xr:uid="{B85AE483-F879-4C5A-9AEE-7CFDC88B4212}"/>
    <cellStyle name="Título 2 3" xfId="4274" xr:uid="{9FF6B4EF-D0AE-4D25-AC21-75B4D6F1A8BA}"/>
    <cellStyle name="Título 2 4" xfId="4275" xr:uid="{B3F68405-D8AA-49E7-8469-8A968A99220E}"/>
    <cellStyle name="Título 2 5" xfId="4276" xr:uid="{5336335C-6108-4C4D-B524-5E5FBA28360E}"/>
    <cellStyle name="Título 2 6" xfId="4277" xr:uid="{C0A8261A-696E-43EE-8B11-337743E44E20}"/>
    <cellStyle name="Título 3 2" xfId="4278" xr:uid="{BD6DA4E8-B74C-419F-A295-C173719A4B79}"/>
    <cellStyle name="Título 3 3" xfId="4279" xr:uid="{3EC52609-28E9-421E-8D01-CB72D6451B4F}"/>
    <cellStyle name="Título 3 4" xfId="4280" xr:uid="{8697964C-D431-46E5-882B-A6529A5CEDDF}"/>
    <cellStyle name="Título 3 5" xfId="4281" xr:uid="{818E9EA6-7E23-4DBB-9D1A-94ED250339EE}"/>
    <cellStyle name="Título 3 6" xfId="4282" xr:uid="{A3C7E916-2BB0-49D9-B5F1-95C8F8F0AF7C}"/>
    <cellStyle name="Título 4" xfId="4283" xr:uid="{819502C1-3EB4-4A75-97CC-754339C855EC}"/>
    <cellStyle name="Título 5" xfId="4284" xr:uid="{94011686-2B82-4564-9986-09A0BD133BE5}"/>
    <cellStyle name="Título 6" xfId="4285" xr:uid="{622FD64A-3B1A-45AE-987E-F78191710760}"/>
    <cellStyle name="Título 7" xfId="4286" xr:uid="{31FCD604-431F-4BC5-9A39-6E232B9A0670}"/>
    <cellStyle name="Título 8" xfId="4287" xr:uid="{D553DCE8-75D9-45D1-B5ED-C26538126576}"/>
    <cellStyle name="Total 2" xfId="4288" xr:uid="{763AE5B8-EE09-4EB3-9D21-9BA1CB10569A}"/>
    <cellStyle name="Total 2 2" xfId="4289" xr:uid="{A3F36D42-5290-4C2A-8489-B757B9606F9A}"/>
    <cellStyle name="Total 2 2 2" xfId="4290" xr:uid="{46ACD179-EFEE-4FBA-AE53-51A6B8FAB333}"/>
    <cellStyle name="Total 2 3" xfId="4291" xr:uid="{C245E85D-08D5-4041-A08C-1EB2BDC0D7E4}"/>
    <cellStyle name="Total 2 3 2" xfId="4292" xr:uid="{5066F346-F3A0-4358-AB46-CE161E16D777}"/>
    <cellStyle name="Total 2 4" xfId="4293" xr:uid="{657F22D0-24BD-4545-9520-DE548E5D3A2E}"/>
    <cellStyle name="Total 2 4 2" xfId="4294" xr:uid="{52E833B5-B294-4DD3-B26C-8A353B8EC61A}"/>
    <cellStyle name="Total 2 5" xfId="4295" xr:uid="{6A03231B-02CD-4055-AB4C-B381590574EF}"/>
    <cellStyle name="Total 2 5 2" xfId="4296" xr:uid="{590FA4F1-DBA9-4A78-8DCD-2009AE47C860}"/>
    <cellStyle name="Total 2 6" xfId="4297" xr:uid="{E4C18BCF-6C02-4F74-9E56-2D469B4A67DA}"/>
    <cellStyle name="Total 3" xfId="4298" xr:uid="{331F68CF-22F4-441D-BBAE-F89F2795B25F}"/>
    <cellStyle name="Total 3 2" xfId="4299" xr:uid="{A6C71240-96A1-431F-A9C8-B95403332EE1}"/>
    <cellStyle name="Total 4" xfId="4300" xr:uid="{7537A135-B0D6-4E3E-9AC6-A1EB1991F1B1}"/>
    <cellStyle name="Total 4 2" xfId="4301" xr:uid="{9D397C5D-4B2D-4C11-A456-E86A8E4D8A6E}"/>
    <cellStyle name="Total 5" xfId="4302" xr:uid="{E0004134-2088-4942-8124-A4940F578794}"/>
    <cellStyle name="Total 5 2" xfId="4303" xr:uid="{D3237B17-1843-4DC1-8670-03D375BAB622}"/>
    <cellStyle name="Total 6" xfId="4304" xr:uid="{FA5FDE12-C177-4B34-8F08-46FDAEEF53A4}"/>
    <cellStyle name="Total 6 2" xfId="4305" xr:uid="{16853D88-D565-48BD-AFF4-2CA15FC1AF77}"/>
    <cellStyle name="UploadThisRowValue" xfId="4306" xr:uid="{29350D06-F1FF-4952-BFBF-AEB0BD5102D7}"/>
    <cellStyle name="Yen" xfId="4307" xr:uid="{62125836-9BCE-4E82-9ACE-3E3EC05922A8}"/>
    <cellStyle name="一般_1999_CORP ACCTG" xfId="4308" xr:uid="{3B32D503-3178-4A28-8BED-3CB95F8794B3}"/>
    <cellStyle name="千分位[0]_PERSONAL" xfId="4309" xr:uid="{E6F8063A-6C87-43E7-BD8B-F2D79877EEE5}"/>
    <cellStyle name="千分位_PERSONAL" xfId="4310" xr:uid="{1A560FC5-A278-47B0-9AD1-872F371CFA04}"/>
    <cellStyle name="常规 2" xfId="4311" xr:uid="{7630D115-B97E-44A9-A443-F4F7B0EF70AF}"/>
    <cellStyle name="常规 3" xfId="4312" xr:uid="{FB118112-9E0D-464E-9FBD-245B6F5AA6DA}"/>
    <cellStyle name="貨幣 [0]_PERSONAL" xfId="4313" xr:uid="{B8FFD4D2-051B-4EB9-94B6-2B88AD285596}"/>
    <cellStyle name="貨幣_PERSONAL" xfId="4314" xr:uid="{4906D425-3A4C-4CC9-926D-44ABAA3DA275}"/>
  </cellStyles>
  <dxfs count="3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9" tint="0.59996337778862885"/>
        </patternFill>
      </fill>
    </dxf>
  </dxfs>
  <tableStyles count="0" defaultTableStyle="TableStyleMedium2" defaultPivotStyle="PivotStyleLight16"/>
  <colors>
    <mruColors>
      <color rgb="FF44C8F5"/>
      <color rgb="FF0574AC"/>
      <color rgb="FFEF6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123825</xdr:rowOff>
    </xdr:from>
    <xdr:to>
      <xdr:col>7</xdr:col>
      <xdr:colOff>514350</xdr:colOff>
      <xdr:row>16</xdr:row>
      <xdr:rowOff>104775</xdr:rowOff>
    </xdr:to>
    <xdr:sp macro="" textlink="">
      <xdr:nvSpPr>
        <xdr:cNvPr id="2" name="1 Igual q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629275" y="1552575"/>
          <a:ext cx="419100" cy="371475"/>
        </a:xfrm>
        <a:prstGeom prst="mathEqual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114299</xdr:colOff>
      <xdr:row>2</xdr:row>
      <xdr:rowOff>219075</xdr:rowOff>
    </xdr:from>
    <xdr:to>
      <xdr:col>8</xdr:col>
      <xdr:colOff>742950</xdr:colOff>
      <xdr:row>3</xdr:row>
      <xdr:rowOff>209550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333749" y="647700"/>
          <a:ext cx="2286001" cy="219075"/>
        </a:xfrm>
        <a:prstGeom prst="rect">
          <a:avLst/>
        </a:prstGeom>
        <a:solidFill>
          <a:srgbClr val="FFFF66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C00000"/>
              </a:solidFill>
            </a:rPr>
            <a:t>1</a:t>
          </a:r>
          <a:r>
            <a:rPr lang="en-US" sz="1100" baseline="0">
              <a:solidFill>
                <a:sysClr val="windowText" lastClr="000000"/>
              </a:solidFill>
            </a:rPr>
            <a:t>  Selecciona la </a:t>
          </a:r>
          <a:r>
            <a:rPr lang="en-US" sz="1100" b="1" baseline="0">
              <a:solidFill>
                <a:sysClr val="windowText" lastClr="000000"/>
              </a:solidFill>
            </a:rPr>
            <a:t>Marca</a:t>
          </a:r>
          <a:r>
            <a:rPr lang="en-US" sz="1100" baseline="0">
              <a:solidFill>
                <a:sysClr val="windowText" lastClr="000000"/>
              </a:solidFill>
            </a:rPr>
            <a:t> del Equipo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190499</xdr:colOff>
      <xdr:row>4</xdr:row>
      <xdr:rowOff>34926</xdr:rowOff>
    </xdr:from>
    <xdr:to>
      <xdr:col>9</xdr:col>
      <xdr:colOff>57150</xdr:colOff>
      <xdr:row>5</xdr:row>
      <xdr:rowOff>6350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102099" y="949326"/>
          <a:ext cx="2406651" cy="238124"/>
        </a:xfrm>
        <a:prstGeom prst="rect">
          <a:avLst/>
        </a:prstGeom>
        <a:solidFill>
          <a:srgbClr val="FFFF66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rgbClr val="C00000"/>
              </a:solidFill>
            </a:rPr>
            <a:t>2</a:t>
          </a:r>
          <a:r>
            <a:rPr lang="en-US" sz="1100" baseline="0">
              <a:solidFill>
                <a:sysClr val="windowText" lastClr="000000"/>
              </a:solidFill>
            </a:rPr>
            <a:t>  Selecciona el </a:t>
          </a:r>
          <a:r>
            <a:rPr lang="en-US" sz="1100" b="1" baseline="0">
              <a:solidFill>
                <a:sysClr val="windowText" lastClr="000000"/>
              </a:solidFill>
            </a:rPr>
            <a:t>Modelo</a:t>
          </a:r>
          <a:r>
            <a:rPr lang="en-US" sz="1100" baseline="0">
              <a:solidFill>
                <a:sysClr val="windowText" lastClr="000000"/>
              </a:solidFill>
            </a:rPr>
            <a:t> del Equipo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12700</xdr:colOff>
      <xdr:row>3</xdr:row>
      <xdr:rowOff>100013</xdr:rowOff>
    </xdr:from>
    <xdr:to>
      <xdr:col>6</xdr:col>
      <xdr:colOff>114299</xdr:colOff>
      <xdr:row>3</xdr:row>
      <xdr:rowOff>114300</xdr:rowOff>
    </xdr:to>
    <xdr:cxnSp macro="">
      <xdr:nvCxnSpPr>
        <xdr:cNvPr id="6" name="5 Conector recto de flech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stCxn id="3" idx="1"/>
        </xdr:cNvCxnSpPr>
      </xdr:nvCxnSpPr>
      <xdr:spPr>
        <a:xfrm flipH="1">
          <a:off x="4254500" y="747713"/>
          <a:ext cx="279399" cy="14287"/>
        </a:xfrm>
        <a:prstGeom prst="straightConnector1">
          <a:avLst/>
        </a:prstGeom>
        <a:ln w="15875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142872</xdr:colOff>
      <xdr:row>7</xdr:row>
      <xdr:rowOff>127000</xdr:rowOff>
    </xdr:from>
    <xdr:to>
      <xdr:col>13</xdr:col>
      <xdr:colOff>105832</xdr:colOff>
      <xdr:row>9</xdr:row>
      <xdr:rowOff>69850</xdr:rowOff>
    </xdr:to>
    <xdr:sp macro="" textlink="">
      <xdr:nvSpPr>
        <xdr:cNvPr id="12" name="11 Rectángul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308862" y="1840177"/>
          <a:ext cx="3766345" cy="472017"/>
        </a:xfrm>
        <a:prstGeom prst="rect">
          <a:avLst/>
        </a:prstGeom>
        <a:solidFill>
          <a:srgbClr val="FFFF66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rgbClr val="C00000"/>
              </a:solidFill>
            </a:rPr>
            <a:t>4</a:t>
          </a:r>
          <a:r>
            <a:rPr lang="en-US" sz="1100" baseline="0">
              <a:solidFill>
                <a:sysClr val="windowText" lastClr="000000"/>
              </a:solidFill>
            </a:rPr>
            <a:t>  Coloca el </a:t>
          </a:r>
          <a:r>
            <a:rPr lang="en-US" sz="1100" b="1" baseline="0">
              <a:solidFill>
                <a:sysClr val="windowText" lastClr="000000"/>
              </a:solidFill>
            </a:rPr>
            <a:t>Pago Inicial del Equipo con IVA</a:t>
          </a:r>
        </a:p>
        <a:p>
          <a:pPr algn="ctr"/>
          <a:r>
            <a:rPr lang="en-US" sz="1100" b="0" baseline="0">
              <a:solidFill>
                <a:sysClr val="windowText" lastClr="000000"/>
              </a:solidFill>
            </a:rPr>
            <a:t>lo podrás obtener del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Folio de la Oferta Activada al Cliente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895350</xdr:colOff>
      <xdr:row>9</xdr:row>
      <xdr:rowOff>47625</xdr:rowOff>
    </xdr:from>
    <xdr:to>
      <xdr:col>6</xdr:col>
      <xdr:colOff>901700</xdr:colOff>
      <xdr:row>11</xdr:row>
      <xdr:rowOff>254000</xdr:rowOff>
    </xdr:to>
    <xdr:cxnSp macro="">
      <xdr:nvCxnSpPr>
        <xdr:cNvPr id="14" name="13 Conector recto de flecha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5314950" y="1762125"/>
          <a:ext cx="6350" cy="384175"/>
        </a:xfrm>
        <a:prstGeom prst="straightConnector1">
          <a:avLst/>
        </a:prstGeom>
        <a:ln w="15875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1934103</xdr:colOff>
      <xdr:row>20</xdr:row>
      <xdr:rowOff>164837</xdr:rowOff>
    </xdr:from>
    <xdr:to>
      <xdr:col>7</xdr:col>
      <xdr:colOff>417778</xdr:colOff>
      <xdr:row>22</xdr:row>
      <xdr:rowOff>21961</xdr:rowOff>
    </xdr:to>
    <xdr:sp macro="" textlink="">
      <xdr:nvSpPr>
        <xdr:cNvPr id="15" name="14 Rectángul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878791" y="3981452"/>
          <a:ext cx="2836070" cy="227540"/>
        </a:xfrm>
        <a:prstGeom prst="rect">
          <a:avLst/>
        </a:prstGeom>
        <a:solidFill>
          <a:srgbClr val="FFFF66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rgbClr val="C00000"/>
              </a:solidFill>
            </a:rPr>
            <a:t>3</a:t>
          </a:r>
          <a:r>
            <a:rPr lang="en-US" sz="1100" baseline="0">
              <a:solidFill>
                <a:sysClr val="windowText" lastClr="000000"/>
              </a:solidFill>
            </a:rPr>
            <a:t>  Selecciona el número de </a:t>
          </a:r>
          <a:r>
            <a:rPr lang="en-US" sz="1100" b="1" baseline="0">
              <a:solidFill>
                <a:sysClr val="windowText" lastClr="000000"/>
              </a:solidFill>
            </a:rPr>
            <a:t>Meses del Plazo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742950</xdr:colOff>
      <xdr:row>16</xdr:row>
      <xdr:rowOff>235480</xdr:rowOff>
    </xdr:from>
    <xdr:to>
      <xdr:col>6</xdr:col>
      <xdr:colOff>749300</xdr:colOff>
      <xdr:row>20</xdr:row>
      <xdr:rowOff>175156</xdr:rowOff>
    </xdr:to>
    <xdr:cxnSp macro="">
      <xdr:nvCxnSpPr>
        <xdr:cNvPr id="19" name="18 Conector recto de flecha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5908940" y="3317876"/>
          <a:ext cx="6350" cy="673895"/>
        </a:xfrm>
        <a:prstGeom prst="straightConnector1">
          <a:avLst/>
        </a:prstGeom>
        <a:ln w="15875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</xdr:row>
      <xdr:rowOff>184150</xdr:rowOff>
    </xdr:from>
    <xdr:to>
      <xdr:col>6</xdr:col>
      <xdr:colOff>190499</xdr:colOff>
      <xdr:row>4</xdr:row>
      <xdr:rowOff>185738</xdr:rowOff>
    </xdr:to>
    <xdr:cxnSp macro="">
      <xdr:nvCxnSpPr>
        <xdr:cNvPr id="16" name="15 Conector recto de flecha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4241800" y="1098550"/>
          <a:ext cx="368299" cy="1588"/>
        </a:xfrm>
        <a:prstGeom prst="straightConnector1">
          <a:avLst/>
        </a:prstGeom>
        <a:ln w="15875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5</xdr:row>
      <xdr:rowOff>63500</xdr:rowOff>
    </xdr:from>
    <xdr:to>
      <xdr:col>8</xdr:col>
      <xdr:colOff>482600</xdr:colOff>
      <xdr:row>6</xdr:row>
      <xdr:rowOff>44450</xdr:rowOff>
    </xdr:to>
    <xdr:sp macro="" textlink="">
      <xdr:nvSpPr>
        <xdr:cNvPr id="5" name="3 Rectángulo">
          <a:extLst>
            <a:ext uri="{FF2B5EF4-FFF2-40B4-BE49-F238E27FC236}">
              <a16:creationId xmlns:a16="http://schemas.microsoft.com/office/drawing/2014/main" id="{01743112-346F-48FE-A05A-3CA6E1388565}"/>
            </a:ext>
          </a:extLst>
        </xdr:cNvPr>
        <xdr:cNvSpPr/>
      </xdr:nvSpPr>
      <xdr:spPr>
        <a:xfrm>
          <a:off x="5391150" y="1244600"/>
          <a:ext cx="1993900" cy="247650"/>
        </a:xfrm>
        <a:prstGeom prst="rect">
          <a:avLst/>
        </a:prstGeom>
        <a:solidFill>
          <a:srgbClr val="FFFF66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rgbClr val="C00000"/>
              </a:solidFill>
            </a:rPr>
            <a:t>5</a:t>
          </a:r>
          <a:r>
            <a:rPr lang="en-US" sz="1100" baseline="0">
              <a:solidFill>
                <a:sysClr val="windowText" lastClr="000000"/>
              </a:solidFill>
            </a:rPr>
            <a:t>  Selecciona una opción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44450</xdr:colOff>
      <xdr:row>5</xdr:row>
      <xdr:rowOff>152400</xdr:rowOff>
    </xdr:from>
    <xdr:to>
      <xdr:col>6</xdr:col>
      <xdr:colOff>234949</xdr:colOff>
      <xdr:row>5</xdr:row>
      <xdr:rowOff>153988</xdr:rowOff>
    </xdr:to>
    <xdr:cxnSp macro="">
      <xdr:nvCxnSpPr>
        <xdr:cNvPr id="7" name="15 Conector recto de flecha">
          <a:extLst>
            <a:ext uri="{FF2B5EF4-FFF2-40B4-BE49-F238E27FC236}">
              <a16:creationId xmlns:a16="http://schemas.microsoft.com/office/drawing/2014/main" id="{EA62D785-A62B-4746-A51A-C17EB49633F3}"/>
            </a:ext>
          </a:extLst>
        </xdr:cNvPr>
        <xdr:cNvCxnSpPr/>
      </xdr:nvCxnSpPr>
      <xdr:spPr>
        <a:xfrm flipH="1" flipV="1">
          <a:off x="5029200" y="1333500"/>
          <a:ext cx="368299" cy="1588"/>
        </a:xfrm>
        <a:prstGeom prst="straightConnector1">
          <a:avLst/>
        </a:prstGeom>
        <a:ln w="15875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773907</xdr:colOff>
      <xdr:row>24</xdr:row>
      <xdr:rowOff>0</xdr:rowOff>
    </xdr:from>
    <xdr:to>
      <xdr:col>12</xdr:col>
      <xdr:colOff>267230</xdr:colOff>
      <xdr:row>25</xdr:row>
      <xdr:rowOff>79375</xdr:rowOff>
    </xdr:to>
    <xdr:sp macro="" textlink="">
      <xdr:nvSpPr>
        <xdr:cNvPr id="8" name="3 Rectángulo">
          <a:extLst>
            <a:ext uri="{FF2B5EF4-FFF2-40B4-BE49-F238E27FC236}">
              <a16:creationId xmlns:a16="http://schemas.microsoft.com/office/drawing/2014/main" id="{F119FCF0-7EDB-4831-9B4D-012631789295}"/>
            </a:ext>
          </a:extLst>
        </xdr:cNvPr>
        <xdr:cNvSpPr/>
      </xdr:nvSpPr>
      <xdr:spPr>
        <a:xfrm>
          <a:off x="5939897" y="4451615"/>
          <a:ext cx="2959364" cy="264583"/>
        </a:xfrm>
        <a:prstGeom prst="rect">
          <a:avLst/>
        </a:prstGeom>
        <a:solidFill>
          <a:srgbClr val="FFFF66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rgbClr val="C00000"/>
              </a:solidFill>
            </a:rPr>
            <a:t>6</a:t>
          </a:r>
          <a:r>
            <a:rPr lang="en-US" sz="1100" baseline="0">
              <a:solidFill>
                <a:sysClr val="windowText" lastClr="000000"/>
              </a:solidFill>
            </a:rPr>
            <a:t>  Si el MPE aparece en </a:t>
          </a:r>
          <a:r>
            <a:rPr lang="en-US" sz="1100" baseline="0">
              <a:solidFill>
                <a:srgbClr val="FF0000"/>
              </a:solidFill>
            </a:rPr>
            <a:t>negativo</a:t>
          </a:r>
          <a:r>
            <a:rPr lang="en-US" sz="1100" baseline="0">
              <a:solidFill>
                <a:sysClr val="windowText" lastClr="000000"/>
              </a:solidFill>
            </a:rPr>
            <a:t>, esta incorrecto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604044</xdr:colOff>
      <xdr:row>17</xdr:row>
      <xdr:rowOff>17463</xdr:rowOff>
    </xdr:from>
    <xdr:to>
      <xdr:col>9</xdr:col>
      <xdr:colOff>608541</xdr:colOff>
      <xdr:row>23</xdr:row>
      <xdr:rowOff>39687</xdr:rowOff>
    </xdr:to>
    <xdr:cxnSp macro="">
      <xdr:nvCxnSpPr>
        <xdr:cNvPr id="9" name="18 Conector recto de flecha">
          <a:extLst>
            <a:ext uri="{FF2B5EF4-FFF2-40B4-BE49-F238E27FC236}">
              <a16:creationId xmlns:a16="http://schemas.microsoft.com/office/drawing/2014/main" id="{3BBC3B96-A436-4BDD-B6AD-963CD9A54091}"/>
            </a:ext>
          </a:extLst>
        </xdr:cNvPr>
        <xdr:cNvCxnSpPr/>
      </xdr:nvCxnSpPr>
      <xdr:spPr>
        <a:xfrm flipH="1" flipV="1">
          <a:off x="8310034" y="3337984"/>
          <a:ext cx="4497" cy="1073943"/>
        </a:xfrm>
        <a:prstGeom prst="straightConnector1">
          <a:avLst/>
        </a:prstGeom>
        <a:ln w="15875">
          <a:solidFill>
            <a:srgbClr val="C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27"/>
  <sheetViews>
    <sheetView showGridLines="0" tabSelected="1" zoomScale="96" zoomScaleNormal="96" workbookViewId="0">
      <selection activeCell="E5" sqref="E5"/>
    </sheetView>
  </sheetViews>
  <sheetFormatPr baseColWidth="10" defaultColWidth="0" defaultRowHeight="14.5" zeroHeight="1"/>
  <cols>
    <col min="1" max="1" width="4.26953125" style="101" customWidth="1"/>
    <col min="2" max="2" width="19.453125" style="101" customWidth="1"/>
    <col min="3" max="3" width="0.7265625" style="101" customWidth="1"/>
    <col min="4" max="4" width="3.453125" style="101" customWidth="1"/>
    <col min="5" max="5" width="43.54296875" style="125" bestFit="1" customWidth="1"/>
    <col min="6" max="6" width="2.54296875" style="101" bestFit="1" customWidth="1"/>
    <col min="7" max="7" width="16.1796875" style="101" customWidth="1"/>
    <col min="8" max="8" width="8.7265625" style="101" customWidth="1"/>
    <col min="9" max="10" width="11.453125" style="101" customWidth="1"/>
    <col min="11" max="11" width="1" style="101" customWidth="1"/>
    <col min="12" max="12" width="0.7265625" style="101" customWidth="1"/>
    <col min="13" max="13" width="4.81640625" style="101" customWidth="1"/>
    <col min="14" max="14" width="3" style="101" customWidth="1"/>
    <col min="15" max="16384" width="11.453125" style="101" hidden="1"/>
  </cols>
  <sheetData>
    <row r="1" spans="1:14">
      <c r="A1" s="99"/>
      <c r="B1" s="99"/>
      <c r="C1" s="99"/>
      <c r="D1" s="99"/>
      <c r="E1" s="100"/>
      <c r="F1" s="99"/>
      <c r="G1" s="99"/>
      <c r="H1" s="99"/>
      <c r="I1" s="99"/>
      <c r="J1" s="99"/>
      <c r="K1" s="99"/>
      <c r="L1" s="99"/>
      <c r="M1" s="99"/>
      <c r="N1" s="99"/>
    </row>
    <row r="2" spans="1:14" ht="18.5">
      <c r="A2" s="99"/>
      <c r="B2" s="156" t="s">
        <v>211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99"/>
    </row>
    <row r="3" spans="1:14" ht="18" customHeight="1">
      <c r="A3" s="99"/>
      <c r="B3" s="99"/>
      <c r="C3" s="99"/>
      <c r="D3" s="99"/>
      <c r="E3" s="100"/>
      <c r="F3" s="99"/>
      <c r="G3" s="99"/>
      <c r="H3" s="99"/>
      <c r="I3" s="99"/>
      <c r="J3" s="99"/>
      <c r="K3" s="99"/>
      <c r="L3" s="99"/>
      <c r="M3" s="99"/>
      <c r="N3" s="99"/>
    </row>
    <row r="4" spans="1:14" ht="21">
      <c r="A4" s="99"/>
      <c r="B4" s="103" t="s">
        <v>102</v>
      </c>
      <c r="C4" s="104"/>
      <c r="D4" s="104"/>
      <c r="E4" s="105" t="s">
        <v>331</v>
      </c>
      <c r="F4" s="99"/>
      <c r="G4" s="99"/>
      <c r="H4" s="99"/>
      <c r="I4" s="99"/>
      <c r="J4" s="99"/>
      <c r="K4" s="99"/>
      <c r="L4" s="99"/>
      <c r="M4" s="99"/>
      <c r="N4" s="99"/>
    </row>
    <row r="5" spans="1:14" ht="21">
      <c r="A5" s="99"/>
      <c r="B5" s="106" t="s">
        <v>103</v>
      </c>
      <c r="C5" s="104"/>
      <c r="D5" s="104"/>
      <c r="E5" s="107" t="s">
        <v>1394</v>
      </c>
      <c r="F5" s="99"/>
      <c r="G5" s="108">
        <f>IF(E6="Precio base",VLOOKUP(E5,Master!B:E,3,0),VLOOKUP(E5,Master!B:E,4,0))</f>
        <v>7499</v>
      </c>
      <c r="H5" s="99"/>
      <c r="I5" s="99"/>
      <c r="J5" s="99"/>
      <c r="K5" s="99"/>
      <c r="L5" s="99"/>
      <c r="M5" s="99"/>
      <c r="N5" s="99"/>
    </row>
    <row r="6" spans="1:14" ht="21" customHeight="1">
      <c r="A6" s="99"/>
      <c r="B6" s="109" t="s">
        <v>656</v>
      </c>
      <c r="C6" s="104"/>
      <c r="D6" s="104"/>
      <c r="E6" s="107" t="s">
        <v>660</v>
      </c>
      <c r="F6" s="99"/>
      <c r="G6" s="108"/>
      <c r="H6" s="99"/>
      <c r="I6" s="99"/>
      <c r="J6" s="99"/>
      <c r="K6" s="99"/>
      <c r="L6" s="99"/>
      <c r="M6" s="99"/>
      <c r="N6" s="99"/>
    </row>
    <row r="7" spans="1:14" ht="21" customHeight="1">
      <c r="A7" s="99"/>
      <c r="B7" s="109" t="s">
        <v>662</v>
      </c>
      <c r="C7" s="104"/>
      <c r="D7" s="104"/>
      <c r="E7" s="132" t="str">
        <f>IF(E6="Baja Precio",VLOOKUP(E5,Master!B:F,5,0),"N/A")</f>
        <v>N/A</v>
      </c>
      <c r="F7" s="99"/>
      <c r="G7" s="110"/>
      <c r="H7" s="99"/>
      <c r="I7" s="99"/>
      <c r="J7" s="99"/>
      <c r="K7" s="99"/>
      <c r="L7" s="99"/>
      <c r="M7" s="99"/>
      <c r="N7" s="99"/>
    </row>
    <row r="8" spans="1:14" ht="21" customHeight="1">
      <c r="A8" s="99"/>
      <c r="B8" s="111"/>
      <c r="C8" s="104"/>
      <c r="D8" s="104"/>
      <c r="E8" s="112"/>
      <c r="F8" s="99"/>
      <c r="G8" s="110"/>
      <c r="H8" s="99"/>
      <c r="I8" s="99"/>
      <c r="J8" s="99"/>
      <c r="K8" s="99"/>
      <c r="L8" s="99"/>
      <c r="M8" s="99"/>
      <c r="N8" s="99"/>
    </row>
    <row r="9" spans="1:14" ht="21">
      <c r="A9" s="99"/>
      <c r="B9" s="111"/>
      <c r="C9" s="104"/>
      <c r="D9" s="104"/>
      <c r="E9" s="113"/>
      <c r="F9" s="99"/>
      <c r="G9" s="110"/>
      <c r="H9" s="99"/>
      <c r="I9" s="99"/>
      <c r="J9" s="99"/>
      <c r="K9" s="99"/>
      <c r="L9" s="99"/>
      <c r="M9" s="99"/>
      <c r="N9" s="99"/>
    </row>
    <row r="10" spans="1:14" ht="10.5" customHeight="1">
      <c r="A10" s="99"/>
      <c r="B10" s="111"/>
      <c r="C10" s="104"/>
      <c r="D10" s="104"/>
      <c r="E10" s="112"/>
      <c r="F10" s="99"/>
      <c r="G10" s="110"/>
      <c r="H10" s="99"/>
      <c r="I10" s="99"/>
      <c r="J10" s="99"/>
      <c r="K10" s="99"/>
      <c r="L10" s="99"/>
      <c r="M10" s="99"/>
      <c r="N10" s="99"/>
    </row>
    <row r="11" spans="1:14" ht="3.75" customHeight="1">
      <c r="A11" s="99"/>
      <c r="B11" s="104"/>
      <c r="C11" s="114"/>
      <c r="D11" s="114"/>
      <c r="E11" s="115"/>
      <c r="F11" s="116"/>
      <c r="G11" s="116"/>
      <c r="H11" s="116"/>
      <c r="I11" s="116"/>
      <c r="J11" s="116"/>
      <c r="K11" s="116"/>
      <c r="L11" s="116"/>
      <c r="M11" s="99"/>
      <c r="N11" s="99"/>
    </row>
    <row r="12" spans="1:14" ht="21.5" thickBot="1">
      <c r="A12" s="99"/>
      <c r="B12" s="99"/>
      <c r="C12" s="116"/>
      <c r="D12" s="117"/>
      <c r="E12" s="118" t="s">
        <v>111</v>
      </c>
      <c r="F12" s="117"/>
      <c r="G12" s="119" t="s">
        <v>108</v>
      </c>
      <c r="H12" s="117"/>
      <c r="I12" s="117" t="str">
        <f>IF(I13="-$","MPE Erroneo"," ")</f>
        <v xml:space="preserve"> </v>
      </c>
      <c r="J12" s="117"/>
      <c r="K12" s="117"/>
      <c r="L12" s="116"/>
      <c r="M12" s="99"/>
      <c r="N12" s="99"/>
    </row>
    <row r="13" spans="1:14" ht="19" thickBot="1">
      <c r="A13" s="99"/>
      <c r="B13" s="99"/>
      <c r="C13" s="116"/>
      <c r="D13" s="117"/>
      <c r="E13" s="120" t="str">
        <f>E5</f>
        <v>HONOR X7E 256GB 4G</v>
      </c>
      <c r="F13" s="102" t="s">
        <v>105</v>
      </c>
      <c r="G13" s="121">
        <v>0</v>
      </c>
      <c r="H13" s="99"/>
      <c r="I13" s="148">
        <f>IF(E6="Precio Inicial", TRUNC(((VLOOKUP(E5,Master!B:C,2,0)-G13)/E17)+0.01,2),TRUNC(((G5-G13)/E17)+0.01,2))</f>
        <v>208.31</v>
      </c>
      <c r="J13" s="149"/>
      <c r="K13" s="99"/>
      <c r="L13" s="116"/>
      <c r="M13" s="99"/>
      <c r="N13" s="99"/>
    </row>
    <row r="14" spans="1:14" ht="4.5" customHeight="1">
      <c r="A14" s="99"/>
      <c r="B14" s="99"/>
      <c r="C14" s="116"/>
      <c r="D14" s="117"/>
      <c r="E14" s="99"/>
      <c r="F14" s="100"/>
      <c r="G14" s="99"/>
      <c r="H14" s="99"/>
      <c r="I14" s="150"/>
      <c r="J14" s="151"/>
      <c r="K14" s="99"/>
      <c r="L14" s="116"/>
      <c r="M14" s="99"/>
      <c r="N14" s="99"/>
    </row>
    <row r="15" spans="1:14" ht="2.25" customHeight="1">
      <c r="A15" s="99"/>
      <c r="B15" s="99"/>
      <c r="C15" s="116"/>
      <c r="D15" s="117"/>
      <c r="E15" s="122"/>
      <c r="F15" s="123"/>
      <c r="G15" s="123">
        <v>2299</v>
      </c>
      <c r="H15" s="99"/>
      <c r="I15" s="150"/>
      <c r="J15" s="151"/>
      <c r="K15" s="99"/>
      <c r="L15" s="116"/>
      <c r="M15" s="99"/>
      <c r="N15" s="99"/>
    </row>
    <row r="16" spans="1:14" ht="5.25" customHeight="1">
      <c r="A16" s="99"/>
      <c r="B16" s="99"/>
      <c r="C16" s="116"/>
      <c r="D16" s="117"/>
      <c r="E16" s="100"/>
      <c r="F16" s="99"/>
      <c r="G16" s="99"/>
      <c r="H16" s="99"/>
      <c r="I16" s="150"/>
      <c r="J16" s="151"/>
      <c r="K16" s="99"/>
      <c r="L16" s="116"/>
      <c r="M16" s="99"/>
      <c r="N16" s="99"/>
    </row>
    <row r="17" spans="1:14" ht="18.5">
      <c r="A17" s="99"/>
      <c r="B17" s="99"/>
      <c r="C17" s="116"/>
      <c r="D17" s="117"/>
      <c r="E17" s="145">
        <v>36</v>
      </c>
      <c r="F17" s="146"/>
      <c r="G17" s="147"/>
      <c r="H17" s="99"/>
      <c r="I17" s="152"/>
      <c r="J17" s="153"/>
      <c r="K17" s="99"/>
      <c r="L17" s="116"/>
      <c r="M17" s="99"/>
      <c r="N17" s="124"/>
    </row>
    <row r="18" spans="1:14" ht="21">
      <c r="A18" s="99"/>
      <c r="B18" s="99"/>
      <c r="C18" s="116"/>
      <c r="D18" s="117"/>
      <c r="E18" s="155" t="s">
        <v>132</v>
      </c>
      <c r="F18" s="155"/>
      <c r="G18" s="155"/>
      <c r="H18" s="99"/>
      <c r="I18" s="154" t="s">
        <v>107</v>
      </c>
      <c r="J18" s="154"/>
      <c r="K18" s="99"/>
      <c r="L18" s="116"/>
      <c r="M18" s="99"/>
      <c r="N18" s="99"/>
    </row>
    <row r="19" spans="1:14">
      <c r="A19" s="99"/>
      <c r="B19" s="99"/>
      <c r="C19" s="116"/>
      <c r="D19" s="117"/>
      <c r="E19" s="100"/>
      <c r="F19" s="99"/>
      <c r="G19" s="99"/>
      <c r="H19" s="99"/>
      <c r="I19" s="99"/>
      <c r="J19" s="99"/>
      <c r="K19" s="99"/>
      <c r="L19" s="116"/>
      <c r="M19" s="99"/>
      <c r="N19" s="99"/>
    </row>
    <row r="20" spans="1:14" ht="3.75" customHeight="1">
      <c r="A20" s="99"/>
      <c r="B20" s="99"/>
      <c r="C20" s="116"/>
      <c r="D20" s="116"/>
      <c r="E20" s="115"/>
      <c r="F20" s="116"/>
      <c r="G20" s="116"/>
      <c r="H20" s="116"/>
      <c r="I20" s="116"/>
      <c r="J20" s="116"/>
      <c r="K20" s="116"/>
      <c r="L20" s="116"/>
      <c r="M20" s="99"/>
      <c r="N20" s="99"/>
    </row>
    <row r="21" spans="1:14">
      <c r="A21" s="99"/>
      <c r="B21" s="99"/>
      <c r="C21" s="99"/>
      <c r="D21" s="99"/>
      <c r="E21" s="100"/>
      <c r="F21" s="99"/>
      <c r="G21" s="99"/>
      <c r="H21" s="99"/>
      <c r="I21" s="99"/>
      <c r="J21" s="99"/>
      <c r="K21" s="99"/>
      <c r="L21" s="99"/>
      <c r="M21" s="99"/>
      <c r="N21" s="99"/>
    </row>
    <row r="22" spans="1:14"/>
    <row r="23" spans="1:14"/>
    <row r="24" spans="1:14" ht="6" customHeight="1">
      <c r="I24" s="126"/>
    </row>
    <row r="25" spans="1:14">
      <c r="B25" s="127" t="s">
        <v>109</v>
      </c>
      <c r="C25" s="127"/>
      <c r="D25" s="127"/>
      <c r="I25" s="128"/>
    </row>
    <row r="26" spans="1:14">
      <c r="B26" s="127" t="s">
        <v>110</v>
      </c>
      <c r="C26" s="127"/>
      <c r="D26" s="127"/>
    </row>
    <row r="27" spans="1:14">
      <c r="B27" s="101" t="s">
        <v>1058</v>
      </c>
    </row>
  </sheetData>
  <dataConsolidate/>
  <mergeCells count="5">
    <mergeCell ref="E17:G17"/>
    <mergeCell ref="I13:J17"/>
    <mergeCell ref="I18:J18"/>
    <mergeCell ref="E18:G18"/>
    <mergeCell ref="B2:M2"/>
  </mergeCells>
  <conditionalFormatting sqref="G13">
    <cfRule type="cellIs" dxfId="2" priority="1" operator="equal">
      <formula>0</formula>
    </cfRule>
  </conditionalFormatting>
  <dataValidations count="3">
    <dataValidation type="list" operator="notBetween" allowBlank="1" showInputMessage="1" showErrorMessage="1" sqref="E17:G17" xr:uid="{00000000-0002-0000-0000-000000000000}">
      <formula1>Meses</formula1>
    </dataValidation>
    <dataValidation type="whole" operator="greaterThan" allowBlank="1" showInputMessage="1" showErrorMessage="1" sqref="G13" xr:uid="{00000000-0002-0000-0000-000002000000}">
      <formula1>-1</formula1>
    </dataValidation>
    <dataValidation type="list" allowBlank="1" showInputMessage="1" showErrorMessage="1" sqref="E5" xr:uid="{00000000-0002-0000-0000-000001000000}">
      <formula1>INDIRECT($E$4)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38A5B5-FF20-4F7D-B10E-111E576C90A1}">
          <x14:formula1>
            <xm:f>Catalogo!$AK$4:$AK$6</xm:f>
          </x14:formula1>
          <xm:sqref>E6</xm:sqref>
        </x14:dataValidation>
        <x14:dataValidation type="list" allowBlank="1" showInputMessage="1" showErrorMessage="1" xr:uid="{00000000-0002-0000-0000-000003000000}">
          <x14:formula1>
            <xm:f>Catalogo!$H$3:$AI$3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EDF3-DD87-443F-AA3B-4072869CC2C7}">
  <sheetPr codeName="Hoja3"/>
  <dimension ref="A1:I862"/>
  <sheetViews>
    <sheetView zoomScale="90" workbookViewId="0">
      <pane ySplit="1" topLeftCell="A835" activePane="bottomLeft" state="frozen"/>
      <selection pane="bottomLeft" activeCell="A849" sqref="A849:C849"/>
    </sheetView>
  </sheetViews>
  <sheetFormatPr baseColWidth="10" defaultRowHeight="14.5"/>
  <cols>
    <col min="2" max="2" width="51.6328125" bestFit="1" customWidth="1"/>
    <col min="3" max="3" width="10.54296875" bestFit="1" customWidth="1"/>
    <col min="4" max="4" width="11.1796875" customWidth="1"/>
    <col min="6" max="6" width="10.81640625" style="66"/>
    <col min="7" max="7" width="11.1796875" bestFit="1" customWidth="1"/>
    <col min="8" max="8" width="24.90625" bestFit="1" customWidth="1"/>
  </cols>
  <sheetData>
    <row r="1" spans="1:7" ht="29">
      <c r="A1" s="22" t="s">
        <v>102</v>
      </c>
      <c r="B1" s="65" t="s">
        <v>103</v>
      </c>
      <c r="C1" s="81" t="s">
        <v>1145</v>
      </c>
      <c r="D1" s="24" t="s">
        <v>657</v>
      </c>
      <c r="E1" s="80" t="s">
        <v>658</v>
      </c>
      <c r="F1" s="93" t="s">
        <v>662</v>
      </c>
      <c r="G1" s="93" t="s">
        <v>1146</v>
      </c>
    </row>
    <row r="2" spans="1:7">
      <c r="A2" s="45" t="s">
        <v>67</v>
      </c>
      <c r="B2" s="46" t="s">
        <v>213</v>
      </c>
      <c r="C2" s="130">
        <v>26999</v>
      </c>
      <c r="D2" s="39">
        <v>26999</v>
      </c>
      <c r="E2" s="39">
        <v>26999</v>
      </c>
      <c r="F2" s="66" t="s">
        <v>663</v>
      </c>
    </row>
    <row r="3" spans="1:7">
      <c r="A3" s="45" t="s">
        <v>67</v>
      </c>
      <c r="B3" s="46" t="s">
        <v>176</v>
      </c>
      <c r="C3" s="130">
        <v>24799</v>
      </c>
      <c r="D3" s="39">
        <v>24799</v>
      </c>
      <c r="E3" s="39">
        <v>24799</v>
      </c>
      <c r="F3" s="66" t="s">
        <v>663</v>
      </c>
    </row>
    <row r="4" spans="1:7">
      <c r="A4" s="45" t="s">
        <v>67</v>
      </c>
      <c r="B4" s="46" t="s">
        <v>212</v>
      </c>
      <c r="C4" s="130">
        <v>23499</v>
      </c>
      <c r="D4" s="39">
        <v>23499</v>
      </c>
      <c r="E4" s="39">
        <v>23499</v>
      </c>
      <c r="F4" s="66" t="s">
        <v>663</v>
      </c>
    </row>
    <row r="5" spans="1:7">
      <c r="A5" s="45" t="s">
        <v>73</v>
      </c>
      <c r="B5" s="46" t="s">
        <v>207</v>
      </c>
      <c r="C5" s="130">
        <v>22999</v>
      </c>
      <c r="D5" s="39">
        <v>22999</v>
      </c>
      <c r="E5" s="39">
        <v>22999</v>
      </c>
      <c r="F5" s="66" t="s">
        <v>663</v>
      </c>
    </row>
    <row r="6" spans="1:7">
      <c r="A6" s="45" t="s">
        <v>67</v>
      </c>
      <c r="B6" s="46" t="s">
        <v>153</v>
      </c>
      <c r="C6" s="130">
        <v>22899</v>
      </c>
      <c r="D6" s="39">
        <v>22899</v>
      </c>
      <c r="E6" s="39">
        <v>22899</v>
      </c>
      <c r="F6" s="66" t="s">
        <v>663</v>
      </c>
    </row>
    <row r="7" spans="1:7">
      <c r="A7" s="45" t="s">
        <v>67</v>
      </c>
      <c r="B7" s="46" t="s">
        <v>206</v>
      </c>
      <c r="C7" s="130">
        <v>22499</v>
      </c>
      <c r="D7" s="39">
        <v>22499</v>
      </c>
      <c r="E7" s="39">
        <v>22499</v>
      </c>
      <c r="F7" s="66" t="s">
        <v>663</v>
      </c>
    </row>
    <row r="8" spans="1:7">
      <c r="A8" s="45" t="s">
        <v>67</v>
      </c>
      <c r="B8" s="46" t="s">
        <v>68</v>
      </c>
      <c r="C8" s="130">
        <v>20699</v>
      </c>
      <c r="D8" s="39">
        <v>20699</v>
      </c>
      <c r="E8" s="39">
        <v>20699</v>
      </c>
      <c r="F8" s="66" t="s">
        <v>663</v>
      </c>
    </row>
    <row r="9" spans="1:7">
      <c r="A9" s="45" t="s">
        <v>67</v>
      </c>
      <c r="B9" s="46" t="s">
        <v>152</v>
      </c>
      <c r="C9" s="130">
        <v>20599</v>
      </c>
      <c r="D9" s="39">
        <v>20599</v>
      </c>
      <c r="E9" s="39">
        <v>20599</v>
      </c>
      <c r="F9" s="66" t="s">
        <v>663</v>
      </c>
    </row>
    <row r="10" spans="1:7">
      <c r="A10" s="45" t="s">
        <v>67</v>
      </c>
      <c r="B10" s="46" t="s">
        <v>150</v>
      </c>
      <c r="C10" s="130">
        <v>20099</v>
      </c>
      <c r="D10" s="39">
        <v>20099</v>
      </c>
      <c r="E10" s="39">
        <v>20099</v>
      </c>
      <c r="F10" s="66" t="s">
        <v>663</v>
      </c>
    </row>
    <row r="11" spans="1:7">
      <c r="A11" s="45" t="s">
        <v>73</v>
      </c>
      <c r="B11" s="46" t="s">
        <v>168</v>
      </c>
      <c r="C11" s="130">
        <v>19999</v>
      </c>
      <c r="D11" s="39">
        <v>19999</v>
      </c>
      <c r="E11" s="39">
        <v>19999</v>
      </c>
      <c r="F11" s="66" t="s">
        <v>663</v>
      </c>
    </row>
    <row r="12" spans="1:7">
      <c r="A12" s="45" t="s">
        <v>67</v>
      </c>
      <c r="B12" s="46" t="s">
        <v>204</v>
      </c>
      <c r="C12" s="130">
        <v>19999</v>
      </c>
      <c r="D12" s="39">
        <v>19999</v>
      </c>
      <c r="E12" s="39">
        <v>19999</v>
      </c>
      <c r="F12" s="66" t="s">
        <v>663</v>
      </c>
    </row>
    <row r="13" spans="1:7">
      <c r="A13" s="45" t="s">
        <v>67</v>
      </c>
      <c r="B13" s="46" t="s">
        <v>69</v>
      </c>
      <c r="C13" s="130">
        <v>19699</v>
      </c>
      <c r="D13" s="39">
        <v>19699</v>
      </c>
      <c r="E13" s="39">
        <v>19699</v>
      </c>
      <c r="F13" s="66" t="s">
        <v>663</v>
      </c>
    </row>
    <row r="14" spans="1:7">
      <c r="A14" s="45" t="s">
        <v>73</v>
      </c>
      <c r="B14" s="46" t="s">
        <v>182</v>
      </c>
      <c r="C14" s="130">
        <v>19699</v>
      </c>
      <c r="D14" s="39">
        <v>19699</v>
      </c>
      <c r="E14" s="39">
        <v>19699</v>
      </c>
      <c r="F14" s="66" t="s">
        <v>663</v>
      </c>
    </row>
    <row r="15" spans="1:7">
      <c r="A15" s="45" t="s">
        <v>67</v>
      </c>
      <c r="B15" s="46" t="s">
        <v>205</v>
      </c>
      <c r="C15" s="130">
        <v>19719</v>
      </c>
      <c r="D15" s="39">
        <v>19719</v>
      </c>
      <c r="E15" s="39">
        <v>18999</v>
      </c>
      <c r="F15" s="66">
        <v>38353</v>
      </c>
    </row>
    <row r="16" spans="1:7">
      <c r="A16" s="45" t="s">
        <v>67</v>
      </c>
      <c r="B16" s="46" t="s">
        <v>70</v>
      </c>
      <c r="C16" s="130">
        <v>20599</v>
      </c>
      <c r="D16" s="39">
        <v>20599</v>
      </c>
      <c r="E16" s="39">
        <v>18499</v>
      </c>
      <c r="F16" s="66">
        <v>42748</v>
      </c>
    </row>
    <row r="17" spans="1:6">
      <c r="A17" s="45" t="s">
        <v>67</v>
      </c>
      <c r="B17" s="46" t="s">
        <v>151</v>
      </c>
      <c r="C17" s="130">
        <v>18299</v>
      </c>
      <c r="D17" s="39">
        <v>18299</v>
      </c>
      <c r="E17" s="39">
        <v>18299</v>
      </c>
      <c r="F17" s="66" t="s">
        <v>663</v>
      </c>
    </row>
    <row r="18" spans="1:6">
      <c r="A18" s="45" t="s">
        <v>74</v>
      </c>
      <c r="B18" s="46" t="s">
        <v>141</v>
      </c>
      <c r="C18" s="130">
        <v>18299</v>
      </c>
      <c r="D18" s="39">
        <v>18299</v>
      </c>
      <c r="E18" s="39">
        <v>18299</v>
      </c>
      <c r="F18" s="66" t="s">
        <v>663</v>
      </c>
    </row>
    <row r="19" spans="1:6">
      <c r="A19" s="45" t="s">
        <v>67</v>
      </c>
      <c r="B19" s="46" t="s">
        <v>29</v>
      </c>
      <c r="C19" s="130">
        <v>18499</v>
      </c>
      <c r="D19" s="39">
        <v>18499</v>
      </c>
      <c r="E19" s="39">
        <v>18199</v>
      </c>
      <c r="F19" s="66">
        <v>42748</v>
      </c>
    </row>
    <row r="20" spans="1:6">
      <c r="A20" s="45" t="s">
        <v>67</v>
      </c>
      <c r="B20" s="46" t="s">
        <v>71</v>
      </c>
      <c r="C20" s="130">
        <v>18099</v>
      </c>
      <c r="D20" s="39">
        <v>18099</v>
      </c>
      <c r="E20" s="39">
        <v>18099</v>
      </c>
      <c r="F20" s="66" t="s">
        <v>663</v>
      </c>
    </row>
    <row r="21" spans="1:6">
      <c r="A21" s="45" t="s">
        <v>67</v>
      </c>
      <c r="B21" s="46" t="s">
        <v>72</v>
      </c>
      <c r="C21" s="130">
        <v>17999</v>
      </c>
      <c r="D21" s="39">
        <v>17999</v>
      </c>
      <c r="E21" s="39">
        <v>17999</v>
      </c>
      <c r="F21" s="66" t="s">
        <v>663</v>
      </c>
    </row>
    <row r="22" spans="1:6">
      <c r="A22" s="45" t="s">
        <v>73</v>
      </c>
      <c r="B22" s="46" t="s">
        <v>140</v>
      </c>
      <c r="C22" s="130">
        <v>17989</v>
      </c>
      <c r="D22" s="39">
        <v>17989</v>
      </c>
      <c r="E22" s="39">
        <v>17989</v>
      </c>
      <c r="F22" s="66" t="s">
        <v>663</v>
      </c>
    </row>
    <row r="23" spans="1:6">
      <c r="A23" s="45" t="s">
        <v>67</v>
      </c>
      <c r="B23" s="46" t="s">
        <v>149</v>
      </c>
      <c r="C23" s="130">
        <v>17799</v>
      </c>
      <c r="D23" s="39">
        <v>17799</v>
      </c>
      <c r="E23" s="39">
        <v>17799</v>
      </c>
      <c r="F23" s="66" t="s">
        <v>663</v>
      </c>
    </row>
    <row r="24" spans="1:6">
      <c r="A24" s="45" t="s">
        <v>73</v>
      </c>
      <c r="B24" s="46" t="s">
        <v>117</v>
      </c>
      <c r="C24" s="130">
        <v>17699</v>
      </c>
      <c r="D24" s="39">
        <v>17699</v>
      </c>
      <c r="E24" s="39">
        <v>17699</v>
      </c>
      <c r="F24" s="66" t="s">
        <v>663</v>
      </c>
    </row>
    <row r="25" spans="1:6">
      <c r="A25" s="45" t="s">
        <v>67</v>
      </c>
      <c r="B25" s="46" t="s">
        <v>175</v>
      </c>
      <c r="C25" s="130">
        <v>17299</v>
      </c>
      <c r="D25" s="39">
        <v>17299</v>
      </c>
      <c r="E25" s="39">
        <v>17299</v>
      </c>
      <c r="F25" s="66" t="s">
        <v>663</v>
      </c>
    </row>
    <row r="26" spans="1:6">
      <c r="A26" s="45" t="s">
        <v>73</v>
      </c>
      <c r="B26" s="46" t="s">
        <v>181</v>
      </c>
      <c r="C26" s="130">
        <v>17299</v>
      </c>
      <c r="D26" s="39">
        <v>17299</v>
      </c>
      <c r="E26" s="39">
        <v>17299</v>
      </c>
      <c r="F26" s="66" t="s">
        <v>663</v>
      </c>
    </row>
    <row r="27" spans="1:6">
      <c r="A27" s="45" t="s">
        <v>73</v>
      </c>
      <c r="B27" s="46" t="s">
        <v>30</v>
      </c>
      <c r="C27" s="130">
        <v>16899</v>
      </c>
      <c r="D27" s="39">
        <v>16899</v>
      </c>
      <c r="E27" s="39">
        <v>16899</v>
      </c>
      <c r="F27" s="66" t="s">
        <v>663</v>
      </c>
    </row>
    <row r="28" spans="1:6">
      <c r="A28" s="45" t="s">
        <v>73</v>
      </c>
      <c r="B28" s="46" t="s">
        <v>31</v>
      </c>
      <c r="C28" s="130">
        <v>16499</v>
      </c>
      <c r="D28" s="39">
        <v>16499</v>
      </c>
      <c r="E28" s="39">
        <v>16499</v>
      </c>
      <c r="F28" s="66" t="s">
        <v>663</v>
      </c>
    </row>
    <row r="29" spans="1:6">
      <c r="A29" s="45" t="s">
        <v>67</v>
      </c>
      <c r="B29" s="46" t="s">
        <v>203</v>
      </c>
      <c r="C29" s="130">
        <v>16499</v>
      </c>
      <c r="D29" s="39">
        <v>16499</v>
      </c>
      <c r="E29" s="39">
        <v>16499</v>
      </c>
      <c r="F29" s="66" t="s">
        <v>663</v>
      </c>
    </row>
    <row r="30" spans="1:6">
      <c r="A30" s="45" t="s">
        <v>67</v>
      </c>
      <c r="B30" s="46" t="s">
        <v>33</v>
      </c>
      <c r="C30" s="130">
        <v>16299</v>
      </c>
      <c r="D30" s="39">
        <v>16299</v>
      </c>
      <c r="E30" s="39">
        <v>16299</v>
      </c>
      <c r="F30" s="66" t="s">
        <v>663</v>
      </c>
    </row>
    <row r="31" spans="1:6">
      <c r="A31" s="45" t="s">
        <v>83</v>
      </c>
      <c r="B31" s="46" t="s">
        <v>167</v>
      </c>
      <c r="C31" s="130">
        <v>15999</v>
      </c>
      <c r="D31" s="39">
        <v>15999</v>
      </c>
      <c r="E31" s="39">
        <v>15999</v>
      </c>
      <c r="F31" s="66" t="s">
        <v>663</v>
      </c>
    </row>
    <row r="32" spans="1:6">
      <c r="A32" s="45" t="s">
        <v>67</v>
      </c>
      <c r="B32" s="46" t="s">
        <v>32</v>
      </c>
      <c r="C32" s="130">
        <v>16299</v>
      </c>
      <c r="D32" s="39">
        <v>16299</v>
      </c>
      <c r="E32" s="39">
        <v>15999</v>
      </c>
      <c r="F32" s="66">
        <v>44336</v>
      </c>
    </row>
    <row r="33" spans="1:6">
      <c r="A33" s="45" t="s">
        <v>74</v>
      </c>
      <c r="B33" s="46" t="s">
        <v>5</v>
      </c>
      <c r="C33" s="130">
        <v>15999</v>
      </c>
      <c r="D33" s="39">
        <v>15999</v>
      </c>
      <c r="E33" s="39">
        <v>15999</v>
      </c>
      <c r="F33" s="66" t="s">
        <v>663</v>
      </c>
    </row>
    <row r="34" spans="1:6">
      <c r="A34" s="45" t="s">
        <v>67</v>
      </c>
      <c r="B34" s="46" t="s">
        <v>34</v>
      </c>
      <c r="C34" s="130">
        <v>15799</v>
      </c>
      <c r="D34" s="39">
        <v>15799</v>
      </c>
      <c r="E34" s="39">
        <v>15799</v>
      </c>
      <c r="F34" s="66" t="s">
        <v>663</v>
      </c>
    </row>
    <row r="35" spans="1:6">
      <c r="A35" s="45" t="s">
        <v>67</v>
      </c>
      <c r="B35" s="46" t="s">
        <v>75</v>
      </c>
      <c r="C35" s="130">
        <v>15599</v>
      </c>
      <c r="D35" s="39">
        <v>15599</v>
      </c>
      <c r="E35" s="39">
        <v>15599</v>
      </c>
      <c r="F35" s="66" t="s">
        <v>663</v>
      </c>
    </row>
    <row r="36" spans="1:6">
      <c r="A36" s="45" t="s">
        <v>67</v>
      </c>
      <c r="B36" s="46" t="s">
        <v>148</v>
      </c>
      <c r="C36" s="130">
        <v>15499</v>
      </c>
      <c r="D36" s="39">
        <v>15499</v>
      </c>
      <c r="E36" s="39">
        <v>15499</v>
      </c>
      <c r="F36" s="66" t="s">
        <v>663</v>
      </c>
    </row>
    <row r="37" spans="1:6">
      <c r="A37" s="45" t="s">
        <v>73</v>
      </c>
      <c r="B37" s="46" t="s">
        <v>116</v>
      </c>
      <c r="C37" s="130">
        <v>15479</v>
      </c>
      <c r="D37" s="39">
        <v>15479</v>
      </c>
      <c r="E37" s="39">
        <v>15479</v>
      </c>
      <c r="F37" s="66" t="s">
        <v>663</v>
      </c>
    </row>
    <row r="38" spans="1:6">
      <c r="A38" s="45" t="s">
        <v>83</v>
      </c>
      <c r="B38" s="46" t="s">
        <v>187</v>
      </c>
      <c r="C38" s="130">
        <v>15299</v>
      </c>
      <c r="D38" s="39">
        <v>15299</v>
      </c>
      <c r="E38" s="39">
        <v>15299</v>
      </c>
      <c r="F38" s="66" t="s">
        <v>663</v>
      </c>
    </row>
    <row r="39" spans="1:6">
      <c r="A39" s="45" t="s">
        <v>73</v>
      </c>
      <c r="B39" s="46" t="s">
        <v>35</v>
      </c>
      <c r="C39" s="130">
        <v>15299</v>
      </c>
      <c r="D39" s="39">
        <v>15299</v>
      </c>
      <c r="E39" s="39">
        <v>15299</v>
      </c>
      <c r="F39" s="66" t="s">
        <v>663</v>
      </c>
    </row>
    <row r="40" spans="1:6">
      <c r="A40" s="45" t="s">
        <v>67</v>
      </c>
      <c r="B40" s="46" t="s">
        <v>76</v>
      </c>
      <c r="C40" s="130">
        <v>15199</v>
      </c>
      <c r="D40" s="39">
        <v>15199</v>
      </c>
      <c r="E40" s="39">
        <v>15199</v>
      </c>
      <c r="F40" s="66" t="s">
        <v>663</v>
      </c>
    </row>
    <row r="41" spans="1:6">
      <c r="A41" s="45" t="s">
        <v>86</v>
      </c>
      <c r="B41" s="46" t="s">
        <v>192</v>
      </c>
      <c r="C41" s="130">
        <v>14999</v>
      </c>
      <c r="D41" s="39">
        <v>14999</v>
      </c>
      <c r="E41" s="39">
        <v>14999</v>
      </c>
      <c r="F41" s="66" t="s">
        <v>663</v>
      </c>
    </row>
    <row r="42" spans="1:6">
      <c r="A42" s="45" t="s">
        <v>73</v>
      </c>
      <c r="B42" s="46" t="s">
        <v>6</v>
      </c>
      <c r="C42" s="130">
        <v>14599</v>
      </c>
      <c r="D42" s="39">
        <v>14599</v>
      </c>
      <c r="E42" s="39">
        <v>14599</v>
      </c>
      <c r="F42" s="66" t="s">
        <v>663</v>
      </c>
    </row>
    <row r="43" spans="1:6">
      <c r="A43" s="45" t="s">
        <v>83</v>
      </c>
      <c r="B43" s="46" t="s">
        <v>184</v>
      </c>
      <c r="C43" s="130">
        <v>14499</v>
      </c>
      <c r="D43" s="39">
        <v>14499</v>
      </c>
      <c r="E43" s="39">
        <v>14499</v>
      </c>
      <c r="F43" s="66" t="s">
        <v>663</v>
      </c>
    </row>
    <row r="44" spans="1:6">
      <c r="A44" s="45" t="s">
        <v>67</v>
      </c>
      <c r="B44" s="46" t="s">
        <v>36</v>
      </c>
      <c r="C44" s="130">
        <v>14099</v>
      </c>
      <c r="D44" s="39">
        <v>14099</v>
      </c>
      <c r="E44" s="39">
        <v>13899</v>
      </c>
      <c r="F44" s="66">
        <v>42748</v>
      </c>
    </row>
    <row r="45" spans="1:6">
      <c r="A45" s="45" t="s">
        <v>67</v>
      </c>
      <c r="B45" s="46" t="s">
        <v>37</v>
      </c>
      <c r="C45" s="130">
        <v>13899</v>
      </c>
      <c r="D45" s="39">
        <v>13899</v>
      </c>
      <c r="E45" s="39">
        <v>13899</v>
      </c>
      <c r="F45" s="66" t="s">
        <v>663</v>
      </c>
    </row>
    <row r="46" spans="1:6">
      <c r="A46" s="45" t="s">
        <v>67</v>
      </c>
      <c r="B46" s="46" t="s">
        <v>77</v>
      </c>
      <c r="C46" s="130">
        <v>13799</v>
      </c>
      <c r="D46" s="39">
        <v>13799</v>
      </c>
      <c r="E46" s="39">
        <v>13799</v>
      </c>
      <c r="F46" s="66" t="s">
        <v>663</v>
      </c>
    </row>
    <row r="47" spans="1:6">
      <c r="A47" s="45" t="s">
        <v>73</v>
      </c>
      <c r="B47" s="46" t="s">
        <v>38</v>
      </c>
      <c r="C47" s="130">
        <v>13299</v>
      </c>
      <c r="D47" s="39">
        <v>13299</v>
      </c>
      <c r="E47" s="39">
        <v>13299</v>
      </c>
      <c r="F47" s="66" t="s">
        <v>663</v>
      </c>
    </row>
    <row r="48" spans="1:6">
      <c r="A48" s="45" t="s">
        <v>67</v>
      </c>
      <c r="B48" s="46" t="s">
        <v>174</v>
      </c>
      <c r="C48" s="130">
        <v>12799</v>
      </c>
      <c r="D48" s="39">
        <v>12799</v>
      </c>
      <c r="E48" s="39">
        <v>12799</v>
      </c>
      <c r="F48" s="66" t="s">
        <v>663</v>
      </c>
    </row>
    <row r="49" spans="1:6">
      <c r="A49" s="45" t="s">
        <v>73</v>
      </c>
      <c r="B49" s="46" t="s">
        <v>78</v>
      </c>
      <c r="C49" s="130">
        <v>12699</v>
      </c>
      <c r="D49" s="39">
        <v>12699</v>
      </c>
      <c r="E49" s="39">
        <v>12699</v>
      </c>
      <c r="F49" s="66" t="s">
        <v>663</v>
      </c>
    </row>
    <row r="50" spans="1:6">
      <c r="A50" s="45" t="s">
        <v>67</v>
      </c>
      <c r="B50" s="46" t="s">
        <v>172</v>
      </c>
      <c r="C50" s="130">
        <v>12499</v>
      </c>
      <c r="D50" s="39">
        <v>12499</v>
      </c>
      <c r="E50" s="39">
        <v>12499</v>
      </c>
      <c r="F50" s="66" t="s">
        <v>663</v>
      </c>
    </row>
    <row r="51" spans="1:6">
      <c r="A51" s="45" t="s">
        <v>67</v>
      </c>
      <c r="B51" s="46" t="s">
        <v>39</v>
      </c>
      <c r="C51" s="130">
        <v>12399</v>
      </c>
      <c r="D51" s="39">
        <v>12399</v>
      </c>
      <c r="E51" s="39">
        <v>12399</v>
      </c>
      <c r="F51" s="66" t="s">
        <v>663</v>
      </c>
    </row>
    <row r="52" spans="1:6">
      <c r="A52" s="45" t="s">
        <v>67</v>
      </c>
      <c r="B52" s="46" t="s">
        <v>40</v>
      </c>
      <c r="C52" s="130">
        <v>12299</v>
      </c>
      <c r="D52" s="39">
        <v>12299</v>
      </c>
      <c r="E52" s="39">
        <v>12299</v>
      </c>
      <c r="F52" s="66" t="s">
        <v>663</v>
      </c>
    </row>
    <row r="53" spans="1:6">
      <c r="A53" s="45" t="s">
        <v>74</v>
      </c>
      <c r="B53" s="46" t="s">
        <v>7</v>
      </c>
      <c r="C53" s="130">
        <v>12199</v>
      </c>
      <c r="D53" s="39">
        <v>12199</v>
      </c>
      <c r="E53" s="39">
        <v>12199</v>
      </c>
      <c r="F53" s="66" t="s">
        <v>663</v>
      </c>
    </row>
    <row r="54" spans="1:6">
      <c r="A54" s="45" t="s">
        <v>79</v>
      </c>
      <c r="B54" s="46">
        <v>9900</v>
      </c>
      <c r="C54" s="130">
        <v>12103</v>
      </c>
      <c r="D54" s="39">
        <v>12103</v>
      </c>
      <c r="E54" s="39">
        <v>12103</v>
      </c>
      <c r="F54" s="66" t="s">
        <v>663</v>
      </c>
    </row>
    <row r="55" spans="1:6">
      <c r="A55" s="45" t="s">
        <v>83</v>
      </c>
      <c r="B55" s="46" t="s">
        <v>156</v>
      </c>
      <c r="C55" s="130">
        <v>11999</v>
      </c>
      <c r="D55" s="39">
        <v>11999</v>
      </c>
      <c r="E55" s="39">
        <v>11999</v>
      </c>
      <c r="F55" s="66" t="s">
        <v>663</v>
      </c>
    </row>
    <row r="56" spans="1:6">
      <c r="A56" s="45" t="s">
        <v>73</v>
      </c>
      <c r="B56" s="46" t="s">
        <v>169</v>
      </c>
      <c r="C56" s="130">
        <v>11999</v>
      </c>
      <c r="D56" s="39">
        <v>11999</v>
      </c>
      <c r="E56" s="39">
        <v>11999</v>
      </c>
      <c r="F56" s="66" t="s">
        <v>663</v>
      </c>
    </row>
    <row r="57" spans="1:6">
      <c r="A57" s="45" t="s">
        <v>80</v>
      </c>
      <c r="B57" s="46" t="s">
        <v>81</v>
      </c>
      <c r="C57" s="130">
        <v>11899</v>
      </c>
      <c r="D57" s="39">
        <v>11899</v>
      </c>
      <c r="E57" s="39">
        <v>11899</v>
      </c>
      <c r="F57" s="66" t="s">
        <v>663</v>
      </c>
    </row>
    <row r="58" spans="1:6">
      <c r="A58" s="45" t="s">
        <v>67</v>
      </c>
      <c r="B58" s="46" t="s">
        <v>120</v>
      </c>
      <c r="C58" s="130">
        <v>11199</v>
      </c>
      <c r="D58" s="39">
        <v>11199</v>
      </c>
      <c r="E58" s="39">
        <v>11199</v>
      </c>
      <c r="F58" s="66" t="s">
        <v>663</v>
      </c>
    </row>
    <row r="59" spans="1:6">
      <c r="A59" s="45" t="s">
        <v>74</v>
      </c>
      <c r="B59" s="46" t="s">
        <v>41</v>
      </c>
      <c r="C59" s="130">
        <v>10999</v>
      </c>
      <c r="D59" s="39">
        <v>10999</v>
      </c>
      <c r="E59" s="39">
        <v>10999</v>
      </c>
      <c r="F59" s="66" t="s">
        <v>663</v>
      </c>
    </row>
    <row r="60" spans="1:6">
      <c r="A60" s="45" t="s">
        <v>74</v>
      </c>
      <c r="B60" s="46" t="s">
        <v>190</v>
      </c>
      <c r="C60" s="130">
        <v>10999</v>
      </c>
      <c r="D60" s="39">
        <v>10999</v>
      </c>
      <c r="E60" s="39">
        <v>10999</v>
      </c>
      <c r="F60" s="66" t="s">
        <v>663</v>
      </c>
    </row>
    <row r="61" spans="1:6">
      <c r="A61" s="45" t="s">
        <v>83</v>
      </c>
      <c r="B61" s="46" t="s">
        <v>118</v>
      </c>
      <c r="C61" s="130">
        <v>10449</v>
      </c>
      <c r="D61" s="39">
        <v>10449</v>
      </c>
      <c r="E61" s="39">
        <v>10449</v>
      </c>
      <c r="F61" s="66" t="s">
        <v>663</v>
      </c>
    </row>
    <row r="62" spans="1:6">
      <c r="A62" s="45" t="s">
        <v>67</v>
      </c>
      <c r="B62" s="46" t="s">
        <v>42</v>
      </c>
      <c r="C62" s="130">
        <v>10399</v>
      </c>
      <c r="D62" s="39">
        <v>10399</v>
      </c>
      <c r="E62" s="39">
        <v>10399</v>
      </c>
      <c r="F62" s="66" t="s">
        <v>663</v>
      </c>
    </row>
    <row r="63" spans="1:6">
      <c r="A63" s="45" t="s">
        <v>73</v>
      </c>
      <c r="B63" s="46" t="s">
        <v>121</v>
      </c>
      <c r="C63" s="130">
        <v>10399</v>
      </c>
      <c r="D63" s="39">
        <v>10399</v>
      </c>
      <c r="E63" s="39">
        <v>10399</v>
      </c>
      <c r="F63" s="66" t="s">
        <v>663</v>
      </c>
    </row>
    <row r="64" spans="1:6">
      <c r="A64" s="45" t="s">
        <v>74</v>
      </c>
      <c r="B64" s="46" t="s">
        <v>142</v>
      </c>
      <c r="C64" s="130">
        <v>18299</v>
      </c>
      <c r="D64" s="39">
        <v>18299</v>
      </c>
      <c r="E64" s="39">
        <v>9949</v>
      </c>
      <c r="F64" s="66">
        <v>44318</v>
      </c>
    </row>
    <row r="65" spans="1:6">
      <c r="A65" s="45" t="s">
        <v>83</v>
      </c>
      <c r="B65" s="46" t="s">
        <v>202</v>
      </c>
      <c r="C65" s="130">
        <v>9909</v>
      </c>
      <c r="D65" s="39">
        <v>9909</v>
      </c>
      <c r="E65" s="39">
        <v>9909</v>
      </c>
      <c r="F65" s="66" t="s">
        <v>663</v>
      </c>
    </row>
    <row r="66" spans="1:6">
      <c r="A66" s="45" t="s">
        <v>67</v>
      </c>
      <c r="B66" s="46" t="s">
        <v>173</v>
      </c>
      <c r="C66" s="130">
        <v>9799</v>
      </c>
      <c r="D66" s="39">
        <v>9799</v>
      </c>
      <c r="E66" s="39">
        <v>9799</v>
      </c>
      <c r="F66" s="66" t="s">
        <v>663</v>
      </c>
    </row>
    <row r="67" spans="1:6">
      <c r="A67" s="45" t="s">
        <v>74</v>
      </c>
      <c r="B67" s="46" t="s">
        <v>43</v>
      </c>
      <c r="C67" s="130">
        <v>9799</v>
      </c>
      <c r="D67" s="39">
        <v>9799</v>
      </c>
      <c r="E67" s="39">
        <v>9799</v>
      </c>
      <c r="F67" s="66" t="s">
        <v>663</v>
      </c>
    </row>
    <row r="68" spans="1:6">
      <c r="A68" s="45" t="s">
        <v>67</v>
      </c>
      <c r="B68" s="46" t="s">
        <v>119</v>
      </c>
      <c r="C68" s="130">
        <v>8999</v>
      </c>
      <c r="D68" s="39">
        <v>8999</v>
      </c>
      <c r="E68" s="39">
        <v>8999</v>
      </c>
      <c r="F68" s="66" t="s">
        <v>663</v>
      </c>
    </row>
    <row r="69" spans="1:6">
      <c r="A69" s="45" t="s">
        <v>83</v>
      </c>
      <c r="B69" s="46" t="s">
        <v>82</v>
      </c>
      <c r="C69" s="130">
        <v>8899</v>
      </c>
      <c r="D69" s="39">
        <v>8899</v>
      </c>
      <c r="E69" s="39">
        <v>8899</v>
      </c>
      <c r="F69" s="66" t="s">
        <v>663</v>
      </c>
    </row>
    <row r="70" spans="1:6">
      <c r="A70" s="45" t="s">
        <v>83</v>
      </c>
      <c r="B70" s="46" t="s">
        <v>44</v>
      </c>
      <c r="C70" s="130">
        <v>8899</v>
      </c>
      <c r="D70" s="39">
        <v>8899</v>
      </c>
      <c r="E70" s="39">
        <v>8899</v>
      </c>
      <c r="F70" s="66" t="s">
        <v>663</v>
      </c>
    </row>
    <row r="71" spans="1:6">
      <c r="A71" s="45" t="s">
        <v>73</v>
      </c>
      <c r="B71" s="46" t="s">
        <v>114</v>
      </c>
      <c r="C71" s="130">
        <v>8669</v>
      </c>
      <c r="D71" s="39">
        <v>8669</v>
      </c>
      <c r="E71" s="39">
        <v>8669</v>
      </c>
      <c r="F71" s="66" t="s">
        <v>663</v>
      </c>
    </row>
    <row r="72" spans="1:6">
      <c r="A72" s="45" t="s">
        <v>86</v>
      </c>
      <c r="B72" s="46" t="s">
        <v>131</v>
      </c>
      <c r="C72" s="130">
        <v>8499</v>
      </c>
      <c r="D72" s="39">
        <v>8499</v>
      </c>
      <c r="E72" s="39">
        <v>8499</v>
      </c>
      <c r="F72" s="66" t="s">
        <v>663</v>
      </c>
    </row>
    <row r="73" spans="1:6">
      <c r="A73" s="45" t="s">
        <v>83</v>
      </c>
      <c r="B73" s="46" t="s">
        <v>8</v>
      </c>
      <c r="C73" s="130">
        <v>8399</v>
      </c>
      <c r="D73" s="39">
        <v>8399</v>
      </c>
      <c r="E73" s="39">
        <v>8399</v>
      </c>
      <c r="F73" s="66" t="s">
        <v>663</v>
      </c>
    </row>
    <row r="74" spans="1:6">
      <c r="A74" s="45" t="s">
        <v>74</v>
      </c>
      <c r="B74" s="46" t="s">
        <v>45</v>
      </c>
      <c r="C74" s="130">
        <v>8199</v>
      </c>
      <c r="D74" s="39">
        <v>8199</v>
      </c>
      <c r="E74" s="39">
        <v>8199</v>
      </c>
      <c r="F74" s="66" t="s">
        <v>663</v>
      </c>
    </row>
    <row r="75" spans="1:6">
      <c r="A75" s="45" t="s">
        <v>86</v>
      </c>
      <c r="B75" s="46" t="s">
        <v>155</v>
      </c>
      <c r="C75" s="130">
        <v>7949</v>
      </c>
      <c r="D75" s="39">
        <v>7949</v>
      </c>
      <c r="E75" s="39">
        <v>7949</v>
      </c>
      <c r="F75" s="66" t="s">
        <v>663</v>
      </c>
    </row>
    <row r="76" spans="1:6">
      <c r="A76" s="45" t="s">
        <v>73</v>
      </c>
      <c r="B76" s="46" t="s">
        <v>133</v>
      </c>
      <c r="C76" s="130">
        <v>7899</v>
      </c>
      <c r="D76" s="39">
        <v>7899</v>
      </c>
      <c r="E76" s="39">
        <v>7899</v>
      </c>
      <c r="F76" s="66" t="s">
        <v>663</v>
      </c>
    </row>
    <row r="77" spans="1:6">
      <c r="A77" s="45" t="s">
        <v>79</v>
      </c>
      <c r="B77" s="46">
        <v>9360</v>
      </c>
      <c r="C77" s="130">
        <v>7894</v>
      </c>
      <c r="D77" s="39">
        <v>7894</v>
      </c>
      <c r="E77" s="39">
        <v>7894</v>
      </c>
      <c r="F77" s="66" t="s">
        <v>663</v>
      </c>
    </row>
    <row r="78" spans="1:6">
      <c r="A78" s="45" t="s">
        <v>74</v>
      </c>
      <c r="B78" s="46" t="s">
        <v>46</v>
      </c>
      <c r="C78" s="130">
        <v>7499</v>
      </c>
      <c r="D78" s="39">
        <v>7499</v>
      </c>
      <c r="E78" s="39">
        <v>7499</v>
      </c>
      <c r="F78" s="66" t="s">
        <v>663</v>
      </c>
    </row>
    <row r="79" spans="1:6">
      <c r="A79" s="45" t="s">
        <v>74</v>
      </c>
      <c r="B79" s="46" t="s">
        <v>84</v>
      </c>
      <c r="C79" s="130">
        <v>7499</v>
      </c>
      <c r="D79" s="39">
        <v>7499</v>
      </c>
      <c r="E79" s="39">
        <v>7499</v>
      </c>
      <c r="F79" s="66" t="s">
        <v>663</v>
      </c>
    </row>
    <row r="80" spans="1:6">
      <c r="A80" s="45" t="s">
        <v>74</v>
      </c>
      <c r="B80" s="46" t="s">
        <v>85</v>
      </c>
      <c r="C80" s="130">
        <v>7499</v>
      </c>
      <c r="D80" s="39">
        <v>7499</v>
      </c>
      <c r="E80" s="39">
        <v>7499</v>
      </c>
      <c r="F80" s="66" t="s">
        <v>663</v>
      </c>
    </row>
    <row r="81" spans="1:6">
      <c r="A81" s="45" t="s">
        <v>86</v>
      </c>
      <c r="B81" s="46" t="s">
        <v>10</v>
      </c>
      <c r="C81" s="130">
        <v>7299</v>
      </c>
      <c r="D81" s="39">
        <v>7299</v>
      </c>
      <c r="E81" s="39">
        <v>7299</v>
      </c>
      <c r="F81" s="66" t="s">
        <v>663</v>
      </c>
    </row>
    <row r="82" spans="1:6">
      <c r="A82" s="45" t="s">
        <v>87</v>
      </c>
      <c r="B82" s="46" t="s">
        <v>9</v>
      </c>
      <c r="C82" s="130">
        <v>7299</v>
      </c>
      <c r="D82" s="39">
        <v>7299</v>
      </c>
      <c r="E82" s="39">
        <v>7299</v>
      </c>
      <c r="F82" s="66" t="s">
        <v>663</v>
      </c>
    </row>
    <row r="83" spans="1:6">
      <c r="A83" s="45" t="s">
        <v>80</v>
      </c>
      <c r="B83" s="46" t="s">
        <v>88</v>
      </c>
      <c r="C83" s="130">
        <v>7099</v>
      </c>
      <c r="D83" s="39">
        <v>7099</v>
      </c>
      <c r="E83" s="39">
        <v>7099</v>
      </c>
      <c r="F83" s="66" t="s">
        <v>663</v>
      </c>
    </row>
    <row r="84" spans="1:6">
      <c r="A84" s="45" t="s">
        <v>74</v>
      </c>
      <c r="B84" s="46" t="s">
        <v>178</v>
      </c>
      <c r="C84" s="130">
        <v>6999</v>
      </c>
      <c r="D84" s="39">
        <v>6999</v>
      </c>
      <c r="E84" s="39">
        <v>6999</v>
      </c>
      <c r="F84" s="66" t="s">
        <v>663</v>
      </c>
    </row>
    <row r="85" spans="1:6">
      <c r="A85" s="45" t="s">
        <v>67</v>
      </c>
      <c r="B85" s="46" t="s">
        <v>191</v>
      </c>
      <c r="C85" s="130">
        <v>6999</v>
      </c>
      <c r="D85" s="39">
        <v>6999</v>
      </c>
      <c r="E85" s="39">
        <v>6999</v>
      </c>
      <c r="F85" s="66" t="s">
        <v>663</v>
      </c>
    </row>
    <row r="86" spans="1:6">
      <c r="A86" s="45" t="s">
        <v>73</v>
      </c>
      <c r="B86" s="46" t="s">
        <v>194</v>
      </c>
      <c r="C86" s="130">
        <v>6999</v>
      </c>
      <c r="D86" s="39">
        <v>6999</v>
      </c>
      <c r="E86" s="39">
        <v>6999</v>
      </c>
      <c r="F86" s="66" t="s">
        <v>663</v>
      </c>
    </row>
    <row r="87" spans="1:6">
      <c r="A87" s="45" t="s">
        <v>73</v>
      </c>
      <c r="B87" s="46" t="s">
        <v>162</v>
      </c>
      <c r="C87" s="130">
        <v>6919</v>
      </c>
      <c r="D87" s="39">
        <v>6919</v>
      </c>
      <c r="E87" s="39">
        <v>6919</v>
      </c>
      <c r="F87" s="66" t="s">
        <v>663</v>
      </c>
    </row>
    <row r="88" spans="1:6">
      <c r="A88" s="45" t="s">
        <v>83</v>
      </c>
      <c r="B88" s="46" t="s">
        <v>89</v>
      </c>
      <c r="C88" s="130">
        <v>6960</v>
      </c>
      <c r="D88" s="39">
        <v>6960</v>
      </c>
      <c r="E88" s="39">
        <v>6899</v>
      </c>
      <c r="F88" s="66">
        <v>44307</v>
      </c>
    </row>
    <row r="89" spans="1:6">
      <c r="A89" s="45" t="s">
        <v>90</v>
      </c>
      <c r="B89" s="46" t="s">
        <v>47</v>
      </c>
      <c r="C89" s="130">
        <v>6899</v>
      </c>
      <c r="D89" s="39">
        <v>6899</v>
      </c>
      <c r="E89" s="39">
        <v>6899</v>
      </c>
      <c r="F89" s="66" t="s">
        <v>663</v>
      </c>
    </row>
    <row r="90" spans="1:6">
      <c r="A90" s="45" t="s">
        <v>67</v>
      </c>
      <c r="B90" s="46" t="s">
        <v>48</v>
      </c>
      <c r="C90" s="130">
        <v>6899</v>
      </c>
      <c r="D90" s="39">
        <v>6899</v>
      </c>
      <c r="E90" s="39">
        <v>6899</v>
      </c>
      <c r="F90" s="66" t="s">
        <v>663</v>
      </c>
    </row>
    <row r="91" spans="1:6">
      <c r="A91" s="45" t="s">
        <v>79</v>
      </c>
      <c r="B91" s="46">
        <v>9620</v>
      </c>
      <c r="C91" s="130">
        <v>6699</v>
      </c>
      <c r="D91" s="39">
        <v>6699</v>
      </c>
      <c r="E91" s="39">
        <v>6699</v>
      </c>
      <c r="F91" s="66" t="s">
        <v>663</v>
      </c>
    </row>
    <row r="92" spans="1:6">
      <c r="A92" s="45" t="s">
        <v>86</v>
      </c>
      <c r="B92" s="46" t="s">
        <v>147</v>
      </c>
      <c r="C92" s="130">
        <v>6599</v>
      </c>
      <c r="D92" s="39">
        <v>6599</v>
      </c>
      <c r="E92" s="39">
        <v>6599</v>
      </c>
      <c r="F92" s="66" t="s">
        <v>663</v>
      </c>
    </row>
    <row r="93" spans="1:6">
      <c r="A93" s="45" t="s">
        <v>73</v>
      </c>
      <c r="B93" s="46" t="s">
        <v>122</v>
      </c>
      <c r="C93" s="130">
        <v>6579</v>
      </c>
      <c r="D93" s="39">
        <v>6579</v>
      </c>
      <c r="E93" s="39">
        <v>6579</v>
      </c>
      <c r="F93" s="66" t="s">
        <v>663</v>
      </c>
    </row>
    <row r="94" spans="1:6">
      <c r="A94" s="45" t="s">
        <v>74</v>
      </c>
      <c r="B94" s="46" t="s">
        <v>49</v>
      </c>
      <c r="C94" s="130">
        <v>6499</v>
      </c>
      <c r="D94" s="39">
        <v>6499</v>
      </c>
      <c r="E94" s="39">
        <v>6499</v>
      </c>
      <c r="F94" s="66" t="s">
        <v>663</v>
      </c>
    </row>
    <row r="95" spans="1:6">
      <c r="A95" s="45" t="s">
        <v>73</v>
      </c>
      <c r="B95" s="46" t="s">
        <v>11</v>
      </c>
      <c r="C95" s="130">
        <v>6399</v>
      </c>
      <c r="D95" s="39">
        <v>6399</v>
      </c>
      <c r="E95" s="39">
        <v>6399</v>
      </c>
      <c r="F95" s="66" t="s">
        <v>663</v>
      </c>
    </row>
    <row r="96" spans="1:6">
      <c r="A96" s="45" t="s">
        <v>83</v>
      </c>
      <c r="B96" s="46" t="s">
        <v>135</v>
      </c>
      <c r="C96" s="130">
        <v>6299</v>
      </c>
      <c r="D96" s="39">
        <v>6299</v>
      </c>
      <c r="E96" s="39">
        <v>6299</v>
      </c>
      <c r="F96" s="66" t="s">
        <v>663</v>
      </c>
    </row>
    <row r="97" spans="1:6">
      <c r="A97" s="45" t="s">
        <v>73</v>
      </c>
      <c r="B97" s="46" t="s">
        <v>161</v>
      </c>
      <c r="C97" s="130">
        <v>6600</v>
      </c>
      <c r="D97" s="39">
        <v>6600</v>
      </c>
      <c r="E97" s="39">
        <v>5999</v>
      </c>
      <c r="F97" s="66">
        <v>44307</v>
      </c>
    </row>
    <row r="98" spans="1:6">
      <c r="A98" s="45" t="s">
        <v>73</v>
      </c>
      <c r="B98" s="46" t="s">
        <v>12</v>
      </c>
      <c r="C98" s="130">
        <v>5799</v>
      </c>
      <c r="D98" s="39">
        <v>5799</v>
      </c>
      <c r="E98" s="39">
        <v>5799</v>
      </c>
      <c r="F98" s="66" t="s">
        <v>663</v>
      </c>
    </row>
    <row r="99" spans="1:6">
      <c r="A99" s="45" t="s">
        <v>87</v>
      </c>
      <c r="B99" s="46" t="s">
        <v>144</v>
      </c>
      <c r="C99" s="130">
        <v>5699</v>
      </c>
      <c r="D99" s="39">
        <v>5699</v>
      </c>
      <c r="E99" s="39">
        <v>5699</v>
      </c>
      <c r="F99" s="66" t="s">
        <v>663</v>
      </c>
    </row>
    <row r="100" spans="1:6">
      <c r="A100" s="45" t="s">
        <v>74</v>
      </c>
      <c r="B100" s="46" t="s">
        <v>177</v>
      </c>
      <c r="C100" s="130">
        <v>5599</v>
      </c>
      <c r="D100" s="39">
        <v>5599</v>
      </c>
      <c r="E100" s="39">
        <v>5599</v>
      </c>
      <c r="F100" s="66" t="s">
        <v>663</v>
      </c>
    </row>
    <row r="101" spans="1:6">
      <c r="A101" s="45" t="s">
        <v>74</v>
      </c>
      <c r="B101" s="46" t="s">
        <v>51</v>
      </c>
      <c r="C101" s="130">
        <v>5299</v>
      </c>
      <c r="D101" s="39">
        <v>5299</v>
      </c>
      <c r="E101" s="39">
        <v>5299</v>
      </c>
      <c r="F101" s="66" t="s">
        <v>663</v>
      </c>
    </row>
    <row r="102" spans="1:6">
      <c r="A102" s="45" t="s">
        <v>74</v>
      </c>
      <c r="B102" s="46" t="s">
        <v>52</v>
      </c>
      <c r="C102" s="130">
        <v>5299</v>
      </c>
      <c r="D102" s="39">
        <v>5299</v>
      </c>
      <c r="E102" s="39">
        <v>5299</v>
      </c>
      <c r="F102" s="66" t="s">
        <v>663</v>
      </c>
    </row>
    <row r="103" spans="1:6">
      <c r="A103" s="45" t="s">
        <v>74</v>
      </c>
      <c r="B103" s="46" t="s">
        <v>53</v>
      </c>
      <c r="C103" s="130">
        <v>5199</v>
      </c>
      <c r="D103" s="39">
        <v>5199</v>
      </c>
      <c r="E103" s="39">
        <v>5199</v>
      </c>
      <c r="F103" s="66" t="s">
        <v>663</v>
      </c>
    </row>
    <row r="104" spans="1:6">
      <c r="A104" s="45" t="s">
        <v>83</v>
      </c>
      <c r="B104" s="46" t="s">
        <v>13</v>
      </c>
      <c r="C104" s="130">
        <v>5199</v>
      </c>
      <c r="D104" s="39">
        <v>5199</v>
      </c>
      <c r="E104" s="39">
        <v>5199</v>
      </c>
      <c r="F104" s="66" t="s">
        <v>663</v>
      </c>
    </row>
    <row r="105" spans="1:6">
      <c r="A105" s="45" t="s">
        <v>74</v>
      </c>
      <c r="B105" s="46" t="s">
        <v>0</v>
      </c>
      <c r="C105" s="130">
        <v>5199</v>
      </c>
      <c r="D105" s="39">
        <v>5199</v>
      </c>
      <c r="E105" s="39">
        <v>5199</v>
      </c>
      <c r="F105" s="66" t="s">
        <v>663</v>
      </c>
    </row>
    <row r="106" spans="1:6">
      <c r="A106" s="45" t="s">
        <v>86</v>
      </c>
      <c r="B106" s="46" t="s">
        <v>195</v>
      </c>
      <c r="C106" s="130">
        <v>5199</v>
      </c>
      <c r="D106" s="39">
        <v>5199</v>
      </c>
      <c r="E106" s="39">
        <v>5199</v>
      </c>
      <c r="F106" s="66" t="s">
        <v>663</v>
      </c>
    </row>
    <row r="107" spans="1:6">
      <c r="A107" s="45" t="s">
        <v>73</v>
      </c>
      <c r="B107" s="46" t="s">
        <v>199</v>
      </c>
      <c r="C107" s="130">
        <v>5139</v>
      </c>
      <c r="D107" s="39">
        <v>5139</v>
      </c>
      <c r="E107" s="39">
        <v>5139</v>
      </c>
      <c r="F107" s="66" t="s">
        <v>663</v>
      </c>
    </row>
    <row r="108" spans="1:6">
      <c r="A108" s="45" t="s">
        <v>83</v>
      </c>
      <c r="B108" s="46" t="s">
        <v>218</v>
      </c>
      <c r="C108" s="130">
        <v>5499</v>
      </c>
      <c r="D108" s="39">
        <v>5499</v>
      </c>
      <c r="E108" s="39">
        <v>4999</v>
      </c>
      <c r="F108" s="66">
        <v>44368</v>
      </c>
    </row>
    <row r="109" spans="1:6">
      <c r="A109" s="45" t="s">
        <v>87</v>
      </c>
      <c r="B109" s="46" t="s">
        <v>154</v>
      </c>
      <c r="C109" s="130">
        <v>4949</v>
      </c>
      <c r="D109" s="39">
        <v>4949</v>
      </c>
      <c r="E109" s="39">
        <v>4949</v>
      </c>
      <c r="F109" s="66" t="s">
        <v>663</v>
      </c>
    </row>
    <row r="110" spans="1:6">
      <c r="A110" s="45" t="s">
        <v>74</v>
      </c>
      <c r="B110" s="46" t="s">
        <v>54</v>
      </c>
      <c r="C110" s="130">
        <v>4799</v>
      </c>
      <c r="D110" s="39">
        <v>4799</v>
      </c>
      <c r="E110" s="39">
        <v>4799</v>
      </c>
      <c r="F110" s="66" t="s">
        <v>663</v>
      </c>
    </row>
    <row r="111" spans="1:6">
      <c r="A111" s="45" t="s">
        <v>73</v>
      </c>
      <c r="B111" s="46" t="s">
        <v>14</v>
      </c>
      <c r="C111" s="130">
        <v>4799</v>
      </c>
      <c r="D111" s="39">
        <v>4799</v>
      </c>
      <c r="E111" s="39">
        <v>4799</v>
      </c>
      <c r="F111" s="66" t="s">
        <v>663</v>
      </c>
    </row>
    <row r="112" spans="1:6">
      <c r="A112" s="45" t="s">
        <v>74</v>
      </c>
      <c r="B112" s="46" t="s">
        <v>129</v>
      </c>
      <c r="C112" s="130">
        <v>13529</v>
      </c>
      <c r="D112" s="39">
        <v>13529</v>
      </c>
      <c r="E112" s="39">
        <v>4799</v>
      </c>
      <c r="F112" s="66">
        <v>44318</v>
      </c>
    </row>
    <row r="113" spans="1:6">
      <c r="A113" s="45" t="s">
        <v>87</v>
      </c>
      <c r="B113" s="46" t="s">
        <v>139</v>
      </c>
      <c r="C113" s="130">
        <v>4779</v>
      </c>
      <c r="D113" s="39">
        <v>4779</v>
      </c>
      <c r="E113" s="39">
        <v>4779</v>
      </c>
      <c r="F113" s="66" t="s">
        <v>663</v>
      </c>
    </row>
    <row r="114" spans="1:6">
      <c r="A114" s="45" t="s">
        <v>83</v>
      </c>
      <c r="B114" s="46" t="s">
        <v>146</v>
      </c>
      <c r="C114" s="130">
        <v>4699</v>
      </c>
      <c r="D114" s="39">
        <v>4699</v>
      </c>
      <c r="E114" s="39">
        <v>4699</v>
      </c>
      <c r="F114" s="66" t="s">
        <v>663</v>
      </c>
    </row>
    <row r="115" spans="1:6">
      <c r="A115" s="45" t="s">
        <v>73</v>
      </c>
      <c r="B115" s="46" t="s">
        <v>16</v>
      </c>
      <c r="C115" s="130">
        <v>4699</v>
      </c>
      <c r="D115" s="39">
        <v>4699</v>
      </c>
      <c r="E115" s="39">
        <v>4699</v>
      </c>
      <c r="F115" s="66" t="s">
        <v>663</v>
      </c>
    </row>
    <row r="116" spans="1:6">
      <c r="A116" s="45" t="s">
        <v>91</v>
      </c>
      <c r="B116" s="46" t="s">
        <v>55</v>
      </c>
      <c r="C116" s="130">
        <v>4699</v>
      </c>
      <c r="D116" s="39">
        <v>4699</v>
      </c>
      <c r="E116" s="39">
        <v>4699</v>
      </c>
      <c r="F116" s="66" t="s">
        <v>663</v>
      </c>
    </row>
    <row r="117" spans="1:6">
      <c r="A117" s="45" t="s">
        <v>86</v>
      </c>
      <c r="B117" s="46" t="s">
        <v>158</v>
      </c>
      <c r="C117" s="130">
        <v>4649</v>
      </c>
      <c r="D117" s="39">
        <v>4649</v>
      </c>
      <c r="E117" s="39">
        <v>4649</v>
      </c>
      <c r="F117" s="66" t="s">
        <v>663</v>
      </c>
    </row>
    <row r="118" spans="1:6">
      <c r="A118" s="45" t="s">
        <v>73</v>
      </c>
      <c r="B118" s="46" t="s">
        <v>134</v>
      </c>
      <c r="C118" s="130">
        <v>4299</v>
      </c>
      <c r="D118" s="39">
        <v>4299</v>
      </c>
      <c r="E118" s="39">
        <v>4299</v>
      </c>
      <c r="F118" s="66" t="s">
        <v>663</v>
      </c>
    </row>
    <row r="119" spans="1:6">
      <c r="A119" s="45" t="s">
        <v>73</v>
      </c>
      <c r="B119" s="46" t="s">
        <v>123</v>
      </c>
      <c r="C119" s="130">
        <v>4299</v>
      </c>
      <c r="D119" s="39">
        <v>4299</v>
      </c>
      <c r="E119" s="39">
        <v>4299</v>
      </c>
      <c r="F119" s="66" t="s">
        <v>663</v>
      </c>
    </row>
    <row r="120" spans="1:6">
      <c r="A120" s="45" t="s">
        <v>73</v>
      </c>
      <c r="B120" s="46" t="s">
        <v>92</v>
      </c>
      <c r="C120" s="130">
        <v>4299</v>
      </c>
      <c r="D120" s="39">
        <v>4299</v>
      </c>
      <c r="E120" s="39">
        <v>4299</v>
      </c>
      <c r="F120" s="66" t="s">
        <v>663</v>
      </c>
    </row>
    <row r="121" spans="1:6">
      <c r="A121" s="45" t="s">
        <v>93</v>
      </c>
      <c r="B121" s="46" t="s">
        <v>193</v>
      </c>
      <c r="C121" s="130">
        <v>4189</v>
      </c>
      <c r="D121" s="39">
        <v>4189</v>
      </c>
      <c r="E121" s="39">
        <v>4189</v>
      </c>
      <c r="F121" s="66" t="s">
        <v>663</v>
      </c>
    </row>
    <row r="122" spans="1:6">
      <c r="A122" s="45" t="s">
        <v>91</v>
      </c>
      <c r="B122" s="46" t="s">
        <v>145</v>
      </c>
      <c r="C122" s="130">
        <v>3999</v>
      </c>
      <c r="D122" s="39">
        <v>3999</v>
      </c>
      <c r="E122" s="39">
        <v>3999</v>
      </c>
      <c r="F122" s="66" t="s">
        <v>663</v>
      </c>
    </row>
    <row r="123" spans="1:6">
      <c r="A123" s="45" t="s">
        <v>83</v>
      </c>
      <c r="B123" s="46" t="s">
        <v>17</v>
      </c>
      <c r="C123" s="130">
        <v>3999</v>
      </c>
      <c r="D123" s="39">
        <v>3999</v>
      </c>
      <c r="E123" s="39">
        <v>3999</v>
      </c>
      <c r="F123" s="66" t="s">
        <v>663</v>
      </c>
    </row>
    <row r="124" spans="1:6">
      <c r="A124" s="45" t="s">
        <v>83</v>
      </c>
      <c r="B124" s="46" t="s">
        <v>1</v>
      </c>
      <c r="C124" s="130">
        <v>3999</v>
      </c>
      <c r="D124" s="39">
        <v>3999</v>
      </c>
      <c r="E124" s="39">
        <v>3999</v>
      </c>
      <c r="F124" s="66" t="s">
        <v>663</v>
      </c>
    </row>
    <row r="125" spans="1:6">
      <c r="A125" s="45" t="s">
        <v>83</v>
      </c>
      <c r="B125" s="46" t="s">
        <v>2</v>
      </c>
      <c r="C125" s="130">
        <v>3999</v>
      </c>
      <c r="D125" s="39">
        <v>3999</v>
      </c>
      <c r="E125" s="39">
        <v>3999</v>
      </c>
      <c r="F125" s="66" t="s">
        <v>663</v>
      </c>
    </row>
    <row r="126" spans="1:6">
      <c r="A126" s="45" t="s">
        <v>80</v>
      </c>
      <c r="B126" s="46" t="s">
        <v>113</v>
      </c>
      <c r="C126" s="130">
        <v>3999</v>
      </c>
      <c r="D126" s="39">
        <v>3999</v>
      </c>
      <c r="E126" s="39">
        <v>3999</v>
      </c>
      <c r="F126" s="66" t="s">
        <v>663</v>
      </c>
    </row>
    <row r="127" spans="1:6">
      <c r="A127" s="45" t="s">
        <v>83</v>
      </c>
      <c r="B127" s="46" t="s">
        <v>201</v>
      </c>
      <c r="C127" s="130">
        <v>3999</v>
      </c>
      <c r="D127" s="39">
        <v>3999</v>
      </c>
      <c r="E127" s="39">
        <v>3999</v>
      </c>
      <c r="F127" s="66" t="s">
        <v>663</v>
      </c>
    </row>
    <row r="128" spans="1:6">
      <c r="A128" s="45" t="s">
        <v>74</v>
      </c>
      <c r="B128" s="46" t="s">
        <v>56</v>
      </c>
      <c r="C128" s="130">
        <v>3899</v>
      </c>
      <c r="D128" s="39">
        <v>3899</v>
      </c>
      <c r="E128" s="39">
        <v>3899</v>
      </c>
      <c r="F128" s="66" t="s">
        <v>663</v>
      </c>
    </row>
    <row r="129" spans="1:6">
      <c r="A129" s="45" t="s">
        <v>74</v>
      </c>
      <c r="B129" s="46" t="s">
        <v>143</v>
      </c>
      <c r="C129" s="130">
        <v>3799</v>
      </c>
      <c r="D129" s="39">
        <v>3799</v>
      </c>
      <c r="E129" s="39">
        <v>3799</v>
      </c>
      <c r="F129" s="66" t="s">
        <v>663</v>
      </c>
    </row>
    <row r="130" spans="1:6">
      <c r="A130" s="45" t="s">
        <v>127</v>
      </c>
      <c r="B130" s="46" t="s">
        <v>128</v>
      </c>
      <c r="C130" s="130">
        <v>3699</v>
      </c>
      <c r="D130" s="39">
        <v>3699</v>
      </c>
      <c r="E130" s="39">
        <v>3699</v>
      </c>
      <c r="F130" s="66" t="s">
        <v>663</v>
      </c>
    </row>
    <row r="131" spans="1:6">
      <c r="A131" s="45" t="s">
        <v>74</v>
      </c>
      <c r="B131" s="46" t="s">
        <v>189</v>
      </c>
      <c r="C131" s="130">
        <v>3599</v>
      </c>
      <c r="D131" s="39">
        <v>3599</v>
      </c>
      <c r="E131" s="39">
        <v>3599</v>
      </c>
      <c r="F131" s="66" t="s">
        <v>663</v>
      </c>
    </row>
    <row r="132" spans="1:6">
      <c r="A132" s="45" t="s">
        <v>87</v>
      </c>
      <c r="B132" s="46" t="s">
        <v>164</v>
      </c>
      <c r="C132" s="130">
        <v>3549</v>
      </c>
      <c r="D132" s="39">
        <v>3549</v>
      </c>
      <c r="E132" s="39">
        <v>3549</v>
      </c>
      <c r="F132" s="66" t="s">
        <v>663</v>
      </c>
    </row>
    <row r="133" spans="1:6">
      <c r="A133" s="45" t="s">
        <v>73</v>
      </c>
      <c r="B133" s="46" t="s">
        <v>160</v>
      </c>
      <c r="C133" s="130">
        <v>3499</v>
      </c>
      <c r="D133" s="39">
        <v>3499</v>
      </c>
      <c r="E133" s="39">
        <v>3499</v>
      </c>
      <c r="F133" s="66" t="s">
        <v>663</v>
      </c>
    </row>
    <row r="134" spans="1:6">
      <c r="A134" s="45" t="s">
        <v>93</v>
      </c>
      <c r="B134" s="46" t="s">
        <v>18</v>
      </c>
      <c r="C134" s="130">
        <v>3399</v>
      </c>
      <c r="D134" s="39">
        <v>3399</v>
      </c>
      <c r="E134" s="39">
        <v>3399</v>
      </c>
      <c r="F134" s="66" t="s">
        <v>663</v>
      </c>
    </row>
    <row r="135" spans="1:6">
      <c r="A135" s="45" t="s">
        <v>83</v>
      </c>
      <c r="B135" s="46" t="s">
        <v>57</v>
      </c>
      <c r="C135" s="130">
        <v>3399</v>
      </c>
      <c r="D135" s="39">
        <v>3399</v>
      </c>
      <c r="E135" s="39">
        <v>3399</v>
      </c>
      <c r="F135" s="66" t="s">
        <v>663</v>
      </c>
    </row>
    <row r="136" spans="1:6">
      <c r="A136" s="45" t="s">
        <v>83</v>
      </c>
      <c r="B136" s="46" t="s">
        <v>58</v>
      </c>
      <c r="C136" s="130">
        <v>3399</v>
      </c>
      <c r="D136" s="39">
        <v>3399</v>
      </c>
      <c r="E136" s="39">
        <v>3399</v>
      </c>
      <c r="F136" s="66" t="s">
        <v>663</v>
      </c>
    </row>
    <row r="137" spans="1:6">
      <c r="A137" s="45" t="s">
        <v>73</v>
      </c>
      <c r="B137" s="46" t="s">
        <v>125</v>
      </c>
      <c r="C137" s="130">
        <v>3299</v>
      </c>
      <c r="D137" s="39">
        <v>3299</v>
      </c>
      <c r="E137" s="39">
        <v>3299</v>
      </c>
      <c r="F137" s="66" t="s">
        <v>663</v>
      </c>
    </row>
    <row r="138" spans="1:6">
      <c r="A138" s="45" t="s">
        <v>83</v>
      </c>
      <c r="B138" s="46" t="s">
        <v>159</v>
      </c>
      <c r="C138" s="130">
        <v>3199</v>
      </c>
      <c r="D138" s="39">
        <v>3199</v>
      </c>
      <c r="E138" s="39">
        <v>3199</v>
      </c>
      <c r="F138" s="66" t="s">
        <v>663</v>
      </c>
    </row>
    <row r="139" spans="1:6">
      <c r="A139" s="45" t="s">
        <v>83</v>
      </c>
      <c r="B139" s="46" t="s">
        <v>200</v>
      </c>
      <c r="C139" s="130">
        <v>3099</v>
      </c>
      <c r="D139" s="39">
        <v>3099</v>
      </c>
      <c r="E139" s="39">
        <v>3099</v>
      </c>
      <c r="F139" s="66" t="s">
        <v>663</v>
      </c>
    </row>
    <row r="140" spans="1:6">
      <c r="A140" s="45" t="s">
        <v>73</v>
      </c>
      <c r="B140" s="46" t="s">
        <v>20</v>
      </c>
      <c r="C140" s="130">
        <v>2999</v>
      </c>
      <c r="D140" s="39">
        <v>2999</v>
      </c>
      <c r="E140" s="39">
        <v>2999</v>
      </c>
      <c r="F140" s="66" t="s">
        <v>663</v>
      </c>
    </row>
    <row r="141" spans="1:6">
      <c r="A141" s="45" t="s">
        <v>165</v>
      </c>
      <c r="B141" s="46" t="s">
        <v>208</v>
      </c>
      <c r="C141" s="130">
        <v>2999</v>
      </c>
      <c r="D141" s="39">
        <v>2999</v>
      </c>
      <c r="E141" s="39">
        <v>2999</v>
      </c>
      <c r="F141" s="66" t="s">
        <v>663</v>
      </c>
    </row>
    <row r="142" spans="1:6">
      <c r="A142" s="45" t="s">
        <v>91</v>
      </c>
      <c r="B142" s="46" t="s">
        <v>180</v>
      </c>
      <c r="C142" s="130">
        <v>2899</v>
      </c>
      <c r="D142" s="39">
        <v>2899</v>
      </c>
      <c r="E142" s="39">
        <v>2899</v>
      </c>
      <c r="F142" s="66" t="s">
        <v>663</v>
      </c>
    </row>
    <row r="143" spans="1:6">
      <c r="A143" s="45" t="s">
        <v>83</v>
      </c>
      <c r="B143" s="46" t="s">
        <v>210</v>
      </c>
      <c r="C143" s="130">
        <v>2799</v>
      </c>
      <c r="D143" s="39">
        <v>2799</v>
      </c>
      <c r="E143" s="39">
        <v>2799</v>
      </c>
      <c r="F143" s="66" t="s">
        <v>663</v>
      </c>
    </row>
    <row r="144" spans="1:6">
      <c r="A144" s="45" t="s">
        <v>83</v>
      </c>
      <c r="B144" s="46" t="s">
        <v>138</v>
      </c>
      <c r="C144" s="130">
        <v>2699</v>
      </c>
      <c r="D144" s="39">
        <v>2699</v>
      </c>
      <c r="E144" s="39">
        <v>2699</v>
      </c>
      <c r="F144" s="66" t="s">
        <v>663</v>
      </c>
    </row>
    <row r="145" spans="1:6">
      <c r="A145" s="45" t="s">
        <v>165</v>
      </c>
      <c r="B145" s="46" t="s">
        <v>171</v>
      </c>
      <c r="C145" s="130">
        <v>2599</v>
      </c>
      <c r="D145" s="39">
        <v>2599</v>
      </c>
      <c r="E145" s="39">
        <v>2599</v>
      </c>
      <c r="F145" s="66" t="s">
        <v>663</v>
      </c>
    </row>
    <row r="146" spans="1:6">
      <c r="A146" s="45" t="s">
        <v>214</v>
      </c>
      <c r="B146" s="46" t="s">
        <v>216</v>
      </c>
      <c r="C146" s="130">
        <v>2599</v>
      </c>
      <c r="D146" s="39">
        <v>2599</v>
      </c>
      <c r="E146" s="39">
        <v>2599</v>
      </c>
      <c r="F146" s="66" t="s">
        <v>663</v>
      </c>
    </row>
    <row r="147" spans="1:6">
      <c r="A147" s="45" t="s">
        <v>91</v>
      </c>
      <c r="B147" s="46" t="s">
        <v>21</v>
      </c>
      <c r="C147" s="130">
        <v>2499</v>
      </c>
      <c r="D147" s="39">
        <v>2499</v>
      </c>
      <c r="E147" s="39">
        <v>2499</v>
      </c>
      <c r="F147" s="66" t="s">
        <v>663</v>
      </c>
    </row>
    <row r="148" spans="1:6">
      <c r="A148" s="45" t="s">
        <v>93</v>
      </c>
      <c r="B148" s="46" t="s">
        <v>94</v>
      </c>
      <c r="C148" s="130">
        <v>2499</v>
      </c>
      <c r="D148" s="39">
        <v>2499</v>
      </c>
      <c r="E148" s="39">
        <v>2499</v>
      </c>
      <c r="F148" s="66" t="s">
        <v>663</v>
      </c>
    </row>
    <row r="149" spans="1:6">
      <c r="A149" s="45" t="s">
        <v>74</v>
      </c>
      <c r="B149" s="46" t="s">
        <v>59</v>
      </c>
      <c r="C149" s="130">
        <v>2499</v>
      </c>
      <c r="D149" s="39">
        <v>2499</v>
      </c>
      <c r="E149" s="39">
        <v>2499</v>
      </c>
      <c r="F149" s="66" t="s">
        <v>663</v>
      </c>
    </row>
    <row r="150" spans="1:6">
      <c r="A150" s="45" t="s">
        <v>83</v>
      </c>
      <c r="B150" s="46" t="s">
        <v>3</v>
      </c>
      <c r="C150" s="130">
        <v>2499</v>
      </c>
      <c r="D150" s="39">
        <v>2499</v>
      </c>
      <c r="E150" s="39">
        <v>2499</v>
      </c>
      <c r="F150" s="66" t="s">
        <v>663</v>
      </c>
    </row>
    <row r="151" spans="1:6">
      <c r="A151" s="45" t="s">
        <v>74</v>
      </c>
      <c r="B151" s="46" t="s">
        <v>22</v>
      </c>
      <c r="C151" s="130">
        <v>2499</v>
      </c>
      <c r="D151" s="39">
        <v>2499</v>
      </c>
      <c r="E151" s="39">
        <v>2499</v>
      </c>
      <c r="F151" s="66" t="s">
        <v>663</v>
      </c>
    </row>
    <row r="152" spans="1:6">
      <c r="A152" s="45" t="s">
        <v>74</v>
      </c>
      <c r="B152" s="46" t="s">
        <v>60</v>
      </c>
      <c r="C152" s="130">
        <v>2499</v>
      </c>
      <c r="D152" s="39">
        <v>2499</v>
      </c>
      <c r="E152" s="39">
        <v>2499</v>
      </c>
      <c r="F152" s="66" t="s">
        <v>663</v>
      </c>
    </row>
    <row r="153" spans="1:6">
      <c r="A153" s="45" t="s">
        <v>74</v>
      </c>
      <c r="B153" s="46" t="s">
        <v>188</v>
      </c>
      <c r="C153" s="130">
        <v>2499</v>
      </c>
      <c r="D153" s="39">
        <v>2499</v>
      </c>
      <c r="E153" s="39">
        <v>2499</v>
      </c>
      <c r="F153" s="66" t="s">
        <v>663</v>
      </c>
    </row>
    <row r="154" spans="1:6">
      <c r="A154" s="45" t="s">
        <v>93</v>
      </c>
      <c r="B154" s="46" t="s">
        <v>196</v>
      </c>
      <c r="C154" s="130">
        <v>2499</v>
      </c>
      <c r="D154" s="39">
        <v>2499</v>
      </c>
      <c r="E154" s="39">
        <v>2499</v>
      </c>
      <c r="F154" s="66" t="s">
        <v>663</v>
      </c>
    </row>
    <row r="155" spans="1:6">
      <c r="A155" s="45" t="s">
        <v>74</v>
      </c>
      <c r="B155" s="46" t="s">
        <v>61</v>
      </c>
      <c r="C155" s="130">
        <v>2399</v>
      </c>
      <c r="D155" s="39">
        <v>2399</v>
      </c>
      <c r="E155" s="39">
        <v>2399</v>
      </c>
      <c r="F155" s="66" t="s">
        <v>663</v>
      </c>
    </row>
    <row r="156" spans="1:6">
      <c r="A156" s="45" t="s">
        <v>73</v>
      </c>
      <c r="B156" s="46" t="s">
        <v>19</v>
      </c>
      <c r="C156" s="130">
        <v>2399</v>
      </c>
      <c r="D156" s="39">
        <v>2399</v>
      </c>
      <c r="E156" s="39">
        <v>2399</v>
      </c>
      <c r="F156" s="66" t="s">
        <v>663</v>
      </c>
    </row>
    <row r="157" spans="1:6">
      <c r="A157" s="45" t="s">
        <v>170</v>
      </c>
      <c r="B157" s="46" t="s">
        <v>170</v>
      </c>
      <c r="C157" s="130">
        <v>2399</v>
      </c>
      <c r="D157" s="39">
        <v>2399</v>
      </c>
      <c r="E157" s="39">
        <v>2399</v>
      </c>
      <c r="F157" s="66" t="s">
        <v>663</v>
      </c>
    </row>
    <row r="158" spans="1:6">
      <c r="A158" s="45" t="s">
        <v>97</v>
      </c>
      <c r="B158" s="46" t="s">
        <v>124</v>
      </c>
      <c r="C158" s="130">
        <v>2299</v>
      </c>
      <c r="D158" s="39">
        <v>2299</v>
      </c>
      <c r="E158" s="39">
        <v>2299</v>
      </c>
      <c r="F158" s="66" t="s">
        <v>663</v>
      </c>
    </row>
    <row r="159" spans="1:6">
      <c r="A159" s="45" t="s">
        <v>83</v>
      </c>
      <c r="B159" s="46" t="s">
        <v>198</v>
      </c>
      <c r="C159" s="130">
        <v>2299</v>
      </c>
      <c r="D159" s="39">
        <v>2299</v>
      </c>
      <c r="E159" s="39">
        <v>2299</v>
      </c>
      <c r="F159" s="66" t="s">
        <v>663</v>
      </c>
    </row>
    <row r="160" spans="1:6">
      <c r="A160" s="45" t="s">
        <v>83</v>
      </c>
      <c r="B160" s="46" t="s">
        <v>95</v>
      </c>
      <c r="C160" s="130">
        <v>2199</v>
      </c>
      <c r="D160" s="39">
        <v>2199</v>
      </c>
      <c r="E160" s="39">
        <v>2199</v>
      </c>
      <c r="F160" s="66" t="s">
        <v>663</v>
      </c>
    </row>
    <row r="161" spans="1:6">
      <c r="A161" s="45" t="s">
        <v>165</v>
      </c>
      <c r="B161" s="46" t="s">
        <v>166</v>
      </c>
      <c r="C161" s="130">
        <v>2199</v>
      </c>
      <c r="D161" s="39">
        <v>2199</v>
      </c>
      <c r="E161" s="39">
        <v>2199</v>
      </c>
      <c r="F161" s="66" t="s">
        <v>663</v>
      </c>
    </row>
    <row r="162" spans="1:6">
      <c r="A162" s="45" t="s">
        <v>93</v>
      </c>
      <c r="B162" s="46" t="s">
        <v>163</v>
      </c>
      <c r="C162" s="130">
        <v>2159</v>
      </c>
      <c r="D162" s="39">
        <v>2159</v>
      </c>
      <c r="E162" s="39">
        <v>2159</v>
      </c>
      <c r="F162" s="66" t="s">
        <v>663</v>
      </c>
    </row>
    <row r="163" spans="1:6">
      <c r="A163" s="45" t="s">
        <v>112</v>
      </c>
      <c r="B163" s="46" t="s">
        <v>25</v>
      </c>
      <c r="C163" s="130">
        <v>2099</v>
      </c>
      <c r="D163" s="39">
        <v>2099</v>
      </c>
      <c r="E163" s="39">
        <v>2099</v>
      </c>
      <c r="F163" s="66" t="s">
        <v>663</v>
      </c>
    </row>
    <row r="164" spans="1:6">
      <c r="A164" s="45" t="s">
        <v>83</v>
      </c>
      <c r="B164" s="46" t="s">
        <v>23</v>
      </c>
      <c r="C164" s="130">
        <v>1999</v>
      </c>
      <c r="D164" s="39">
        <v>1999</v>
      </c>
      <c r="E164" s="39">
        <v>1999</v>
      </c>
      <c r="F164" s="66" t="s">
        <v>663</v>
      </c>
    </row>
    <row r="165" spans="1:6">
      <c r="A165" s="45" t="s">
        <v>93</v>
      </c>
      <c r="B165" s="46" t="s">
        <v>96</v>
      </c>
      <c r="C165" s="130">
        <v>1999</v>
      </c>
      <c r="D165" s="39">
        <v>1999</v>
      </c>
      <c r="E165" s="39">
        <v>1999</v>
      </c>
      <c r="F165" s="66" t="s">
        <v>663</v>
      </c>
    </row>
    <row r="166" spans="1:6">
      <c r="A166" s="45" t="s">
        <v>91</v>
      </c>
      <c r="B166" s="46" t="s">
        <v>100</v>
      </c>
      <c r="C166" s="130">
        <v>1999</v>
      </c>
      <c r="D166" s="39">
        <v>1999</v>
      </c>
      <c r="E166" s="39">
        <v>1999</v>
      </c>
      <c r="F166" s="66" t="s">
        <v>663</v>
      </c>
    </row>
    <row r="167" spans="1:6">
      <c r="A167" s="45" t="s">
        <v>83</v>
      </c>
      <c r="B167" s="46" t="s">
        <v>24</v>
      </c>
      <c r="C167" s="130">
        <v>1999</v>
      </c>
      <c r="D167" s="39">
        <v>1999</v>
      </c>
      <c r="E167" s="39">
        <v>1999</v>
      </c>
      <c r="F167" s="66" t="s">
        <v>663</v>
      </c>
    </row>
    <row r="168" spans="1:6">
      <c r="A168" s="45" t="s">
        <v>83</v>
      </c>
      <c r="B168" s="46" t="s">
        <v>137</v>
      </c>
      <c r="C168" s="130">
        <v>1999</v>
      </c>
      <c r="D168" s="39">
        <v>1999</v>
      </c>
      <c r="E168" s="39">
        <v>1999</v>
      </c>
      <c r="F168" s="66" t="s">
        <v>663</v>
      </c>
    </row>
    <row r="169" spans="1:6">
      <c r="A169" s="45" t="s">
        <v>219</v>
      </c>
      <c r="B169" s="46" t="s">
        <v>220</v>
      </c>
      <c r="C169" s="130">
        <v>1999</v>
      </c>
      <c r="D169" s="39">
        <v>1999</v>
      </c>
      <c r="E169" s="39">
        <v>1999</v>
      </c>
      <c r="F169" s="66" t="s">
        <v>663</v>
      </c>
    </row>
    <row r="170" spans="1:6">
      <c r="A170" s="45" t="s">
        <v>91</v>
      </c>
      <c r="B170" s="46" t="s">
        <v>209</v>
      </c>
      <c r="C170" s="130">
        <v>1899</v>
      </c>
      <c r="D170" s="39">
        <v>1899</v>
      </c>
      <c r="E170" s="39">
        <v>1899</v>
      </c>
      <c r="F170" s="66" t="s">
        <v>663</v>
      </c>
    </row>
    <row r="171" spans="1:6">
      <c r="A171" s="45" t="s">
        <v>127</v>
      </c>
      <c r="B171" s="46" t="s">
        <v>157</v>
      </c>
      <c r="C171" s="130">
        <v>1849</v>
      </c>
      <c r="D171" s="39">
        <v>1849</v>
      </c>
      <c r="E171" s="39">
        <v>1849</v>
      </c>
      <c r="F171" s="66" t="s">
        <v>663</v>
      </c>
    </row>
    <row r="172" spans="1:6">
      <c r="A172" s="45" t="s">
        <v>97</v>
      </c>
      <c r="B172" s="46" t="s">
        <v>115</v>
      </c>
      <c r="C172" s="130">
        <v>1799</v>
      </c>
      <c r="D172" s="39">
        <v>1799</v>
      </c>
      <c r="E172" s="39">
        <v>1799</v>
      </c>
      <c r="F172" s="66" t="s">
        <v>663</v>
      </c>
    </row>
    <row r="173" spans="1:6">
      <c r="A173" s="45" t="s">
        <v>83</v>
      </c>
      <c r="B173" s="46" t="s">
        <v>136</v>
      </c>
      <c r="C173" s="130">
        <v>1799</v>
      </c>
      <c r="D173" s="39">
        <v>1799</v>
      </c>
      <c r="E173" s="39">
        <v>1799</v>
      </c>
      <c r="F173" s="66" t="s">
        <v>663</v>
      </c>
    </row>
    <row r="174" spans="1:6">
      <c r="A174" s="45" t="s">
        <v>97</v>
      </c>
      <c r="B174" s="46" t="s">
        <v>26</v>
      </c>
      <c r="C174" s="130">
        <v>1779</v>
      </c>
      <c r="D174" s="39">
        <v>1779</v>
      </c>
      <c r="E174" s="39">
        <v>1779</v>
      </c>
      <c r="F174" s="66" t="s">
        <v>663</v>
      </c>
    </row>
    <row r="175" spans="1:6">
      <c r="A175" s="45" t="s">
        <v>91</v>
      </c>
      <c r="B175" s="46">
        <v>5010</v>
      </c>
      <c r="C175" s="130">
        <v>1699</v>
      </c>
      <c r="D175" s="39">
        <v>1699</v>
      </c>
      <c r="E175" s="39">
        <v>1699</v>
      </c>
      <c r="F175" s="66" t="s">
        <v>663</v>
      </c>
    </row>
    <row r="176" spans="1:6">
      <c r="A176" s="45" t="s">
        <v>83</v>
      </c>
      <c r="B176" s="46" t="s">
        <v>4</v>
      </c>
      <c r="C176" s="130">
        <v>1699</v>
      </c>
      <c r="D176" s="39">
        <v>1699</v>
      </c>
      <c r="E176" s="39">
        <v>1699</v>
      </c>
      <c r="F176" s="66" t="s">
        <v>663</v>
      </c>
    </row>
    <row r="177" spans="1:6">
      <c r="A177" s="45" t="s">
        <v>215</v>
      </c>
      <c r="B177" s="46" t="s">
        <v>217</v>
      </c>
      <c r="C177" s="130">
        <v>1699</v>
      </c>
      <c r="D177" s="39">
        <v>1699</v>
      </c>
      <c r="E177" s="39">
        <v>1699</v>
      </c>
      <c r="F177" s="66" t="s">
        <v>663</v>
      </c>
    </row>
    <row r="178" spans="1:6">
      <c r="A178" s="45" t="s">
        <v>165</v>
      </c>
      <c r="B178" s="46" t="s">
        <v>183</v>
      </c>
      <c r="C178" s="130">
        <v>1499</v>
      </c>
      <c r="D178" s="39">
        <v>1499</v>
      </c>
      <c r="E178" s="39">
        <v>1499</v>
      </c>
      <c r="F178" s="66" t="s">
        <v>663</v>
      </c>
    </row>
    <row r="179" spans="1:6">
      <c r="A179" s="45" t="s">
        <v>93</v>
      </c>
      <c r="B179" s="46" t="s">
        <v>179</v>
      </c>
      <c r="C179" s="130">
        <v>1099</v>
      </c>
      <c r="D179" s="39">
        <v>1099</v>
      </c>
      <c r="E179" s="39">
        <v>1099</v>
      </c>
      <c r="F179" s="66" t="s">
        <v>663</v>
      </c>
    </row>
    <row r="180" spans="1:6">
      <c r="A180" s="45" t="s">
        <v>112</v>
      </c>
      <c r="B180" s="46" t="s">
        <v>27</v>
      </c>
      <c r="C180" s="130">
        <v>1099</v>
      </c>
      <c r="D180" s="39">
        <v>1099</v>
      </c>
      <c r="E180" s="39">
        <v>1099</v>
      </c>
      <c r="F180" s="66" t="s">
        <v>663</v>
      </c>
    </row>
    <row r="181" spans="1:6">
      <c r="A181" s="45" t="s">
        <v>83</v>
      </c>
      <c r="B181" s="46" t="s">
        <v>98</v>
      </c>
      <c r="C181" s="130">
        <v>999</v>
      </c>
      <c r="D181" s="39">
        <v>999</v>
      </c>
      <c r="E181" s="39">
        <v>999</v>
      </c>
      <c r="F181" s="66" t="s">
        <v>663</v>
      </c>
    </row>
    <row r="182" spans="1:6">
      <c r="A182" s="45" t="s">
        <v>97</v>
      </c>
      <c r="B182" s="46" t="s">
        <v>28</v>
      </c>
      <c r="C182" s="130">
        <v>999</v>
      </c>
      <c r="D182" s="39">
        <v>999</v>
      </c>
      <c r="E182" s="39">
        <v>999</v>
      </c>
      <c r="F182" s="66" t="s">
        <v>663</v>
      </c>
    </row>
    <row r="183" spans="1:6">
      <c r="A183" s="45" t="s">
        <v>91</v>
      </c>
      <c r="B183" s="46" t="s">
        <v>99</v>
      </c>
      <c r="C183" s="130">
        <v>999</v>
      </c>
      <c r="D183" s="39">
        <v>999</v>
      </c>
      <c r="E183" s="39">
        <v>999</v>
      </c>
      <c r="F183" s="66" t="s">
        <v>663</v>
      </c>
    </row>
    <row r="184" spans="1:6">
      <c r="A184" s="45" t="s">
        <v>91</v>
      </c>
      <c r="B184" s="46">
        <v>2038</v>
      </c>
      <c r="C184" s="130">
        <v>799</v>
      </c>
      <c r="D184" s="39">
        <v>799</v>
      </c>
      <c r="E184" s="39">
        <v>799</v>
      </c>
      <c r="F184" s="66" t="s">
        <v>663</v>
      </c>
    </row>
    <row r="185" spans="1:6">
      <c r="A185" s="45" t="s">
        <v>186</v>
      </c>
      <c r="B185" s="46" t="s">
        <v>185</v>
      </c>
      <c r="C185" s="130">
        <v>749</v>
      </c>
      <c r="D185" s="39">
        <v>749</v>
      </c>
      <c r="E185" s="39">
        <v>749</v>
      </c>
      <c r="F185" s="66" t="s">
        <v>663</v>
      </c>
    </row>
    <row r="186" spans="1:6">
      <c r="A186" s="45" t="s">
        <v>83</v>
      </c>
      <c r="B186" s="46" t="s">
        <v>62</v>
      </c>
      <c r="C186" s="130">
        <v>599</v>
      </c>
      <c r="D186" s="39">
        <v>599</v>
      </c>
      <c r="E186" s="39">
        <v>599</v>
      </c>
      <c r="F186" s="66" t="s">
        <v>663</v>
      </c>
    </row>
    <row r="187" spans="1:6">
      <c r="A187" s="45" t="s">
        <v>83</v>
      </c>
      <c r="B187" s="46" t="s">
        <v>63</v>
      </c>
      <c r="C187" s="130">
        <v>499</v>
      </c>
      <c r="D187" s="39">
        <v>499</v>
      </c>
      <c r="E187" s="39">
        <v>499</v>
      </c>
      <c r="F187" s="66" t="s">
        <v>663</v>
      </c>
    </row>
    <row r="188" spans="1:6">
      <c r="A188" s="45" t="s">
        <v>83</v>
      </c>
      <c r="B188" s="46" t="s">
        <v>64</v>
      </c>
      <c r="C188" s="130">
        <v>499</v>
      </c>
      <c r="D188" s="39">
        <v>499</v>
      </c>
      <c r="E188" s="39">
        <v>499</v>
      </c>
      <c r="F188" s="66" t="s">
        <v>663</v>
      </c>
    </row>
    <row r="189" spans="1:6">
      <c r="A189" s="45" t="s">
        <v>83</v>
      </c>
      <c r="B189" s="46" t="s">
        <v>65</v>
      </c>
      <c r="C189" s="130">
        <v>499</v>
      </c>
      <c r="D189" s="39">
        <v>499</v>
      </c>
      <c r="E189" s="39">
        <v>499</v>
      </c>
      <c r="F189" s="66" t="s">
        <v>663</v>
      </c>
    </row>
    <row r="190" spans="1:6">
      <c r="A190" s="45" t="s">
        <v>83</v>
      </c>
      <c r="B190" s="46" t="s">
        <v>66</v>
      </c>
      <c r="C190" s="130">
        <v>499</v>
      </c>
      <c r="D190" s="39">
        <v>499</v>
      </c>
      <c r="E190" s="39">
        <v>499</v>
      </c>
      <c r="F190" s="66" t="s">
        <v>663</v>
      </c>
    </row>
    <row r="191" spans="1:6">
      <c r="A191" s="45" t="s">
        <v>93</v>
      </c>
      <c r="B191" s="46" t="s">
        <v>221</v>
      </c>
      <c r="C191" s="130">
        <v>3599</v>
      </c>
      <c r="D191" s="39">
        <v>3599</v>
      </c>
      <c r="E191" s="39">
        <v>3599</v>
      </c>
      <c r="F191" s="66" t="s">
        <v>663</v>
      </c>
    </row>
    <row r="192" spans="1:6">
      <c r="A192" s="45" t="s">
        <v>83</v>
      </c>
      <c r="B192" s="46" t="s">
        <v>222</v>
      </c>
      <c r="C192" s="130">
        <v>14999</v>
      </c>
      <c r="D192" s="39">
        <v>14999</v>
      </c>
      <c r="E192" s="39">
        <v>14000</v>
      </c>
      <c r="F192" s="66">
        <v>44410</v>
      </c>
    </row>
    <row r="193" spans="1:6">
      <c r="A193" s="45" t="s">
        <v>83</v>
      </c>
      <c r="B193" s="46" t="s">
        <v>223</v>
      </c>
      <c r="C193" s="130">
        <v>7199</v>
      </c>
      <c r="D193" s="39">
        <v>7199</v>
      </c>
      <c r="E193" s="39">
        <v>7199</v>
      </c>
      <c r="F193" s="66" t="s">
        <v>663</v>
      </c>
    </row>
    <row r="194" spans="1:6">
      <c r="A194" s="45" t="s">
        <v>73</v>
      </c>
      <c r="B194" s="46" t="s">
        <v>224</v>
      </c>
      <c r="C194" s="130">
        <v>12999</v>
      </c>
      <c r="D194" s="39">
        <v>12999</v>
      </c>
      <c r="E194" s="39">
        <v>12999</v>
      </c>
      <c r="F194" s="66" t="s">
        <v>663</v>
      </c>
    </row>
    <row r="195" spans="1:6">
      <c r="A195" s="45" t="s">
        <v>73</v>
      </c>
      <c r="B195" s="46" t="s">
        <v>225</v>
      </c>
      <c r="C195" s="130">
        <v>10999</v>
      </c>
      <c r="D195" s="39">
        <v>10999</v>
      </c>
      <c r="E195" s="39">
        <v>10999</v>
      </c>
      <c r="F195" s="66" t="s">
        <v>663</v>
      </c>
    </row>
    <row r="196" spans="1:6">
      <c r="A196" s="45" t="s">
        <v>91</v>
      </c>
      <c r="B196" s="46" t="s">
        <v>226</v>
      </c>
      <c r="C196" s="130">
        <v>2799</v>
      </c>
      <c r="D196" s="39">
        <v>2799</v>
      </c>
      <c r="E196" s="39">
        <v>2799</v>
      </c>
      <c r="F196" s="66" t="s">
        <v>663</v>
      </c>
    </row>
    <row r="197" spans="1:6">
      <c r="A197" s="45" t="s">
        <v>165</v>
      </c>
      <c r="B197" s="46" t="s">
        <v>227</v>
      </c>
      <c r="C197" s="130">
        <v>4159</v>
      </c>
      <c r="D197" s="39">
        <v>4159</v>
      </c>
      <c r="E197" s="39">
        <v>4159</v>
      </c>
      <c r="F197" s="66" t="s">
        <v>663</v>
      </c>
    </row>
    <row r="198" spans="1:6">
      <c r="A198" s="45" t="s">
        <v>73</v>
      </c>
      <c r="B198" s="46" t="s">
        <v>228</v>
      </c>
      <c r="C198" s="130">
        <v>18169</v>
      </c>
      <c r="D198" s="39">
        <v>18169</v>
      </c>
      <c r="E198" s="39">
        <v>18169</v>
      </c>
      <c r="F198" s="66" t="s">
        <v>663</v>
      </c>
    </row>
    <row r="199" spans="1:6">
      <c r="A199" s="45" t="s">
        <v>73</v>
      </c>
      <c r="B199" s="46" t="s">
        <v>229</v>
      </c>
      <c r="C199" s="130">
        <v>22399</v>
      </c>
      <c r="D199" s="39">
        <v>22399</v>
      </c>
      <c r="E199" s="39">
        <v>20999</v>
      </c>
      <c r="F199" s="66">
        <v>44336</v>
      </c>
    </row>
    <row r="200" spans="1:6">
      <c r="A200" s="45" t="s">
        <v>83</v>
      </c>
      <c r="B200" s="46" t="s">
        <v>231</v>
      </c>
      <c r="C200" s="130">
        <v>5499</v>
      </c>
      <c r="D200" s="39">
        <v>5499</v>
      </c>
      <c r="E200" s="39">
        <v>5499</v>
      </c>
      <c r="F200" s="66" t="s">
        <v>663</v>
      </c>
    </row>
    <row r="201" spans="1:6">
      <c r="A201" s="45" t="s">
        <v>83</v>
      </c>
      <c r="B201" s="46" t="s">
        <v>230</v>
      </c>
      <c r="C201" s="130">
        <v>16999</v>
      </c>
      <c r="D201" s="39">
        <v>16999</v>
      </c>
      <c r="E201" s="39">
        <v>16999</v>
      </c>
      <c r="F201" s="66" t="s">
        <v>663</v>
      </c>
    </row>
    <row r="202" spans="1:6">
      <c r="A202" s="45" t="s">
        <v>83</v>
      </c>
      <c r="B202" s="46" t="s">
        <v>232</v>
      </c>
      <c r="C202" s="130">
        <v>4299</v>
      </c>
      <c r="D202" s="39">
        <v>4299</v>
      </c>
      <c r="E202" s="39">
        <v>4299</v>
      </c>
      <c r="F202" s="66" t="s">
        <v>663</v>
      </c>
    </row>
    <row r="203" spans="1:6">
      <c r="A203" s="45" t="s">
        <v>83</v>
      </c>
      <c r="B203" s="46" t="s">
        <v>233</v>
      </c>
      <c r="C203" s="130">
        <v>13799</v>
      </c>
      <c r="D203" s="39">
        <v>13799</v>
      </c>
      <c r="E203" s="39">
        <v>13799</v>
      </c>
      <c r="F203" s="66" t="s">
        <v>663</v>
      </c>
    </row>
    <row r="204" spans="1:6">
      <c r="A204" s="45" t="s">
        <v>74</v>
      </c>
      <c r="B204" s="46" t="s">
        <v>234</v>
      </c>
      <c r="C204" s="130">
        <v>7299</v>
      </c>
      <c r="D204" s="39">
        <v>7299</v>
      </c>
      <c r="E204" s="39">
        <v>7299</v>
      </c>
      <c r="F204" s="66" t="s">
        <v>663</v>
      </c>
    </row>
    <row r="205" spans="1:6">
      <c r="A205" s="45" t="s">
        <v>83</v>
      </c>
      <c r="B205" s="46" t="s">
        <v>235</v>
      </c>
      <c r="C205" s="130">
        <v>6499</v>
      </c>
      <c r="D205" s="39">
        <v>6499</v>
      </c>
      <c r="E205" s="39">
        <v>6499</v>
      </c>
      <c r="F205" s="66" t="s">
        <v>663</v>
      </c>
    </row>
    <row r="206" spans="1:6">
      <c r="A206" s="45" t="s">
        <v>74</v>
      </c>
      <c r="B206" s="46" t="s">
        <v>236</v>
      </c>
      <c r="C206" s="130">
        <v>7299</v>
      </c>
      <c r="D206" s="39">
        <v>7299</v>
      </c>
      <c r="E206" s="39">
        <v>4999</v>
      </c>
      <c r="F206" s="66">
        <v>44318</v>
      </c>
    </row>
    <row r="207" spans="1:6">
      <c r="A207" s="45" t="s">
        <v>74</v>
      </c>
      <c r="B207" s="46" t="s">
        <v>237</v>
      </c>
      <c r="C207" s="130">
        <v>3699</v>
      </c>
      <c r="D207" s="39">
        <v>3699</v>
      </c>
      <c r="E207" s="39">
        <v>3699</v>
      </c>
      <c r="F207" s="66" t="s">
        <v>663</v>
      </c>
    </row>
    <row r="208" spans="1:6">
      <c r="A208" s="45" t="s">
        <v>74</v>
      </c>
      <c r="B208" s="46" t="s">
        <v>238</v>
      </c>
      <c r="C208" s="130">
        <v>11499</v>
      </c>
      <c r="D208" s="39">
        <v>11499</v>
      </c>
      <c r="E208" s="39">
        <v>11499</v>
      </c>
      <c r="F208" s="66" t="s">
        <v>663</v>
      </c>
    </row>
    <row r="209" spans="1:6">
      <c r="A209" s="45" t="s">
        <v>73</v>
      </c>
      <c r="B209" s="46" t="s">
        <v>239</v>
      </c>
      <c r="C209" s="130">
        <v>4299</v>
      </c>
      <c r="D209" s="39">
        <v>4299</v>
      </c>
      <c r="E209" s="39">
        <v>4299</v>
      </c>
      <c r="F209" s="66" t="s">
        <v>663</v>
      </c>
    </row>
    <row r="210" spans="1:6">
      <c r="A210" s="45" t="s">
        <v>73</v>
      </c>
      <c r="B210" s="46" t="s">
        <v>240</v>
      </c>
      <c r="C210" s="130">
        <v>5499</v>
      </c>
      <c r="D210" s="39">
        <v>5499</v>
      </c>
      <c r="E210" s="39">
        <v>5499</v>
      </c>
      <c r="F210" s="66" t="s">
        <v>663</v>
      </c>
    </row>
    <row r="211" spans="1:6">
      <c r="A211" s="45" t="s">
        <v>73</v>
      </c>
      <c r="B211" s="46" t="s">
        <v>241</v>
      </c>
      <c r="C211" s="130">
        <v>7999</v>
      </c>
      <c r="D211" s="39">
        <v>7999</v>
      </c>
      <c r="E211" s="39">
        <v>7999</v>
      </c>
      <c r="F211" s="66" t="s">
        <v>663</v>
      </c>
    </row>
    <row r="212" spans="1:6">
      <c r="A212" s="45" t="s">
        <v>73</v>
      </c>
      <c r="B212" s="46" t="s">
        <v>242</v>
      </c>
      <c r="C212" s="130">
        <v>22399</v>
      </c>
      <c r="D212" s="39">
        <v>22399</v>
      </c>
      <c r="E212" s="39">
        <v>22399</v>
      </c>
      <c r="F212" s="66" t="s">
        <v>663</v>
      </c>
    </row>
    <row r="213" spans="1:6">
      <c r="A213" s="45" t="s">
        <v>83</v>
      </c>
      <c r="B213" s="46" t="s">
        <v>243</v>
      </c>
      <c r="C213" s="130">
        <v>2100</v>
      </c>
      <c r="D213" s="39">
        <v>2100</v>
      </c>
      <c r="E213" s="39">
        <v>2100</v>
      </c>
      <c r="F213" s="66" t="s">
        <v>663</v>
      </c>
    </row>
    <row r="214" spans="1:6">
      <c r="A214" s="45" t="s">
        <v>67</v>
      </c>
      <c r="B214" s="46" t="s">
        <v>246</v>
      </c>
      <c r="C214" s="130">
        <v>11299</v>
      </c>
      <c r="D214" s="39">
        <v>11299</v>
      </c>
      <c r="E214" s="39">
        <v>11299</v>
      </c>
      <c r="F214" s="66" t="s">
        <v>663</v>
      </c>
    </row>
    <row r="215" spans="1:6">
      <c r="A215" s="45" t="s">
        <v>67</v>
      </c>
      <c r="B215" s="46" t="s">
        <v>247</v>
      </c>
      <c r="C215" s="130">
        <v>13799</v>
      </c>
      <c r="D215" s="39">
        <v>13799</v>
      </c>
      <c r="E215" s="39">
        <v>13799</v>
      </c>
      <c r="F215" s="66" t="s">
        <v>663</v>
      </c>
    </row>
    <row r="216" spans="1:6">
      <c r="A216" s="45" t="s">
        <v>67</v>
      </c>
      <c r="B216" s="46" t="s">
        <v>248</v>
      </c>
      <c r="C216" s="130">
        <v>22299</v>
      </c>
      <c r="D216" s="39">
        <v>22299</v>
      </c>
      <c r="E216" s="39">
        <v>22299</v>
      </c>
      <c r="F216" s="66" t="s">
        <v>663</v>
      </c>
    </row>
    <row r="217" spans="1:6">
      <c r="A217" s="45" t="s">
        <v>67</v>
      </c>
      <c r="B217" s="46" t="s">
        <v>249</v>
      </c>
      <c r="C217" s="130">
        <v>25799</v>
      </c>
      <c r="D217" s="39">
        <v>25799</v>
      </c>
      <c r="E217" s="39">
        <v>25799</v>
      </c>
      <c r="F217" s="66" t="s">
        <v>663</v>
      </c>
    </row>
    <row r="218" spans="1:6">
      <c r="A218" s="45" t="s">
        <v>67</v>
      </c>
      <c r="B218" s="46" t="s">
        <v>244</v>
      </c>
      <c r="C218" s="130">
        <v>8999</v>
      </c>
      <c r="D218" s="39">
        <v>8999</v>
      </c>
      <c r="E218" s="39">
        <v>8999</v>
      </c>
      <c r="F218" s="66" t="s">
        <v>663</v>
      </c>
    </row>
    <row r="219" spans="1:6">
      <c r="A219" s="45" t="s">
        <v>67</v>
      </c>
      <c r="B219" s="46" t="s">
        <v>245</v>
      </c>
      <c r="C219" s="130">
        <v>9699</v>
      </c>
      <c r="D219" s="39">
        <v>9699</v>
      </c>
      <c r="E219" s="39">
        <v>9699</v>
      </c>
      <c r="F219" s="66" t="s">
        <v>663</v>
      </c>
    </row>
    <row r="220" spans="1:6">
      <c r="A220" s="45" t="s">
        <v>73</v>
      </c>
      <c r="B220" s="46" t="s">
        <v>250</v>
      </c>
      <c r="C220" s="130">
        <v>6499</v>
      </c>
      <c r="D220" s="39">
        <v>6499</v>
      </c>
      <c r="E220" s="39">
        <v>6499</v>
      </c>
      <c r="F220" s="66" t="s">
        <v>663</v>
      </c>
    </row>
    <row r="221" spans="1:6">
      <c r="A221" s="45" t="s">
        <v>73</v>
      </c>
      <c r="B221" s="46" t="s">
        <v>251</v>
      </c>
      <c r="C221" s="130">
        <v>6900</v>
      </c>
      <c r="D221" s="39">
        <v>6900</v>
      </c>
      <c r="E221" s="39">
        <v>6900</v>
      </c>
      <c r="F221" s="66" t="s">
        <v>663</v>
      </c>
    </row>
    <row r="222" spans="1:6">
      <c r="A222" s="45" t="s">
        <v>74</v>
      </c>
      <c r="B222" s="46" t="s">
        <v>257</v>
      </c>
      <c r="C222" s="130">
        <v>3000</v>
      </c>
      <c r="D222" s="39">
        <v>3000</v>
      </c>
      <c r="E222" s="39">
        <v>3000</v>
      </c>
      <c r="F222" s="66" t="s">
        <v>663</v>
      </c>
    </row>
    <row r="223" spans="1:6">
      <c r="A223" s="45" t="s">
        <v>253</v>
      </c>
      <c r="B223" s="46" t="s">
        <v>254</v>
      </c>
      <c r="C223" s="130">
        <v>2699</v>
      </c>
      <c r="D223" s="39">
        <v>2699</v>
      </c>
      <c r="E223" s="39">
        <v>2699</v>
      </c>
      <c r="F223" s="66" t="s">
        <v>663</v>
      </c>
    </row>
    <row r="224" spans="1:6">
      <c r="A224" s="45" t="s">
        <v>83</v>
      </c>
      <c r="B224" s="46" t="s">
        <v>255</v>
      </c>
      <c r="C224" s="130">
        <v>4800</v>
      </c>
      <c r="D224" s="39">
        <v>4800</v>
      </c>
      <c r="E224" s="39">
        <v>4800</v>
      </c>
      <c r="F224" s="66" t="s">
        <v>663</v>
      </c>
    </row>
    <row r="225" spans="1:6">
      <c r="A225" s="45" t="s">
        <v>83</v>
      </c>
      <c r="B225" s="46" t="s">
        <v>256</v>
      </c>
      <c r="C225" s="130">
        <v>10999</v>
      </c>
      <c r="D225" s="39">
        <v>10999</v>
      </c>
      <c r="E225" s="39">
        <v>10999</v>
      </c>
      <c r="F225" s="66" t="s">
        <v>663</v>
      </c>
    </row>
    <row r="226" spans="1:6">
      <c r="A226" s="45" t="s">
        <v>74</v>
      </c>
      <c r="B226" s="46" t="s">
        <v>258</v>
      </c>
      <c r="C226" s="130">
        <v>3000</v>
      </c>
      <c r="D226" s="39">
        <v>3000</v>
      </c>
      <c r="E226" s="39">
        <v>3000</v>
      </c>
      <c r="F226" s="66" t="s">
        <v>663</v>
      </c>
    </row>
    <row r="227" spans="1:6">
      <c r="A227" s="45" t="s">
        <v>73</v>
      </c>
      <c r="B227" s="46" t="s">
        <v>252</v>
      </c>
      <c r="C227" s="130">
        <v>24999</v>
      </c>
      <c r="D227" s="39">
        <v>24999</v>
      </c>
      <c r="E227" s="39">
        <v>24999</v>
      </c>
      <c r="F227" s="66" t="s">
        <v>663</v>
      </c>
    </row>
    <row r="228" spans="1:6">
      <c r="A228" s="45" t="s">
        <v>67</v>
      </c>
      <c r="B228" s="46" t="s">
        <v>259</v>
      </c>
      <c r="C228" s="130">
        <v>24499</v>
      </c>
      <c r="D228" s="39">
        <v>24499</v>
      </c>
      <c r="E228" s="39">
        <v>24499</v>
      </c>
      <c r="F228" s="66" t="s">
        <v>663</v>
      </c>
    </row>
    <row r="229" spans="1:6">
      <c r="A229" s="45" t="s">
        <v>67</v>
      </c>
      <c r="B229" s="46" t="s">
        <v>260</v>
      </c>
      <c r="C229" s="130">
        <v>28199</v>
      </c>
      <c r="D229" s="39">
        <v>28199</v>
      </c>
      <c r="E229" s="39">
        <v>28199</v>
      </c>
      <c r="F229" s="66" t="s">
        <v>663</v>
      </c>
    </row>
    <row r="230" spans="1:6">
      <c r="A230" s="45" t="s">
        <v>67</v>
      </c>
      <c r="B230" s="46" t="s">
        <v>261</v>
      </c>
      <c r="C230" s="130">
        <v>32999</v>
      </c>
      <c r="D230" s="39">
        <v>32999</v>
      </c>
      <c r="E230" s="39">
        <v>32999</v>
      </c>
      <c r="F230" s="66" t="s">
        <v>663</v>
      </c>
    </row>
    <row r="231" spans="1:6">
      <c r="A231" s="45" t="s">
        <v>67</v>
      </c>
      <c r="B231" s="46" t="s">
        <v>262</v>
      </c>
      <c r="C231" s="130">
        <v>26999</v>
      </c>
      <c r="D231" s="39">
        <v>26999</v>
      </c>
      <c r="E231" s="39">
        <v>26999</v>
      </c>
      <c r="F231" s="66" t="s">
        <v>663</v>
      </c>
    </row>
    <row r="232" spans="1:6">
      <c r="A232" s="45" t="s">
        <v>67</v>
      </c>
      <c r="B232" s="46" t="s">
        <v>263</v>
      </c>
      <c r="C232" s="130">
        <v>30699</v>
      </c>
      <c r="D232" s="39">
        <v>30699</v>
      </c>
      <c r="E232" s="39">
        <v>30699</v>
      </c>
      <c r="F232" s="66" t="s">
        <v>663</v>
      </c>
    </row>
    <row r="233" spans="1:6">
      <c r="A233" s="45" t="s">
        <v>67</v>
      </c>
      <c r="B233" s="46" t="s">
        <v>264</v>
      </c>
      <c r="C233" s="130">
        <v>35499</v>
      </c>
      <c r="D233" s="39">
        <v>35499</v>
      </c>
      <c r="E233" s="39">
        <v>35499</v>
      </c>
      <c r="F233" s="66" t="s">
        <v>663</v>
      </c>
    </row>
    <row r="234" spans="1:6">
      <c r="A234" s="45" t="s">
        <v>74</v>
      </c>
      <c r="B234" s="46" t="s">
        <v>265</v>
      </c>
      <c r="C234" s="130">
        <v>7999</v>
      </c>
      <c r="D234" s="39">
        <v>7999</v>
      </c>
      <c r="E234" s="39">
        <v>7999</v>
      </c>
      <c r="F234" s="66" t="s">
        <v>663</v>
      </c>
    </row>
    <row r="235" spans="1:6">
      <c r="A235" s="45" t="s">
        <v>83</v>
      </c>
      <c r="B235" s="46" t="s">
        <v>266</v>
      </c>
      <c r="C235" s="130">
        <v>7199</v>
      </c>
      <c r="D235" s="39">
        <v>7199</v>
      </c>
      <c r="E235" s="39">
        <v>7199</v>
      </c>
      <c r="F235" s="66" t="s">
        <v>663</v>
      </c>
    </row>
    <row r="236" spans="1:6">
      <c r="A236" s="45" t="s">
        <v>73</v>
      </c>
      <c r="B236" s="46" t="s">
        <v>267</v>
      </c>
      <c r="C236" s="130">
        <v>5299</v>
      </c>
      <c r="D236" s="39">
        <v>5299</v>
      </c>
      <c r="E236" s="39">
        <v>5299</v>
      </c>
      <c r="F236" s="66" t="s">
        <v>663</v>
      </c>
    </row>
    <row r="237" spans="1:6">
      <c r="A237" s="45" t="s">
        <v>67</v>
      </c>
      <c r="B237" s="46" t="s">
        <v>268</v>
      </c>
      <c r="C237" s="130">
        <v>22199</v>
      </c>
      <c r="D237" s="39">
        <v>22199</v>
      </c>
      <c r="E237" s="39">
        <v>22199</v>
      </c>
      <c r="F237" s="66" t="s">
        <v>663</v>
      </c>
    </row>
    <row r="238" spans="1:6">
      <c r="A238" s="45" t="s">
        <v>67</v>
      </c>
      <c r="B238" s="46" t="s">
        <v>269</v>
      </c>
      <c r="C238" s="130">
        <v>19699</v>
      </c>
      <c r="D238" s="39">
        <v>19699</v>
      </c>
      <c r="E238" s="39">
        <v>19699</v>
      </c>
      <c r="F238" s="66" t="s">
        <v>663</v>
      </c>
    </row>
    <row r="239" spans="1:6">
      <c r="A239" s="45" t="s">
        <v>67</v>
      </c>
      <c r="B239" s="46" t="s">
        <v>270</v>
      </c>
      <c r="C239" s="130">
        <v>18499</v>
      </c>
      <c r="D239" s="39">
        <v>18499</v>
      </c>
      <c r="E239" s="39">
        <v>18499</v>
      </c>
      <c r="F239" s="66" t="s">
        <v>663</v>
      </c>
    </row>
    <row r="240" spans="1:6">
      <c r="A240" s="45" t="s">
        <v>253</v>
      </c>
      <c r="B240" s="46" t="s">
        <v>272</v>
      </c>
      <c r="C240" s="130">
        <v>15999</v>
      </c>
      <c r="D240" s="39">
        <v>15999</v>
      </c>
      <c r="E240" s="39">
        <v>15999</v>
      </c>
      <c r="F240" s="66" t="s">
        <v>663</v>
      </c>
    </row>
    <row r="241" spans="1:6">
      <c r="A241" s="45" t="s">
        <v>271</v>
      </c>
      <c r="B241" s="46" t="s">
        <v>273</v>
      </c>
      <c r="C241" s="130">
        <v>1899</v>
      </c>
      <c r="D241" s="39">
        <v>1899</v>
      </c>
      <c r="E241" s="39">
        <v>1899</v>
      </c>
      <c r="F241" s="66" t="s">
        <v>663</v>
      </c>
    </row>
    <row r="242" spans="1:6">
      <c r="A242" s="45" t="s">
        <v>73</v>
      </c>
      <c r="B242" s="46" t="s">
        <v>274</v>
      </c>
      <c r="C242" s="130">
        <v>4699</v>
      </c>
      <c r="D242" s="39">
        <v>4699</v>
      </c>
      <c r="E242" s="39">
        <v>4699</v>
      </c>
      <c r="F242" s="66" t="s">
        <v>663</v>
      </c>
    </row>
    <row r="243" spans="1:6">
      <c r="A243" s="45" t="s">
        <v>73</v>
      </c>
      <c r="B243" s="46" t="s">
        <v>275</v>
      </c>
      <c r="C243" s="130">
        <v>7999</v>
      </c>
      <c r="D243" s="39">
        <v>7999</v>
      </c>
      <c r="E243" s="39">
        <v>7999</v>
      </c>
      <c r="F243" s="66" t="s">
        <v>663</v>
      </c>
    </row>
    <row r="244" spans="1:6">
      <c r="A244" s="45" t="s">
        <v>271</v>
      </c>
      <c r="B244" s="46" t="s">
        <v>276</v>
      </c>
      <c r="C244" s="130">
        <v>2799</v>
      </c>
      <c r="D244" s="39">
        <v>2799</v>
      </c>
      <c r="E244" s="39">
        <v>2799</v>
      </c>
      <c r="F244" s="66" t="s">
        <v>663</v>
      </c>
    </row>
    <row r="245" spans="1:6">
      <c r="A245" s="45" t="s">
        <v>253</v>
      </c>
      <c r="B245" s="46" t="s">
        <v>277</v>
      </c>
      <c r="C245" s="130">
        <v>5999</v>
      </c>
      <c r="D245" s="39">
        <v>5999</v>
      </c>
      <c r="E245" s="39">
        <v>5999</v>
      </c>
      <c r="F245" s="66" t="s">
        <v>663</v>
      </c>
    </row>
    <row r="246" spans="1:6">
      <c r="A246" s="45" t="s">
        <v>253</v>
      </c>
      <c r="B246" s="46" t="s">
        <v>278</v>
      </c>
      <c r="C246" s="130">
        <v>20999</v>
      </c>
      <c r="D246" s="39">
        <v>20999</v>
      </c>
      <c r="E246" s="39">
        <v>20999</v>
      </c>
      <c r="F246" s="66" t="s">
        <v>663</v>
      </c>
    </row>
    <row r="247" spans="1:6">
      <c r="A247" s="45" t="s">
        <v>73</v>
      </c>
      <c r="B247" s="46" t="s">
        <v>279</v>
      </c>
      <c r="C247" s="130">
        <v>3329</v>
      </c>
      <c r="D247" s="39">
        <v>3329</v>
      </c>
      <c r="E247" s="39">
        <v>3329</v>
      </c>
      <c r="F247" s="66" t="s">
        <v>663</v>
      </c>
    </row>
    <row r="248" spans="1:6">
      <c r="A248" s="45" t="s">
        <v>74</v>
      </c>
      <c r="B248" s="46" t="s">
        <v>280</v>
      </c>
      <c r="C248" s="130">
        <v>5599</v>
      </c>
      <c r="D248" s="39">
        <v>5599</v>
      </c>
      <c r="E248" s="39">
        <v>5599</v>
      </c>
      <c r="F248" s="66" t="s">
        <v>663</v>
      </c>
    </row>
    <row r="249" spans="1:6">
      <c r="A249" s="45" t="s">
        <v>74</v>
      </c>
      <c r="B249" s="46" t="s">
        <v>281</v>
      </c>
      <c r="C249" s="130">
        <v>7599</v>
      </c>
      <c r="D249" s="39">
        <v>7599</v>
      </c>
      <c r="E249" s="39">
        <v>7599</v>
      </c>
      <c r="F249" s="66" t="s">
        <v>663</v>
      </c>
    </row>
    <row r="250" spans="1:6">
      <c r="A250" s="45" t="s">
        <v>83</v>
      </c>
      <c r="B250" s="46" t="s">
        <v>282</v>
      </c>
      <c r="C250" s="130">
        <v>4799</v>
      </c>
      <c r="D250" s="39">
        <v>4799</v>
      </c>
      <c r="E250" s="39">
        <v>4799</v>
      </c>
      <c r="F250" s="66" t="s">
        <v>663</v>
      </c>
    </row>
    <row r="251" spans="1:6">
      <c r="A251" s="45" t="s">
        <v>283</v>
      </c>
      <c r="B251" s="46" t="s">
        <v>284</v>
      </c>
      <c r="C251" s="130">
        <v>2499</v>
      </c>
      <c r="D251" s="39">
        <v>2499</v>
      </c>
      <c r="E251" s="39">
        <v>2499</v>
      </c>
      <c r="F251" s="66" t="s">
        <v>663</v>
      </c>
    </row>
    <row r="252" spans="1:6">
      <c r="A252" s="45" t="s">
        <v>73</v>
      </c>
      <c r="B252" s="46" t="s">
        <v>285</v>
      </c>
      <c r="C252" s="130">
        <v>21499</v>
      </c>
      <c r="D252" s="39">
        <v>21499</v>
      </c>
      <c r="E252" s="39">
        <v>15999</v>
      </c>
      <c r="F252" s="66">
        <v>44336</v>
      </c>
    </row>
    <row r="253" spans="1:6">
      <c r="A253" s="45" t="s">
        <v>73</v>
      </c>
      <c r="B253" s="46" t="s">
        <v>286</v>
      </c>
      <c r="C253" s="130">
        <v>21499</v>
      </c>
      <c r="D253" s="39">
        <v>21499</v>
      </c>
      <c r="E253" s="39">
        <v>21499</v>
      </c>
      <c r="F253" s="66" t="s">
        <v>663</v>
      </c>
    </row>
    <row r="254" spans="1:6">
      <c r="A254" s="45" t="s">
        <v>73</v>
      </c>
      <c r="B254" s="46" t="s">
        <v>287</v>
      </c>
      <c r="C254" s="130">
        <v>23999</v>
      </c>
      <c r="D254" s="39">
        <v>23999</v>
      </c>
      <c r="E254" s="39">
        <v>23999</v>
      </c>
      <c r="F254" s="66" t="s">
        <v>663</v>
      </c>
    </row>
    <row r="255" spans="1:6">
      <c r="A255" s="45" t="s">
        <v>73</v>
      </c>
      <c r="B255" s="46" t="s">
        <v>288</v>
      </c>
      <c r="C255" s="130">
        <v>29999</v>
      </c>
      <c r="D255" s="39">
        <v>29999</v>
      </c>
      <c r="E255" s="39">
        <v>29999</v>
      </c>
      <c r="F255" s="66" t="s">
        <v>663</v>
      </c>
    </row>
    <row r="256" spans="1:6">
      <c r="A256" s="45" t="s">
        <v>73</v>
      </c>
      <c r="B256" s="46" t="s">
        <v>289</v>
      </c>
      <c r="C256" s="130">
        <v>5499</v>
      </c>
      <c r="D256" s="39">
        <v>5499</v>
      </c>
      <c r="E256" s="39">
        <v>5499</v>
      </c>
      <c r="F256" s="66" t="s">
        <v>663</v>
      </c>
    </row>
    <row r="257" spans="1:6">
      <c r="A257" s="45" t="s">
        <v>73</v>
      </c>
      <c r="B257" s="46" t="s">
        <v>290</v>
      </c>
      <c r="C257" s="130">
        <v>7999</v>
      </c>
      <c r="D257" s="39">
        <v>7999</v>
      </c>
      <c r="E257" s="39">
        <v>7999</v>
      </c>
      <c r="F257" s="66" t="s">
        <v>663</v>
      </c>
    </row>
    <row r="258" spans="1:6">
      <c r="A258" s="45" t="s">
        <v>283</v>
      </c>
      <c r="B258" s="46" t="s">
        <v>291</v>
      </c>
      <c r="C258" s="130">
        <v>3999</v>
      </c>
      <c r="D258" s="39">
        <v>3999</v>
      </c>
      <c r="E258" s="39">
        <v>3999</v>
      </c>
      <c r="F258" s="66" t="s">
        <v>663</v>
      </c>
    </row>
    <row r="259" spans="1:6">
      <c r="A259" s="45" t="s">
        <v>283</v>
      </c>
      <c r="B259" s="46" t="s">
        <v>292</v>
      </c>
      <c r="C259" s="130">
        <v>1599</v>
      </c>
      <c r="D259" s="39">
        <v>1599</v>
      </c>
      <c r="E259" s="39">
        <v>1599</v>
      </c>
      <c r="F259" s="66" t="s">
        <v>663</v>
      </c>
    </row>
    <row r="260" spans="1:6">
      <c r="A260" s="45" t="s">
        <v>283</v>
      </c>
      <c r="B260" s="46" t="s">
        <v>293</v>
      </c>
      <c r="C260" s="130">
        <v>1199</v>
      </c>
      <c r="D260" s="39">
        <v>1199</v>
      </c>
      <c r="E260" s="39">
        <v>1199</v>
      </c>
      <c r="F260" s="66" t="s">
        <v>663</v>
      </c>
    </row>
    <row r="261" spans="1:6">
      <c r="A261" s="45" t="s">
        <v>253</v>
      </c>
      <c r="B261" s="46" t="s">
        <v>294</v>
      </c>
      <c r="C261" s="130">
        <v>15949</v>
      </c>
      <c r="D261" s="39">
        <v>15949</v>
      </c>
      <c r="E261" s="39">
        <v>15949</v>
      </c>
      <c r="F261" s="66" t="s">
        <v>663</v>
      </c>
    </row>
    <row r="262" spans="1:6">
      <c r="A262" s="45" t="s">
        <v>253</v>
      </c>
      <c r="B262" s="46" t="s">
        <v>295</v>
      </c>
      <c r="C262" s="130">
        <v>7499</v>
      </c>
      <c r="D262" s="39">
        <v>7499</v>
      </c>
      <c r="E262" s="39">
        <v>6599</v>
      </c>
      <c r="F262" s="66">
        <v>44318</v>
      </c>
    </row>
    <row r="263" spans="1:6">
      <c r="A263" s="45" t="s">
        <v>253</v>
      </c>
      <c r="B263" s="46" t="s">
        <v>296</v>
      </c>
      <c r="C263" s="130">
        <v>22499</v>
      </c>
      <c r="D263" s="39">
        <v>22499</v>
      </c>
      <c r="E263" s="39">
        <v>22499</v>
      </c>
      <c r="F263" s="66" t="s">
        <v>663</v>
      </c>
    </row>
    <row r="264" spans="1:6">
      <c r="A264" s="45" t="s">
        <v>73</v>
      </c>
      <c r="B264" s="46" t="s">
        <v>297</v>
      </c>
      <c r="C264" s="130">
        <v>3499</v>
      </c>
      <c r="D264" s="39">
        <v>3499</v>
      </c>
      <c r="E264" s="39">
        <v>3499</v>
      </c>
      <c r="F264" s="66" t="s">
        <v>663</v>
      </c>
    </row>
    <row r="265" spans="1:6">
      <c r="A265" s="45" t="s">
        <v>73</v>
      </c>
      <c r="B265" s="46" t="s">
        <v>298</v>
      </c>
      <c r="C265" s="130">
        <v>4499</v>
      </c>
      <c r="D265" s="39">
        <v>4499</v>
      </c>
      <c r="E265" s="39">
        <v>4499</v>
      </c>
      <c r="F265" s="66" t="s">
        <v>663</v>
      </c>
    </row>
    <row r="266" spans="1:6">
      <c r="A266" s="45" t="s">
        <v>299</v>
      </c>
      <c r="B266" s="46" t="s">
        <v>300</v>
      </c>
      <c r="C266" s="130">
        <v>1999</v>
      </c>
      <c r="D266" s="39">
        <v>1999</v>
      </c>
      <c r="E266" s="39">
        <v>1999</v>
      </c>
      <c r="F266" s="66" t="s">
        <v>663</v>
      </c>
    </row>
    <row r="267" spans="1:6">
      <c r="A267" s="45" t="s">
        <v>74</v>
      </c>
      <c r="B267" s="46" t="s">
        <v>302</v>
      </c>
      <c r="C267" s="130">
        <v>9999</v>
      </c>
      <c r="D267" s="39">
        <v>9999</v>
      </c>
      <c r="E267" s="39">
        <v>9999</v>
      </c>
      <c r="F267" s="66" t="s">
        <v>663</v>
      </c>
    </row>
    <row r="268" spans="1:6">
      <c r="A268" s="45" t="s">
        <v>303</v>
      </c>
      <c r="B268" s="46" t="s">
        <v>304</v>
      </c>
      <c r="C268" s="130">
        <v>9999</v>
      </c>
      <c r="D268" s="39">
        <v>9999</v>
      </c>
      <c r="E268" s="39">
        <v>9999</v>
      </c>
      <c r="F268" s="66" t="s">
        <v>663</v>
      </c>
    </row>
    <row r="269" spans="1:6">
      <c r="A269" s="45" t="s">
        <v>74</v>
      </c>
      <c r="B269" s="46" t="s">
        <v>305</v>
      </c>
      <c r="C269" s="130">
        <v>3999</v>
      </c>
      <c r="D269" s="39">
        <v>3999</v>
      </c>
      <c r="E269" s="39">
        <v>3999</v>
      </c>
      <c r="F269" s="66" t="s">
        <v>663</v>
      </c>
    </row>
    <row r="270" spans="1:6">
      <c r="A270" s="45" t="s">
        <v>83</v>
      </c>
      <c r="B270" s="46" t="s">
        <v>306</v>
      </c>
      <c r="C270" s="130">
        <v>2199</v>
      </c>
      <c r="D270" s="39">
        <v>2199</v>
      </c>
      <c r="E270" s="39">
        <v>2199</v>
      </c>
      <c r="F270" s="66" t="s">
        <v>663</v>
      </c>
    </row>
    <row r="271" spans="1:6">
      <c r="A271" s="45" t="s">
        <v>73</v>
      </c>
      <c r="B271" s="46" t="s">
        <v>307</v>
      </c>
      <c r="C271" s="130">
        <v>16999</v>
      </c>
      <c r="D271" s="39">
        <v>16999</v>
      </c>
      <c r="E271" s="39">
        <v>16999</v>
      </c>
      <c r="F271" s="66" t="s">
        <v>663</v>
      </c>
    </row>
    <row r="272" spans="1:6">
      <c r="A272" s="45" t="s">
        <v>165</v>
      </c>
      <c r="B272" s="46" t="s">
        <v>308</v>
      </c>
      <c r="C272" s="130">
        <v>2999</v>
      </c>
      <c r="D272" s="39">
        <v>2999</v>
      </c>
      <c r="E272" s="39">
        <v>2999</v>
      </c>
      <c r="F272" s="66" t="s">
        <v>663</v>
      </c>
    </row>
    <row r="273" spans="1:7">
      <c r="A273" s="45" t="s">
        <v>165</v>
      </c>
      <c r="B273" s="46" t="s">
        <v>309</v>
      </c>
      <c r="C273" s="130">
        <v>3499</v>
      </c>
      <c r="D273" s="39">
        <v>3499</v>
      </c>
      <c r="E273" s="39">
        <v>3499</v>
      </c>
      <c r="F273" s="66" t="s">
        <v>663</v>
      </c>
    </row>
    <row r="274" spans="1:7">
      <c r="A274" s="45" t="s">
        <v>165</v>
      </c>
      <c r="B274" s="46" t="s">
        <v>310</v>
      </c>
      <c r="C274" s="130">
        <v>5999</v>
      </c>
      <c r="D274" s="39">
        <v>5999</v>
      </c>
      <c r="E274" s="39">
        <v>5999</v>
      </c>
      <c r="F274" s="66" t="s">
        <v>663</v>
      </c>
    </row>
    <row r="275" spans="1:7">
      <c r="A275" s="45" t="s">
        <v>303</v>
      </c>
      <c r="B275" s="46" t="s">
        <v>311</v>
      </c>
      <c r="C275" s="130">
        <v>7499</v>
      </c>
      <c r="D275" s="39">
        <v>7499</v>
      </c>
      <c r="E275" s="39">
        <v>7499</v>
      </c>
      <c r="F275" s="66" t="s">
        <v>663</v>
      </c>
    </row>
    <row r="276" spans="1:7">
      <c r="A276" s="45" t="s">
        <v>74</v>
      </c>
      <c r="B276" s="46" t="s">
        <v>312</v>
      </c>
      <c r="C276" s="130">
        <v>10999</v>
      </c>
      <c r="D276" s="39">
        <v>10999</v>
      </c>
      <c r="E276" s="39">
        <v>10999</v>
      </c>
      <c r="F276" s="66" t="s">
        <v>663</v>
      </c>
    </row>
    <row r="277" spans="1:7">
      <c r="A277" s="45" t="s">
        <v>73</v>
      </c>
      <c r="B277" s="46" t="s">
        <v>313</v>
      </c>
      <c r="C277" s="130">
        <v>22999</v>
      </c>
      <c r="D277" s="39">
        <v>22999</v>
      </c>
      <c r="E277" s="39">
        <v>22999</v>
      </c>
      <c r="F277" s="66" t="s">
        <v>663</v>
      </c>
    </row>
    <row r="278" spans="1:7">
      <c r="A278" s="45" t="s">
        <v>73</v>
      </c>
      <c r="B278" s="46" t="s">
        <v>314</v>
      </c>
      <c r="C278" s="130">
        <v>27999</v>
      </c>
      <c r="D278" s="39">
        <v>27999</v>
      </c>
      <c r="E278" s="39">
        <v>27999</v>
      </c>
      <c r="F278" s="66" t="s">
        <v>663</v>
      </c>
    </row>
    <row r="279" spans="1:7">
      <c r="A279" s="45" t="s">
        <v>74</v>
      </c>
      <c r="B279" s="46" t="s">
        <v>315</v>
      </c>
      <c r="C279" s="130">
        <v>3699</v>
      </c>
      <c r="D279" s="39">
        <v>3699</v>
      </c>
      <c r="E279" s="39">
        <v>3699</v>
      </c>
      <c r="F279" s="66" t="s">
        <v>663</v>
      </c>
    </row>
    <row r="280" spans="1:7">
      <c r="A280" s="45" t="s">
        <v>67</v>
      </c>
      <c r="B280" s="46" t="s">
        <v>316</v>
      </c>
      <c r="C280" s="39">
        <v>17499</v>
      </c>
      <c r="D280" s="39">
        <v>12999</v>
      </c>
      <c r="E280" s="39">
        <v>10999</v>
      </c>
      <c r="F280" s="66">
        <v>45572</v>
      </c>
      <c r="G280" s="66">
        <v>44400</v>
      </c>
    </row>
    <row r="281" spans="1:7">
      <c r="A281" s="45" t="s">
        <v>67</v>
      </c>
      <c r="B281" s="46" t="s">
        <v>317</v>
      </c>
      <c r="C281" s="130">
        <v>18499</v>
      </c>
      <c r="D281" s="39">
        <v>18499</v>
      </c>
      <c r="E281" s="39">
        <v>18499</v>
      </c>
      <c r="F281" s="66" t="s">
        <v>663</v>
      </c>
    </row>
    <row r="282" spans="1:7">
      <c r="A282" s="45" t="s">
        <v>67</v>
      </c>
      <c r="B282" s="46" t="s">
        <v>318</v>
      </c>
      <c r="C282" s="130">
        <v>20999</v>
      </c>
      <c r="D282" s="39">
        <v>20999</v>
      </c>
      <c r="E282" s="39">
        <v>20999</v>
      </c>
      <c r="F282" s="66" t="s">
        <v>663</v>
      </c>
    </row>
    <row r="283" spans="1:7">
      <c r="A283" s="45" t="s">
        <v>67</v>
      </c>
      <c r="B283" s="46" t="s">
        <v>319</v>
      </c>
      <c r="C283" s="130">
        <v>27360</v>
      </c>
      <c r="D283" s="39">
        <v>27360</v>
      </c>
      <c r="E283" s="39">
        <v>27360</v>
      </c>
      <c r="F283" s="66" t="s">
        <v>663</v>
      </c>
    </row>
    <row r="284" spans="1:7">
      <c r="A284" s="45" t="s">
        <v>67</v>
      </c>
      <c r="B284" s="46" t="s">
        <v>320</v>
      </c>
      <c r="C284" s="130">
        <v>28499</v>
      </c>
      <c r="D284" s="39">
        <v>28499</v>
      </c>
      <c r="E284" s="39">
        <v>28499</v>
      </c>
      <c r="F284" s="66" t="s">
        <v>663</v>
      </c>
    </row>
    <row r="285" spans="1:7">
      <c r="A285" s="45" t="s">
        <v>67</v>
      </c>
      <c r="B285" s="46" t="s">
        <v>321</v>
      </c>
      <c r="C285" s="130">
        <v>33499</v>
      </c>
      <c r="D285" s="39">
        <v>33499</v>
      </c>
      <c r="E285" s="39">
        <v>33499</v>
      </c>
      <c r="F285" s="66" t="s">
        <v>663</v>
      </c>
    </row>
    <row r="286" spans="1:7">
      <c r="A286" s="45" t="s">
        <v>67</v>
      </c>
      <c r="B286" s="46" t="s">
        <v>322</v>
      </c>
      <c r="C286" s="130">
        <v>27499</v>
      </c>
      <c r="D286" s="39">
        <v>27499</v>
      </c>
      <c r="E286" s="39">
        <v>27499</v>
      </c>
      <c r="F286" s="66" t="s">
        <v>663</v>
      </c>
    </row>
    <row r="287" spans="1:7">
      <c r="A287" s="45" t="s">
        <v>67</v>
      </c>
      <c r="B287" s="46" t="s">
        <v>323</v>
      </c>
      <c r="C287" s="130">
        <v>30999</v>
      </c>
      <c r="D287" s="39">
        <v>30999</v>
      </c>
      <c r="E287" s="39">
        <v>30999</v>
      </c>
      <c r="F287" s="66" t="s">
        <v>663</v>
      </c>
    </row>
    <row r="288" spans="1:7">
      <c r="A288" s="45" t="s">
        <v>67</v>
      </c>
      <c r="B288" s="46" t="s">
        <v>324</v>
      </c>
      <c r="C288" s="130">
        <v>35999</v>
      </c>
      <c r="D288" s="39">
        <v>35999</v>
      </c>
      <c r="E288" s="39">
        <v>35999</v>
      </c>
      <c r="F288" s="66" t="s">
        <v>663</v>
      </c>
    </row>
    <row r="289" spans="1:6">
      <c r="A289" s="45" t="s">
        <v>73</v>
      </c>
      <c r="B289" s="46" t="s">
        <v>325</v>
      </c>
      <c r="C289" s="130">
        <v>4139</v>
      </c>
      <c r="D289" s="39">
        <v>4139</v>
      </c>
      <c r="E289" s="39">
        <v>4139</v>
      </c>
      <c r="F289" s="66" t="s">
        <v>663</v>
      </c>
    </row>
    <row r="290" spans="1:6">
      <c r="A290" s="45" t="s">
        <v>73</v>
      </c>
      <c r="B290" s="46" t="s">
        <v>326</v>
      </c>
      <c r="C290" s="130">
        <v>6799</v>
      </c>
      <c r="D290" s="39">
        <v>6799</v>
      </c>
      <c r="E290" s="39">
        <v>6799</v>
      </c>
      <c r="F290" s="66" t="s">
        <v>663</v>
      </c>
    </row>
    <row r="291" spans="1:6">
      <c r="A291" s="45" t="s">
        <v>83</v>
      </c>
      <c r="B291" s="46" t="s">
        <v>328</v>
      </c>
      <c r="C291" s="130">
        <v>9999</v>
      </c>
      <c r="D291" s="39">
        <v>9999</v>
      </c>
      <c r="E291" s="39">
        <v>9999</v>
      </c>
      <c r="F291" s="66" t="s">
        <v>663</v>
      </c>
    </row>
    <row r="292" spans="1:6">
      <c r="A292" s="45" t="s">
        <v>74</v>
      </c>
      <c r="B292" s="46" t="s">
        <v>327</v>
      </c>
      <c r="C292" s="130">
        <v>4499</v>
      </c>
      <c r="D292" s="39">
        <v>4499</v>
      </c>
      <c r="E292" s="39">
        <v>4499</v>
      </c>
      <c r="F292" s="66" t="s">
        <v>663</v>
      </c>
    </row>
    <row r="293" spans="1:6">
      <c r="A293" s="45" t="s">
        <v>93</v>
      </c>
      <c r="B293" s="46" t="s">
        <v>352</v>
      </c>
      <c r="C293" s="130">
        <v>2799</v>
      </c>
      <c r="D293" s="39">
        <v>2799</v>
      </c>
      <c r="E293" s="39">
        <v>2799</v>
      </c>
      <c r="F293" s="66" t="s">
        <v>663</v>
      </c>
    </row>
    <row r="294" spans="1:6">
      <c r="A294" s="45" t="s">
        <v>73</v>
      </c>
      <c r="B294" s="46" t="s">
        <v>329</v>
      </c>
      <c r="C294" s="130">
        <v>5299</v>
      </c>
      <c r="D294" s="39">
        <v>5299</v>
      </c>
      <c r="E294" s="39">
        <v>5299</v>
      </c>
      <c r="F294" s="66" t="s">
        <v>663</v>
      </c>
    </row>
    <row r="295" spans="1:6">
      <c r="A295" s="45" t="s">
        <v>74</v>
      </c>
      <c r="B295" s="46" t="s">
        <v>330</v>
      </c>
      <c r="C295" s="130">
        <v>6499</v>
      </c>
      <c r="D295" s="39">
        <v>6499</v>
      </c>
      <c r="E295" s="39">
        <v>6499</v>
      </c>
      <c r="F295" s="66" t="s">
        <v>663</v>
      </c>
    </row>
    <row r="296" spans="1:6">
      <c r="A296" s="45" t="s">
        <v>331</v>
      </c>
      <c r="B296" s="46" t="s">
        <v>551</v>
      </c>
      <c r="C296" s="130">
        <v>2999</v>
      </c>
      <c r="D296" s="39">
        <v>2999</v>
      </c>
      <c r="E296" s="39">
        <v>2999</v>
      </c>
      <c r="F296" s="66" t="s">
        <v>663</v>
      </c>
    </row>
    <row r="297" spans="1:6">
      <c r="A297" s="45" t="s">
        <v>91</v>
      </c>
      <c r="B297" s="46" t="s">
        <v>332</v>
      </c>
      <c r="C297" s="130">
        <v>3299</v>
      </c>
      <c r="D297" s="39">
        <v>3299</v>
      </c>
      <c r="E297" s="39">
        <v>3299</v>
      </c>
      <c r="F297" s="66" t="s">
        <v>663</v>
      </c>
    </row>
    <row r="298" spans="1:6">
      <c r="A298" s="45" t="s">
        <v>74</v>
      </c>
      <c r="B298" s="46" t="s">
        <v>333</v>
      </c>
      <c r="C298" s="130">
        <v>2699</v>
      </c>
      <c r="D298" s="39">
        <v>2699</v>
      </c>
      <c r="E298" s="39">
        <v>2699</v>
      </c>
      <c r="F298" s="66" t="s">
        <v>663</v>
      </c>
    </row>
    <row r="299" spans="1:6">
      <c r="A299" s="45" t="s">
        <v>74</v>
      </c>
      <c r="B299" s="46" t="s">
        <v>334</v>
      </c>
      <c r="C299" s="130">
        <v>8999</v>
      </c>
      <c r="D299" s="39">
        <v>8999</v>
      </c>
      <c r="E299" s="39">
        <v>8999</v>
      </c>
      <c r="F299" s="66" t="s">
        <v>663</v>
      </c>
    </row>
    <row r="300" spans="1:6">
      <c r="A300" s="45" t="s">
        <v>83</v>
      </c>
      <c r="B300" s="46" t="s">
        <v>335</v>
      </c>
      <c r="C300" s="130">
        <v>6999</v>
      </c>
      <c r="D300" s="39">
        <v>6999</v>
      </c>
      <c r="E300" s="39">
        <v>6999</v>
      </c>
      <c r="F300" s="66" t="s">
        <v>663</v>
      </c>
    </row>
    <row r="301" spans="1:6">
      <c r="A301" s="45" t="s">
        <v>336</v>
      </c>
      <c r="B301" s="46" t="s">
        <v>337</v>
      </c>
      <c r="C301" s="130">
        <v>8299</v>
      </c>
      <c r="D301" s="39">
        <v>8299</v>
      </c>
      <c r="E301" s="39">
        <v>8299</v>
      </c>
      <c r="F301" s="66" t="s">
        <v>663</v>
      </c>
    </row>
    <row r="302" spans="1:6">
      <c r="A302" s="45" t="s">
        <v>338</v>
      </c>
      <c r="B302" s="46" t="s">
        <v>339</v>
      </c>
      <c r="C302" s="130">
        <v>5499</v>
      </c>
      <c r="D302" s="39">
        <v>5499</v>
      </c>
      <c r="E302" s="39">
        <v>5499</v>
      </c>
      <c r="F302" s="66" t="s">
        <v>663</v>
      </c>
    </row>
    <row r="303" spans="1:6">
      <c r="A303" s="45" t="s">
        <v>336</v>
      </c>
      <c r="B303" s="46" t="s">
        <v>340</v>
      </c>
      <c r="C303" s="130">
        <v>13999</v>
      </c>
      <c r="D303" s="39">
        <v>13999</v>
      </c>
      <c r="E303" s="39">
        <v>13999</v>
      </c>
      <c r="F303" s="66" t="s">
        <v>663</v>
      </c>
    </row>
    <row r="304" spans="1:6">
      <c r="A304" s="45" t="s">
        <v>341</v>
      </c>
      <c r="B304" s="46" t="s">
        <v>342</v>
      </c>
      <c r="C304" s="130">
        <v>10999</v>
      </c>
      <c r="D304" s="39">
        <v>10999</v>
      </c>
      <c r="E304" s="39">
        <v>10999</v>
      </c>
      <c r="F304" s="66" t="s">
        <v>663</v>
      </c>
    </row>
    <row r="305" spans="1:6">
      <c r="A305" s="45" t="s">
        <v>336</v>
      </c>
      <c r="B305" s="46" t="s">
        <v>343</v>
      </c>
      <c r="C305" s="130">
        <v>2999</v>
      </c>
      <c r="D305" s="39">
        <v>2999</v>
      </c>
      <c r="E305" s="39">
        <v>2999</v>
      </c>
      <c r="F305" s="66" t="s">
        <v>663</v>
      </c>
    </row>
    <row r="306" spans="1:6">
      <c r="A306" s="45" t="s">
        <v>347</v>
      </c>
      <c r="B306" s="46" t="s">
        <v>345</v>
      </c>
      <c r="C306" s="130">
        <v>3699</v>
      </c>
      <c r="D306" s="39">
        <v>3699</v>
      </c>
      <c r="E306" s="39">
        <v>3499</v>
      </c>
      <c r="F306" s="66">
        <v>44318</v>
      </c>
    </row>
    <row r="307" spans="1:6">
      <c r="A307" s="45" t="s">
        <v>336</v>
      </c>
      <c r="B307" s="46" t="s">
        <v>348</v>
      </c>
      <c r="C307" s="130">
        <v>19999</v>
      </c>
      <c r="D307" s="39">
        <v>19999</v>
      </c>
      <c r="E307" s="39">
        <v>19999</v>
      </c>
      <c r="F307" s="66" t="s">
        <v>663</v>
      </c>
    </row>
    <row r="308" spans="1:6">
      <c r="A308" s="45" t="s">
        <v>341</v>
      </c>
      <c r="B308" s="46" t="s">
        <v>349</v>
      </c>
      <c r="C308" s="130">
        <v>24999</v>
      </c>
      <c r="D308" s="39">
        <v>24999</v>
      </c>
      <c r="E308" s="39">
        <v>24999</v>
      </c>
      <c r="F308" s="66" t="s">
        <v>663</v>
      </c>
    </row>
    <row r="309" spans="1:6">
      <c r="A309" s="45" t="s">
        <v>338</v>
      </c>
      <c r="B309" s="46" t="s">
        <v>350</v>
      </c>
      <c r="C309" s="130">
        <v>22999</v>
      </c>
      <c r="D309" s="39">
        <v>22999</v>
      </c>
      <c r="E309" s="39">
        <v>22999</v>
      </c>
      <c r="F309" s="66" t="s">
        <v>663</v>
      </c>
    </row>
    <row r="310" spans="1:6">
      <c r="A310" s="45" t="s">
        <v>93</v>
      </c>
      <c r="B310" s="46" t="s">
        <v>351</v>
      </c>
      <c r="C310" s="130">
        <v>1799</v>
      </c>
      <c r="D310" s="39">
        <v>1799</v>
      </c>
      <c r="E310" s="39">
        <v>1799</v>
      </c>
      <c r="F310" s="66" t="s">
        <v>663</v>
      </c>
    </row>
    <row r="311" spans="1:6">
      <c r="A311" s="45" t="s">
        <v>338</v>
      </c>
      <c r="B311" s="46" t="s">
        <v>353</v>
      </c>
      <c r="C311" s="130">
        <v>7999</v>
      </c>
      <c r="D311" s="39">
        <v>7999</v>
      </c>
      <c r="E311" s="39">
        <v>7999</v>
      </c>
      <c r="F311" s="66" t="s">
        <v>663</v>
      </c>
    </row>
    <row r="312" spans="1:6">
      <c r="A312" s="45" t="s">
        <v>338</v>
      </c>
      <c r="B312" s="46" t="s">
        <v>354</v>
      </c>
      <c r="C312" s="130">
        <v>3789</v>
      </c>
      <c r="D312" s="39">
        <v>3789</v>
      </c>
      <c r="E312" s="39">
        <v>3789</v>
      </c>
      <c r="F312" s="66" t="s">
        <v>663</v>
      </c>
    </row>
    <row r="313" spans="1:6">
      <c r="A313" s="45" t="s">
        <v>355</v>
      </c>
      <c r="B313" s="46" t="s">
        <v>356</v>
      </c>
      <c r="C313" s="130">
        <v>1959</v>
      </c>
      <c r="D313" s="39">
        <v>1959</v>
      </c>
      <c r="E313" s="39">
        <v>1959</v>
      </c>
      <c r="F313" s="66" t="s">
        <v>663</v>
      </c>
    </row>
    <row r="314" spans="1:6">
      <c r="A314" s="45" t="s">
        <v>336</v>
      </c>
      <c r="B314" s="46" t="s">
        <v>357</v>
      </c>
      <c r="C314" s="130">
        <v>29999</v>
      </c>
      <c r="D314" s="39">
        <v>29999</v>
      </c>
      <c r="E314" s="39">
        <v>29999</v>
      </c>
      <c r="F314" s="66" t="s">
        <v>663</v>
      </c>
    </row>
    <row r="315" spans="1:6">
      <c r="A315" s="45" t="s">
        <v>358</v>
      </c>
      <c r="B315" s="46" t="s">
        <v>359</v>
      </c>
      <c r="C315" s="130">
        <v>10999</v>
      </c>
      <c r="D315" s="39">
        <v>10999</v>
      </c>
      <c r="E315" s="39">
        <v>10999</v>
      </c>
      <c r="F315" s="66" t="s">
        <v>663</v>
      </c>
    </row>
    <row r="316" spans="1:6">
      <c r="A316" s="45" t="s">
        <v>358</v>
      </c>
      <c r="B316" s="46" t="s">
        <v>360</v>
      </c>
      <c r="C316" s="130">
        <v>11999</v>
      </c>
      <c r="D316" s="39">
        <v>11999</v>
      </c>
      <c r="E316" s="39">
        <v>11999</v>
      </c>
      <c r="F316" s="66" t="s">
        <v>663</v>
      </c>
    </row>
    <row r="317" spans="1:6">
      <c r="A317" s="45" t="s">
        <v>358</v>
      </c>
      <c r="B317" s="46" t="s">
        <v>361</v>
      </c>
      <c r="C317" s="130">
        <v>14499</v>
      </c>
      <c r="D317" s="39">
        <v>14499</v>
      </c>
      <c r="E317" s="39">
        <v>14499</v>
      </c>
      <c r="F317" s="66" t="s">
        <v>663</v>
      </c>
    </row>
    <row r="318" spans="1:6">
      <c r="A318" s="45" t="s">
        <v>338</v>
      </c>
      <c r="B318" s="46" t="s">
        <v>362</v>
      </c>
      <c r="C318" s="130">
        <v>24999</v>
      </c>
      <c r="D318" s="39">
        <v>24999</v>
      </c>
      <c r="E318" s="39">
        <v>24999</v>
      </c>
      <c r="F318" s="66" t="s">
        <v>663</v>
      </c>
    </row>
    <row r="319" spans="1:6">
      <c r="A319" s="45" t="s">
        <v>363</v>
      </c>
      <c r="B319" s="46" t="s">
        <v>364</v>
      </c>
      <c r="C319" s="130">
        <v>3299</v>
      </c>
      <c r="D319" s="39">
        <v>3299</v>
      </c>
      <c r="E319" s="39">
        <v>3299</v>
      </c>
      <c r="F319" s="66" t="s">
        <v>663</v>
      </c>
    </row>
    <row r="320" spans="1:6">
      <c r="A320" s="45" t="s">
        <v>355</v>
      </c>
      <c r="B320" s="46" t="s">
        <v>365</v>
      </c>
      <c r="C320" s="130">
        <v>1499</v>
      </c>
      <c r="D320" s="39">
        <v>1499</v>
      </c>
      <c r="E320" s="39">
        <v>1499</v>
      </c>
      <c r="F320" s="66" t="s">
        <v>663</v>
      </c>
    </row>
    <row r="321" spans="1:6">
      <c r="A321" s="45" t="s">
        <v>93</v>
      </c>
      <c r="B321" s="46" t="s">
        <v>366</v>
      </c>
      <c r="C321" s="130">
        <v>4999</v>
      </c>
      <c r="D321" s="39">
        <v>4999</v>
      </c>
      <c r="E321" s="39">
        <v>4999</v>
      </c>
      <c r="F321" s="66" t="s">
        <v>663</v>
      </c>
    </row>
    <row r="322" spans="1:6">
      <c r="A322" s="45" t="s">
        <v>338</v>
      </c>
      <c r="B322" s="46" t="s">
        <v>367</v>
      </c>
      <c r="C322" s="130">
        <v>7499</v>
      </c>
      <c r="D322" s="39">
        <v>7499</v>
      </c>
      <c r="E322" s="39">
        <v>7499</v>
      </c>
      <c r="F322" s="66" t="s">
        <v>663</v>
      </c>
    </row>
    <row r="323" spans="1:6">
      <c r="A323" s="45" t="s">
        <v>363</v>
      </c>
      <c r="B323" s="46" t="s">
        <v>368</v>
      </c>
      <c r="C323" s="130">
        <v>5499</v>
      </c>
      <c r="D323" s="39">
        <v>5499</v>
      </c>
      <c r="E323" s="39">
        <v>5499</v>
      </c>
      <c r="F323" s="66" t="s">
        <v>663</v>
      </c>
    </row>
    <row r="324" spans="1:6">
      <c r="A324" s="45" t="s">
        <v>363</v>
      </c>
      <c r="B324" s="46" t="s">
        <v>369</v>
      </c>
      <c r="C324" s="130">
        <v>3999</v>
      </c>
      <c r="D324" s="39">
        <v>3999</v>
      </c>
      <c r="E324" s="39">
        <v>3999</v>
      </c>
      <c r="F324" s="66" t="s">
        <v>663</v>
      </c>
    </row>
    <row r="325" spans="1:6">
      <c r="A325" s="45" t="s">
        <v>338</v>
      </c>
      <c r="B325" s="46" t="s">
        <v>371</v>
      </c>
      <c r="C325" s="130">
        <v>5799</v>
      </c>
      <c r="D325" s="39">
        <v>5799</v>
      </c>
      <c r="E325" s="39">
        <v>5799</v>
      </c>
      <c r="F325" s="66" t="s">
        <v>663</v>
      </c>
    </row>
    <row r="326" spans="1:6">
      <c r="A326" s="45" t="s">
        <v>338</v>
      </c>
      <c r="B326" s="46" t="s">
        <v>372</v>
      </c>
      <c r="C326" s="130">
        <v>17989</v>
      </c>
      <c r="D326" s="39">
        <v>17989</v>
      </c>
      <c r="E326" s="39">
        <v>17989</v>
      </c>
      <c r="F326" s="66" t="s">
        <v>663</v>
      </c>
    </row>
    <row r="327" spans="1:6">
      <c r="A327" s="45" t="s">
        <v>338</v>
      </c>
      <c r="B327" s="46" t="s">
        <v>370</v>
      </c>
      <c r="C327" s="130">
        <v>5499</v>
      </c>
      <c r="D327" s="39">
        <v>5499</v>
      </c>
      <c r="E327" s="39">
        <v>5499</v>
      </c>
      <c r="F327" s="66" t="s">
        <v>663</v>
      </c>
    </row>
    <row r="328" spans="1:6">
      <c r="A328" s="45" t="s">
        <v>363</v>
      </c>
      <c r="B328" s="46" t="s">
        <v>373</v>
      </c>
      <c r="C328" s="130">
        <v>15999</v>
      </c>
      <c r="D328" s="39">
        <v>15999</v>
      </c>
      <c r="E328" s="39">
        <v>15999</v>
      </c>
      <c r="F328" s="66" t="s">
        <v>663</v>
      </c>
    </row>
    <row r="329" spans="1:6">
      <c r="A329" s="45" t="s">
        <v>336</v>
      </c>
      <c r="B329" s="46" t="s">
        <v>374</v>
      </c>
      <c r="C329" s="130">
        <v>32999</v>
      </c>
      <c r="D329" s="39">
        <v>32999</v>
      </c>
      <c r="E329" s="39">
        <v>32999</v>
      </c>
      <c r="F329" s="66" t="s">
        <v>663</v>
      </c>
    </row>
    <row r="330" spans="1:6">
      <c r="A330" s="45" t="s">
        <v>336</v>
      </c>
      <c r="B330" s="46" t="s">
        <v>377</v>
      </c>
      <c r="C330" s="130">
        <v>6499</v>
      </c>
      <c r="D330" s="39">
        <v>6499</v>
      </c>
      <c r="E330" s="39">
        <v>6499</v>
      </c>
      <c r="F330" s="66" t="s">
        <v>663</v>
      </c>
    </row>
    <row r="331" spans="1:6">
      <c r="A331" s="45" t="s">
        <v>336</v>
      </c>
      <c r="B331" s="46" t="s">
        <v>375</v>
      </c>
      <c r="C331" s="130">
        <v>5499</v>
      </c>
      <c r="D331" s="39">
        <v>5499</v>
      </c>
      <c r="E331" s="39">
        <v>5499</v>
      </c>
      <c r="F331" s="66" t="s">
        <v>663</v>
      </c>
    </row>
    <row r="332" spans="1:6">
      <c r="A332" s="45" t="s">
        <v>336</v>
      </c>
      <c r="B332" s="46" t="s">
        <v>376</v>
      </c>
      <c r="C332" s="130">
        <v>7999</v>
      </c>
      <c r="D332" s="39">
        <v>7999</v>
      </c>
      <c r="E332" s="39">
        <v>7999</v>
      </c>
      <c r="F332" s="66" t="s">
        <v>663</v>
      </c>
    </row>
    <row r="333" spans="1:6">
      <c r="A333" s="45" t="s">
        <v>271</v>
      </c>
      <c r="B333" s="46" t="s">
        <v>378</v>
      </c>
      <c r="C333" s="130">
        <v>4899</v>
      </c>
      <c r="D333" s="39">
        <v>4899</v>
      </c>
      <c r="E333" s="39">
        <v>4899</v>
      </c>
      <c r="F333" s="66" t="s">
        <v>663</v>
      </c>
    </row>
    <row r="334" spans="1:6">
      <c r="A334" s="45" t="s">
        <v>379</v>
      </c>
      <c r="B334" s="46" t="s">
        <v>380</v>
      </c>
      <c r="C334" s="130">
        <v>2899</v>
      </c>
      <c r="D334" s="39">
        <v>2899</v>
      </c>
      <c r="E334" s="39">
        <v>2899</v>
      </c>
      <c r="F334" s="66" t="s">
        <v>663</v>
      </c>
    </row>
    <row r="335" spans="1:6">
      <c r="A335" s="45" t="s">
        <v>338</v>
      </c>
      <c r="B335" s="46" t="s">
        <v>381</v>
      </c>
      <c r="C335" s="130">
        <v>4499</v>
      </c>
      <c r="D335" s="39">
        <v>4499</v>
      </c>
      <c r="E335" s="39">
        <v>4499</v>
      </c>
      <c r="F335" s="66" t="s">
        <v>663</v>
      </c>
    </row>
    <row r="336" spans="1:6">
      <c r="A336" s="45" t="s">
        <v>363</v>
      </c>
      <c r="B336" s="46" t="s">
        <v>382</v>
      </c>
      <c r="C336" s="130">
        <v>6999</v>
      </c>
      <c r="D336" s="39">
        <v>6999</v>
      </c>
      <c r="E336" s="39">
        <v>6999</v>
      </c>
      <c r="F336" s="66" t="s">
        <v>663</v>
      </c>
    </row>
    <row r="337" spans="1:6">
      <c r="A337" s="45" t="s">
        <v>93</v>
      </c>
      <c r="B337" s="46" t="s">
        <v>383</v>
      </c>
      <c r="C337" s="130">
        <v>3699</v>
      </c>
      <c r="D337" s="39">
        <v>3699</v>
      </c>
      <c r="E337" s="39">
        <v>3699</v>
      </c>
      <c r="F337" s="66" t="s">
        <v>663</v>
      </c>
    </row>
    <row r="338" spans="1:6">
      <c r="A338" s="45" t="s">
        <v>93</v>
      </c>
      <c r="B338" s="46" t="s">
        <v>384</v>
      </c>
      <c r="C338" s="130">
        <v>2199</v>
      </c>
      <c r="D338" s="39">
        <v>2199</v>
      </c>
      <c r="E338" s="39">
        <v>2199</v>
      </c>
      <c r="F338" s="66" t="s">
        <v>663</v>
      </c>
    </row>
    <row r="339" spans="1:6">
      <c r="A339" s="45" t="s">
        <v>93</v>
      </c>
      <c r="B339" s="46" t="s">
        <v>387</v>
      </c>
      <c r="C339" s="130">
        <v>8999</v>
      </c>
      <c r="D339" s="39">
        <v>8999</v>
      </c>
      <c r="E339" s="39">
        <v>8999</v>
      </c>
      <c r="F339" s="66" t="s">
        <v>663</v>
      </c>
    </row>
    <row r="340" spans="1:6">
      <c r="A340" s="45" t="s">
        <v>347</v>
      </c>
      <c r="B340" s="46" t="s">
        <v>388</v>
      </c>
      <c r="C340" s="130">
        <v>5999</v>
      </c>
      <c r="D340" s="39">
        <v>5999</v>
      </c>
      <c r="E340" s="39">
        <v>5999</v>
      </c>
      <c r="F340" s="66" t="s">
        <v>663</v>
      </c>
    </row>
    <row r="341" spans="1:6">
      <c r="A341" s="45" t="s">
        <v>336</v>
      </c>
      <c r="B341" s="46" t="s">
        <v>389</v>
      </c>
      <c r="C341" s="130">
        <v>26999</v>
      </c>
      <c r="D341" s="39">
        <v>26999</v>
      </c>
      <c r="E341" s="39">
        <v>26999</v>
      </c>
      <c r="F341" s="66" t="s">
        <v>663</v>
      </c>
    </row>
    <row r="342" spans="1:6">
      <c r="A342" s="45" t="s">
        <v>336</v>
      </c>
      <c r="B342" s="46" t="s">
        <v>390</v>
      </c>
      <c r="C342" s="130">
        <v>33999</v>
      </c>
      <c r="D342" s="39">
        <v>33999</v>
      </c>
      <c r="E342" s="39">
        <v>33999</v>
      </c>
      <c r="F342" s="66" t="s">
        <v>663</v>
      </c>
    </row>
    <row r="343" spans="1:6">
      <c r="A343" s="45" t="s">
        <v>336</v>
      </c>
      <c r="B343" s="46" t="s">
        <v>391</v>
      </c>
      <c r="C343" s="130">
        <v>7499</v>
      </c>
      <c r="D343" s="39">
        <v>7499</v>
      </c>
      <c r="E343" s="39">
        <v>7499</v>
      </c>
      <c r="F343" s="66" t="s">
        <v>663</v>
      </c>
    </row>
    <row r="344" spans="1:6">
      <c r="A344" s="45" t="s">
        <v>336</v>
      </c>
      <c r="B344" s="46" t="s">
        <v>392</v>
      </c>
      <c r="C344" s="130">
        <v>4799</v>
      </c>
      <c r="D344" s="39">
        <v>4799</v>
      </c>
      <c r="E344" s="39">
        <v>4799</v>
      </c>
      <c r="F344" s="66" t="s">
        <v>663</v>
      </c>
    </row>
    <row r="345" spans="1:6">
      <c r="A345" s="45" t="s">
        <v>393</v>
      </c>
      <c r="B345" s="46" t="s">
        <v>394</v>
      </c>
      <c r="C345" s="130">
        <v>6999</v>
      </c>
      <c r="D345" s="39">
        <v>6999</v>
      </c>
      <c r="E345" s="39">
        <v>6999</v>
      </c>
      <c r="F345" s="66" t="s">
        <v>663</v>
      </c>
    </row>
    <row r="346" spans="1:6">
      <c r="A346" s="45" t="s">
        <v>393</v>
      </c>
      <c r="B346" s="46" t="s">
        <v>395</v>
      </c>
      <c r="C346" s="130">
        <v>3999</v>
      </c>
      <c r="D346" s="39">
        <v>3999</v>
      </c>
      <c r="E346" s="39">
        <v>3999</v>
      </c>
      <c r="F346" s="66" t="s">
        <v>663</v>
      </c>
    </row>
    <row r="347" spans="1:6">
      <c r="A347" s="45" t="s">
        <v>363</v>
      </c>
      <c r="B347" s="46" t="s">
        <v>397</v>
      </c>
      <c r="C347" s="130">
        <v>5299</v>
      </c>
      <c r="D347" s="39">
        <v>5299</v>
      </c>
      <c r="E347" s="39">
        <v>5299</v>
      </c>
      <c r="F347" s="66" t="s">
        <v>663</v>
      </c>
    </row>
    <row r="348" spans="1:6">
      <c r="A348" s="45" t="s">
        <v>363</v>
      </c>
      <c r="B348" s="46" t="s">
        <v>398</v>
      </c>
      <c r="C348" s="130">
        <v>7299</v>
      </c>
      <c r="D348" s="39">
        <v>7299</v>
      </c>
      <c r="E348" s="39">
        <v>7299</v>
      </c>
      <c r="F348" s="66" t="s">
        <v>663</v>
      </c>
    </row>
    <row r="349" spans="1:6">
      <c r="A349" s="45" t="s">
        <v>338</v>
      </c>
      <c r="B349" s="46" t="s">
        <v>399</v>
      </c>
      <c r="C349" s="130">
        <v>8199</v>
      </c>
      <c r="D349" s="39">
        <v>8199</v>
      </c>
      <c r="E349" s="39">
        <v>7499</v>
      </c>
      <c r="F349" s="66">
        <v>44371</v>
      </c>
    </row>
    <row r="350" spans="1:6">
      <c r="A350" s="45" t="s">
        <v>385</v>
      </c>
      <c r="B350" s="46" t="s">
        <v>400</v>
      </c>
      <c r="C350" s="130">
        <v>5299</v>
      </c>
      <c r="D350" s="39">
        <v>5299</v>
      </c>
      <c r="E350" s="39">
        <v>5299</v>
      </c>
      <c r="F350" s="66" t="s">
        <v>663</v>
      </c>
    </row>
    <row r="351" spans="1:6">
      <c r="A351" s="45" t="s">
        <v>67</v>
      </c>
      <c r="B351" s="46" t="s">
        <v>402</v>
      </c>
      <c r="C351" s="130">
        <v>22499</v>
      </c>
      <c r="D351" s="39">
        <v>22499</v>
      </c>
      <c r="E351" s="39">
        <v>22499</v>
      </c>
      <c r="F351" s="66" t="s">
        <v>663</v>
      </c>
    </row>
    <row r="352" spans="1:6">
      <c r="A352" s="45" t="s">
        <v>67</v>
      </c>
      <c r="B352" s="46" t="s">
        <v>403</v>
      </c>
      <c r="C352" s="130">
        <v>23999</v>
      </c>
      <c r="D352" s="39">
        <v>23999</v>
      </c>
      <c r="E352" s="39">
        <v>23999</v>
      </c>
      <c r="F352" s="66" t="s">
        <v>663</v>
      </c>
    </row>
    <row r="353" spans="1:6">
      <c r="A353" s="45" t="s">
        <v>67</v>
      </c>
      <c r="B353" s="46" t="s">
        <v>404</v>
      </c>
      <c r="C353" s="130">
        <v>26999</v>
      </c>
      <c r="D353" s="39">
        <v>26999</v>
      </c>
      <c r="E353" s="39">
        <v>26999</v>
      </c>
      <c r="F353" s="66" t="s">
        <v>663</v>
      </c>
    </row>
    <row r="354" spans="1:6">
      <c r="A354" s="45" t="s">
        <v>67</v>
      </c>
      <c r="B354" s="46" t="s">
        <v>405</v>
      </c>
      <c r="C354" s="130">
        <v>27499</v>
      </c>
      <c r="D354" s="39">
        <v>27499</v>
      </c>
      <c r="E354" s="39">
        <v>27499</v>
      </c>
      <c r="F354" s="66" t="s">
        <v>663</v>
      </c>
    </row>
    <row r="355" spans="1:6">
      <c r="A355" s="45" t="s">
        <v>67</v>
      </c>
      <c r="B355" s="46" t="s">
        <v>406</v>
      </c>
      <c r="C355" s="130">
        <v>30499</v>
      </c>
      <c r="D355" s="39">
        <v>30499</v>
      </c>
      <c r="E355" s="39">
        <v>30499</v>
      </c>
      <c r="F355" s="66" t="s">
        <v>663</v>
      </c>
    </row>
    <row r="356" spans="1:6">
      <c r="A356" s="45" t="s">
        <v>67</v>
      </c>
      <c r="B356" s="46" t="s">
        <v>407</v>
      </c>
      <c r="C356" s="130">
        <v>35499</v>
      </c>
      <c r="D356" s="39">
        <v>35499</v>
      </c>
      <c r="E356" s="39">
        <v>35499</v>
      </c>
      <c r="F356" s="66" t="s">
        <v>663</v>
      </c>
    </row>
    <row r="357" spans="1:6">
      <c r="A357" s="45" t="s">
        <v>401</v>
      </c>
      <c r="B357" s="46" t="s">
        <v>408</v>
      </c>
      <c r="C357" s="130">
        <v>2919</v>
      </c>
      <c r="D357" s="39">
        <v>2919</v>
      </c>
      <c r="E357" s="39">
        <v>2919</v>
      </c>
      <c r="F357" s="66" t="s">
        <v>663</v>
      </c>
    </row>
    <row r="358" spans="1:6">
      <c r="A358" s="45" t="s">
        <v>83</v>
      </c>
      <c r="B358" s="46" t="s">
        <v>409</v>
      </c>
      <c r="C358" s="130">
        <v>5799</v>
      </c>
      <c r="D358" s="39">
        <v>5799</v>
      </c>
      <c r="E358" s="39">
        <v>5799</v>
      </c>
      <c r="F358" s="66" t="s">
        <v>663</v>
      </c>
    </row>
    <row r="359" spans="1:6">
      <c r="A359" s="45" t="s">
        <v>67</v>
      </c>
      <c r="B359" s="46" t="s">
        <v>410</v>
      </c>
      <c r="C359" s="130">
        <v>19999</v>
      </c>
      <c r="D359" s="39">
        <v>19999</v>
      </c>
      <c r="E359" s="39">
        <v>19999</v>
      </c>
      <c r="F359" s="66" t="s">
        <v>663</v>
      </c>
    </row>
    <row r="360" spans="1:6">
      <c r="A360" s="45" t="s">
        <v>67</v>
      </c>
      <c r="B360" s="46" t="s">
        <v>411</v>
      </c>
      <c r="C360" s="130">
        <v>21499</v>
      </c>
      <c r="D360" s="39">
        <v>21499</v>
      </c>
      <c r="E360" s="39">
        <v>21499</v>
      </c>
      <c r="F360" s="66" t="s">
        <v>663</v>
      </c>
    </row>
    <row r="361" spans="1:6">
      <c r="A361" s="45" t="s">
        <v>67</v>
      </c>
      <c r="B361" s="46" t="s">
        <v>412</v>
      </c>
      <c r="C361" s="130">
        <v>24499</v>
      </c>
      <c r="D361" s="39">
        <v>24499</v>
      </c>
      <c r="E361" s="39">
        <v>24499</v>
      </c>
      <c r="F361" s="66" t="s">
        <v>663</v>
      </c>
    </row>
    <row r="362" spans="1:6">
      <c r="A362" s="45" t="s">
        <v>67</v>
      </c>
      <c r="B362" s="46" t="s">
        <v>413</v>
      </c>
      <c r="C362" s="130">
        <v>29999</v>
      </c>
      <c r="D362" s="39">
        <v>29999</v>
      </c>
      <c r="E362" s="39">
        <v>29999</v>
      </c>
      <c r="F362" s="66" t="s">
        <v>663</v>
      </c>
    </row>
    <row r="363" spans="1:6">
      <c r="A363" s="45" t="s">
        <v>67</v>
      </c>
      <c r="B363" s="46" t="s">
        <v>414</v>
      </c>
      <c r="C363" s="130">
        <v>32999</v>
      </c>
      <c r="D363" s="39">
        <v>32999</v>
      </c>
      <c r="E363" s="39">
        <v>32999</v>
      </c>
      <c r="F363" s="66" t="s">
        <v>663</v>
      </c>
    </row>
    <row r="364" spans="1:6">
      <c r="A364" s="45" t="s">
        <v>67</v>
      </c>
      <c r="B364" s="46" t="s">
        <v>415</v>
      </c>
      <c r="C364" s="130">
        <v>37999</v>
      </c>
      <c r="D364" s="39">
        <v>37999</v>
      </c>
      <c r="E364" s="39">
        <v>37999</v>
      </c>
      <c r="F364" s="66" t="s">
        <v>663</v>
      </c>
    </row>
    <row r="365" spans="1:6">
      <c r="A365" s="45" t="s">
        <v>74</v>
      </c>
      <c r="B365" s="46" t="s">
        <v>416</v>
      </c>
      <c r="C365" s="130">
        <v>34999</v>
      </c>
      <c r="D365" s="39">
        <v>34999</v>
      </c>
      <c r="E365" s="39">
        <v>34999</v>
      </c>
      <c r="F365" s="66" t="s">
        <v>663</v>
      </c>
    </row>
    <row r="366" spans="1:6">
      <c r="A366" s="45" t="s">
        <v>74</v>
      </c>
      <c r="B366" s="46" t="s">
        <v>417</v>
      </c>
      <c r="C366" s="130">
        <v>4299</v>
      </c>
      <c r="D366" s="39">
        <v>4299</v>
      </c>
      <c r="E366" s="39">
        <v>4299</v>
      </c>
      <c r="F366" s="66" t="s">
        <v>663</v>
      </c>
    </row>
    <row r="367" spans="1:6">
      <c r="A367" s="45" t="s">
        <v>73</v>
      </c>
      <c r="B367" s="46" t="s">
        <v>418</v>
      </c>
      <c r="C367" s="130">
        <v>16999</v>
      </c>
      <c r="D367" s="39">
        <v>16999</v>
      </c>
      <c r="E367" s="39">
        <v>16999</v>
      </c>
      <c r="F367" s="66" t="s">
        <v>663</v>
      </c>
    </row>
    <row r="368" spans="1:6">
      <c r="A368" s="45" t="s">
        <v>74</v>
      </c>
      <c r="B368" s="46" t="s">
        <v>419</v>
      </c>
      <c r="C368" s="130">
        <v>3599</v>
      </c>
      <c r="D368" s="39">
        <v>3599</v>
      </c>
      <c r="E368" s="39">
        <v>3599</v>
      </c>
      <c r="F368" s="66" t="s">
        <v>663</v>
      </c>
    </row>
    <row r="369" spans="1:6">
      <c r="A369" s="45" t="s">
        <v>91</v>
      </c>
      <c r="B369" s="46" t="s">
        <v>420</v>
      </c>
      <c r="C369" s="130">
        <v>1899</v>
      </c>
      <c r="D369" s="39">
        <v>1899</v>
      </c>
      <c r="E369" s="39">
        <v>1899</v>
      </c>
      <c r="F369" s="66" t="s">
        <v>663</v>
      </c>
    </row>
    <row r="370" spans="1:6">
      <c r="A370" s="45" t="s">
        <v>74</v>
      </c>
      <c r="B370" s="46" t="s">
        <v>421</v>
      </c>
      <c r="C370" s="130">
        <v>6299</v>
      </c>
      <c r="D370" s="39">
        <v>6299</v>
      </c>
      <c r="E370" s="39">
        <v>6299</v>
      </c>
      <c r="F370" s="66" t="s">
        <v>663</v>
      </c>
    </row>
    <row r="371" spans="1:6">
      <c r="A371" s="45" t="s">
        <v>73</v>
      </c>
      <c r="B371" s="46" t="s">
        <v>422</v>
      </c>
      <c r="C371" s="130">
        <v>5299</v>
      </c>
      <c r="D371" s="39">
        <v>5299</v>
      </c>
      <c r="E371" s="39">
        <v>5299</v>
      </c>
      <c r="F371" s="66" t="s">
        <v>663</v>
      </c>
    </row>
    <row r="372" spans="1:6">
      <c r="A372" s="45" t="s">
        <v>73</v>
      </c>
      <c r="B372" s="46" t="s">
        <v>423</v>
      </c>
      <c r="C372" s="130">
        <v>21499</v>
      </c>
      <c r="D372" s="39">
        <v>21499</v>
      </c>
      <c r="E372" s="39">
        <v>21499</v>
      </c>
      <c r="F372" s="66" t="s">
        <v>663</v>
      </c>
    </row>
    <row r="373" spans="1:6">
      <c r="A373" s="45" t="s">
        <v>73</v>
      </c>
      <c r="B373" s="46" t="s">
        <v>424</v>
      </c>
      <c r="C373" s="130">
        <v>24999</v>
      </c>
      <c r="D373" s="39">
        <v>24999</v>
      </c>
      <c r="E373" s="39">
        <v>24999</v>
      </c>
      <c r="F373" s="66" t="s">
        <v>663</v>
      </c>
    </row>
    <row r="374" spans="1:6">
      <c r="A374" s="45" t="s">
        <v>73</v>
      </c>
      <c r="B374" s="46" t="s">
        <v>425</v>
      </c>
      <c r="C374" s="130">
        <v>29999</v>
      </c>
      <c r="D374" s="39">
        <v>29999</v>
      </c>
      <c r="E374" s="39">
        <v>29999</v>
      </c>
      <c r="F374" s="66" t="s">
        <v>663</v>
      </c>
    </row>
    <row r="375" spans="1:6">
      <c r="A375" s="45" t="s">
        <v>73</v>
      </c>
      <c r="B375" s="46" t="s">
        <v>426</v>
      </c>
      <c r="C375" s="130">
        <v>4139</v>
      </c>
      <c r="D375" s="39">
        <v>4139</v>
      </c>
      <c r="E375" s="39">
        <v>4139</v>
      </c>
      <c r="F375" s="66" t="s">
        <v>663</v>
      </c>
    </row>
    <row r="376" spans="1:6">
      <c r="A376" s="45" t="s">
        <v>91</v>
      </c>
      <c r="B376" s="46" t="s">
        <v>427</v>
      </c>
      <c r="C376" s="130">
        <v>3199</v>
      </c>
      <c r="D376" s="39">
        <v>3199</v>
      </c>
      <c r="E376" s="39">
        <v>3199</v>
      </c>
      <c r="F376" s="66" t="s">
        <v>663</v>
      </c>
    </row>
    <row r="377" spans="1:6">
      <c r="A377" s="45" t="s">
        <v>83</v>
      </c>
      <c r="B377" s="46" t="s">
        <v>428</v>
      </c>
      <c r="C377" s="130">
        <v>7999</v>
      </c>
      <c r="D377" s="39">
        <v>7999</v>
      </c>
      <c r="E377" s="39">
        <v>7999</v>
      </c>
      <c r="F377" s="66" t="s">
        <v>663</v>
      </c>
    </row>
    <row r="378" spans="1:6">
      <c r="A378" s="45" t="s">
        <v>83</v>
      </c>
      <c r="B378" s="46" t="s">
        <v>429</v>
      </c>
      <c r="C378" s="130">
        <v>8199</v>
      </c>
      <c r="D378" s="39">
        <v>8199</v>
      </c>
      <c r="E378" s="39">
        <v>8199</v>
      </c>
      <c r="F378" s="66" t="s">
        <v>663</v>
      </c>
    </row>
    <row r="379" spans="1:6">
      <c r="A379" s="45" t="s">
        <v>386</v>
      </c>
      <c r="B379" s="46" t="s">
        <v>431</v>
      </c>
      <c r="C379" s="130">
        <v>3349</v>
      </c>
      <c r="D379" s="39">
        <v>3349</v>
      </c>
      <c r="E379" s="39">
        <v>3349</v>
      </c>
      <c r="F379" s="66" t="s">
        <v>663</v>
      </c>
    </row>
    <row r="380" spans="1:6">
      <c r="A380" s="45" t="s">
        <v>91</v>
      </c>
      <c r="B380" s="46" t="s">
        <v>432</v>
      </c>
      <c r="C380" s="130">
        <v>3199</v>
      </c>
      <c r="D380" s="39">
        <v>3199</v>
      </c>
      <c r="E380" s="39">
        <v>2949</v>
      </c>
      <c r="F380" s="66">
        <v>44522</v>
      </c>
    </row>
    <row r="381" spans="1:6">
      <c r="A381" s="45" t="s">
        <v>396</v>
      </c>
      <c r="B381" s="46" t="s">
        <v>433</v>
      </c>
      <c r="C381" s="130">
        <v>4139</v>
      </c>
      <c r="D381" s="39">
        <v>4139</v>
      </c>
      <c r="E381" s="39">
        <v>4139</v>
      </c>
      <c r="F381" s="66" t="s">
        <v>663</v>
      </c>
    </row>
    <row r="382" spans="1:6">
      <c r="A382" s="45" t="s">
        <v>73</v>
      </c>
      <c r="B382" s="46" t="s">
        <v>434</v>
      </c>
      <c r="C382" s="130">
        <v>3299</v>
      </c>
      <c r="D382" s="39">
        <v>3299</v>
      </c>
      <c r="E382" s="39">
        <v>3299</v>
      </c>
      <c r="F382" s="66" t="s">
        <v>663</v>
      </c>
    </row>
    <row r="383" spans="1:6">
      <c r="A383" s="45" t="s">
        <v>91</v>
      </c>
      <c r="B383" s="46" t="s">
        <v>435</v>
      </c>
      <c r="C383" s="130">
        <v>1239</v>
      </c>
      <c r="D383" s="39">
        <v>1239</v>
      </c>
      <c r="E383" s="39">
        <v>1239</v>
      </c>
      <c r="F383" s="66" t="s">
        <v>663</v>
      </c>
    </row>
    <row r="384" spans="1:6">
      <c r="A384" s="45" t="s">
        <v>74</v>
      </c>
      <c r="B384" s="46" t="s">
        <v>436</v>
      </c>
      <c r="C384" s="130">
        <v>12999</v>
      </c>
      <c r="D384" s="39">
        <v>12999</v>
      </c>
      <c r="E384" s="39">
        <v>12999</v>
      </c>
      <c r="F384" s="66" t="s">
        <v>663</v>
      </c>
    </row>
    <row r="385" spans="1:6">
      <c r="A385" s="45" t="s">
        <v>73</v>
      </c>
      <c r="B385" s="46" t="s">
        <v>437</v>
      </c>
      <c r="C385" s="130">
        <v>10999</v>
      </c>
      <c r="D385" s="39">
        <v>10999</v>
      </c>
      <c r="E385" s="39">
        <v>10999</v>
      </c>
      <c r="F385" s="66" t="s">
        <v>663</v>
      </c>
    </row>
    <row r="386" spans="1:6">
      <c r="A386" s="45" t="s">
        <v>73</v>
      </c>
      <c r="B386" s="46" t="s">
        <v>438</v>
      </c>
      <c r="C386" s="130">
        <v>22999</v>
      </c>
      <c r="D386" s="39">
        <v>22999</v>
      </c>
      <c r="E386" s="39">
        <v>22999</v>
      </c>
      <c r="F386" s="66" t="s">
        <v>663</v>
      </c>
    </row>
    <row r="387" spans="1:6">
      <c r="A387" s="45" t="s">
        <v>73</v>
      </c>
      <c r="B387" s="46" t="s">
        <v>439</v>
      </c>
      <c r="C387" s="130">
        <v>26499</v>
      </c>
      <c r="D387" s="39">
        <v>26499</v>
      </c>
      <c r="E387" s="39">
        <v>26499</v>
      </c>
      <c r="F387" s="66" t="s">
        <v>663</v>
      </c>
    </row>
    <row r="388" spans="1:6">
      <c r="A388" s="45" t="s">
        <v>73</v>
      </c>
      <c r="B388" s="46" t="s">
        <v>440</v>
      </c>
      <c r="C388" s="130">
        <v>31499</v>
      </c>
      <c r="D388" s="39">
        <v>31499</v>
      </c>
      <c r="E388" s="39">
        <v>31499</v>
      </c>
      <c r="F388" s="66" t="s">
        <v>663</v>
      </c>
    </row>
    <row r="389" spans="1:6">
      <c r="A389" s="45" t="s">
        <v>73</v>
      </c>
      <c r="B389" s="46" t="s">
        <v>441</v>
      </c>
      <c r="C389" s="130">
        <v>8499</v>
      </c>
      <c r="D389" s="39">
        <v>8499</v>
      </c>
      <c r="E389" s="39">
        <v>8499</v>
      </c>
      <c r="F389" s="66" t="s">
        <v>663</v>
      </c>
    </row>
    <row r="390" spans="1:6">
      <c r="A390" s="45" t="s">
        <v>336</v>
      </c>
      <c r="B390" s="46" t="s">
        <v>442</v>
      </c>
      <c r="C390" s="130">
        <v>6499</v>
      </c>
      <c r="D390" s="39">
        <v>6499</v>
      </c>
      <c r="E390" s="39">
        <v>6499</v>
      </c>
      <c r="F390" s="66" t="s">
        <v>663</v>
      </c>
    </row>
    <row r="391" spans="1:6">
      <c r="A391" s="45" t="s">
        <v>74</v>
      </c>
      <c r="B391" s="46" t="s">
        <v>443</v>
      </c>
      <c r="C391" s="130">
        <v>4599</v>
      </c>
      <c r="D391" s="39">
        <v>4599</v>
      </c>
      <c r="E391" s="39">
        <v>4599</v>
      </c>
      <c r="F391" s="66" t="s">
        <v>663</v>
      </c>
    </row>
    <row r="392" spans="1:6">
      <c r="A392" s="45" t="s">
        <v>74</v>
      </c>
      <c r="B392" s="46" t="s">
        <v>444</v>
      </c>
      <c r="C392" s="130">
        <v>3499</v>
      </c>
      <c r="D392" s="39">
        <v>3499</v>
      </c>
      <c r="E392" s="39">
        <v>3499</v>
      </c>
      <c r="F392" s="66">
        <v>44371</v>
      </c>
    </row>
    <row r="393" spans="1:6">
      <c r="A393" s="45" t="s">
        <v>393</v>
      </c>
      <c r="B393" s="46" t="s">
        <v>445</v>
      </c>
      <c r="C393" s="130">
        <v>8499</v>
      </c>
      <c r="D393" s="39">
        <v>8499</v>
      </c>
      <c r="E393" s="39">
        <v>8499</v>
      </c>
      <c r="F393" s="66" t="s">
        <v>663</v>
      </c>
    </row>
    <row r="394" spans="1:6">
      <c r="A394" s="45" t="s">
        <v>385</v>
      </c>
      <c r="B394" s="46" t="s">
        <v>446</v>
      </c>
      <c r="C394" s="130">
        <v>6999</v>
      </c>
      <c r="D394" s="39">
        <v>6999</v>
      </c>
      <c r="E394" s="39">
        <v>6999</v>
      </c>
      <c r="F394" s="66" t="s">
        <v>663</v>
      </c>
    </row>
    <row r="395" spans="1:6">
      <c r="A395" s="45" t="s">
        <v>385</v>
      </c>
      <c r="B395" s="46" t="s">
        <v>448</v>
      </c>
      <c r="C395" s="130">
        <v>5299</v>
      </c>
      <c r="D395" s="39">
        <v>5299</v>
      </c>
      <c r="E395" s="39">
        <v>4799</v>
      </c>
      <c r="F395" s="66">
        <v>44427</v>
      </c>
    </row>
    <row r="396" spans="1:6">
      <c r="A396" s="45" t="s">
        <v>385</v>
      </c>
      <c r="B396" s="46" t="s">
        <v>449</v>
      </c>
      <c r="C396" s="130">
        <v>2919</v>
      </c>
      <c r="D396" s="39">
        <v>2919</v>
      </c>
      <c r="E396" s="39">
        <v>2919</v>
      </c>
      <c r="F396" s="66" t="s">
        <v>663</v>
      </c>
    </row>
    <row r="397" spans="1:6">
      <c r="A397" s="45" t="s">
        <v>385</v>
      </c>
      <c r="B397" s="46" t="s">
        <v>450</v>
      </c>
      <c r="C397" s="130">
        <v>6499</v>
      </c>
      <c r="D397" s="39">
        <v>6499</v>
      </c>
      <c r="E397" s="39">
        <v>6139</v>
      </c>
      <c r="F397" s="66">
        <v>44427</v>
      </c>
    </row>
    <row r="398" spans="1:6">
      <c r="A398" s="45" t="s">
        <v>385</v>
      </c>
      <c r="B398" s="46" t="s">
        <v>447</v>
      </c>
      <c r="C398" s="130">
        <v>8669</v>
      </c>
      <c r="D398" s="39">
        <v>8669</v>
      </c>
      <c r="E398" s="39">
        <v>8669</v>
      </c>
      <c r="F398" s="66" t="s">
        <v>663</v>
      </c>
    </row>
    <row r="399" spans="1:6">
      <c r="A399" s="45" t="s">
        <v>385</v>
      </c>
      <c r="B399" s="46" t="s">
        <v>451</v>
      </c>
      <c r="C399" s="130">
        <v>3679</v>
      </c>
      <c r="D399" s="39">
        <v>3679</v>
      </c>
      <c r="E399" s="39">
        <v>3679</v>
      </c>
      <c r="F399" s="66" t="s">
        <v>663</v>
      </c>
    </row>
    <row r="400" spans="1:6">
      <c r="A400" s="45" t="s">
        <v>336</v>
      </c>
      <c r="B400" s="46" t="s">
        <v>452</v>
      </c>
      <c r="C400" s="130">
        <v>16999</v>
      </c>
      <c r="D400" s="39">
        <v>16999</v>
      </c>
      <c r="E400" s="39">
        <v>16999</v>
      </c>
      <c r="F400" s="66" t="s">
        <v>663</v>
      </c>
    </row>
    <row r="401" spans="1:8">
      <c r="A401" s="45" t="s">
        <v>336</v>
      </c>
      <c r="B401" s="46" t="s">
        <v>453</v>
      </c>
      <c r="C401" s="130">
        <v>5999</v>
      </c>
      <c r="D401" s="39">
        <v>5999</v>
      </c>
      <c r="E401" s="39">
        <v>5999</v>
      </c>
      <c r="F401" s="66" t="s">
        <v>663</v>
      </c>
    </row>
    <row r="402" spans="1:8">
      <c r="A402" s="45" t="s">
        <v>393</v>
      </c>
      <c r="B402" s="46" t="s">
        <v>454</v>
      </c>
      <c r="C402" s="130">
        <v>6499</v>
      </c>
      <c r="D402" s="39">
        <v>6499</v>
      </c>
      <c r="E402" s="39">
        <v>6499</v>
      </c>
      <c r="F402" s="66" t="s">
        <v>663</v>
      </c>
    </row>
    <row r="403" spans="1:8">
      <c r="A403" s="45" t="s">
        <v>338</v>
      </c>
      <c r="B403" s="46" t="s">
        <v>456</v>
      </c>
      <c r="C403" s="130">
        <v>11999</v>
      </c>
      <c r="D403" s="39">
        <v>11999</v>
      </c>
      <c r="E403" s="39">
        <v>11999</v>
      </c>
      <c r="F403" s="66" t="s">
        <v>663</v>
      </c>
    </row>
    <row r="404" spans="1:8">
      <c r="A404" s="45" t="s">
        <v>338</v>
      </c>
      <c r="B404" s="46" t="s">
        <v>455</v>
      </c>
      <c r="C404" s="130">
        <v>11999</v>
      </c>
      <c r="D404" s="39">
        <v>11999</v>
      </c>
      <c r="E404" s="39">
        <v>11999</v>
      </c>
      <c r="F404" s="66" t="s">
        <v>663</v>
      </c>
    </row>
    <row r="405" spans="1:8">
      <c r="A405" s="45" t="s">
        <v>363</v>
      </c>
      <c r="B405" s="46" t="s">
        <v>457</v>
      </c>
      <c r="C405" s="130">
        <v>6599</v>
      </c>
      <c r="D405" s="39">
        <v>6599</v>
      </c>
      <c r="E405" s="39">
        <v>6599</v>
      </c>
      <c r="F405" s="66" t="s">
        <v>663</v>
      </c>
    </row>
    <row r="406" spans="1:8">
      <c r="A406" s="45" t="s">
        <v>338</v>
      </c>
      <c r="B406" s="46" t="s">
        <v>458</v>
      </c>
      <c r="C406" s="130">
        <v>4889</v>
      </c>
      <c r="D406" s="39">
        <v>4889</v>
      </c>
      <c r="E406" s="39">
        <v>4889</v>
      </c>
      <c r="F406" s="66" t="s">
        <v>663</v>
      </c>
    </row>
    <row r="407" spans="1:8">
      <c r="A407" s="45" t="s">
        <v>338</v>
      </c>
      <c r="B407" s="46" t="s">
        <v>459</v>
      </c>
      <c r="C407" s="130">
        <v>8499</v>
      </c>
      <c r="D407" s="39">
        <v>8499</v>
      </c>
      <c r="E407" s="39">
        <v>8499</v>
      </c>
      <c r="F407" s="66" t="s">
        <v>663</v>
      </c>
    </row>
    <row r="408" spans="1:8">
      <c r="A408" s="45" t="s">
        <v>271</v>
      </c>
      <c r="B408" s="46" t="s">
        <v>460</v>
      </c>
      <c r="C408" s="130">
        <v>3149</v>
      </c>
      <c r="D408" s="39">
        <v>3149</v>
      </c>
      <c r="E408" s="39">
        <v>1999</v>
      </c>
      <c r="F408" s="66">
        <v>44776</v>
      </c>
    </row>
    <row r="409" spans="1:8">
      <c r="A409" s="45" t="s">
        <v>385</v>
      </c>
      <c r="B409" s="46" t="s">
        <v>461</v>
      </c>
      <c r="C409" s="130">
        <v>8999</v>
      </c>
      <c r="D409" s="39">
        <v>8999</v>
      </c>
      <c r="E409" s="39">
        <v>8799</v>
      </c>
      <c r="F409" s="66">
        <v>44336</v>
      </c>
    </row>
    <row r="410" spans="1:8">
      <c r="A410" s="45" t="s">
        <v>336</v>
      </c>
      <c r="B410" s="46" t="s">
        <v>462</v>
      </c>
      <c r="C410" s="130">
        <v>4139</v>
      </c>
      <c r="D410" s="39">
        <v>4139</v>
      </c>
      <c r="E410" s="39">
        <v>4139</v>
      </c>
      <c r="F410" s="66" t="s">
        <v>663</v>
      </c>
    </row>
    <row r="411" spans="1:8">
      <c r="A411" s="45" t="s">
        <v>358</v>
      </c>
      <c r="B411" s="46" t="s">
        <v>463</v>
      </c>
      <c r="C411" s="39">
        <v>20999</v>
      </c>
      <c r="D411" s="39">
        <v>14499</v>
      </c>
      <c r="E411" s="39">
        <v>12999</v>
      </c>
      <c r="F411" s="66">
        <v>45837</v>
      </c>
      <c r="H411" t="s">
        <v>1225</v>
      </c>
    </row>
    <row r="412" spans="1:8">
      <c r="A412" s="45" t="s">
        <v>67</v>
      </c>
      <c r="B412" s="46" t="s">
        <v>464</v>
      </c>
      <c r="C412" s="130">
        <v>23999</v>
      </c>
      <c r="D412" s="39">
        <v>23999</v>
      </c>
      <c r="E412" s="39">
        <v>23999</v>
      </c>
      <c r="F412" s="66" t="s">
        <v>663</v>
      </c>
    </row>
    <row r="413" spans="1:8">
      <c r="A413" s="45" t="s">
        <v>67</v>
      </c>
      <c r="B413" s="46" t="s">
        <v>465</v>
      </c>
      <c r="C413" s="130">
        <v>28999</v>
      </c>
      <c r="D413" s="39">
        <v>28999</v>
      </c>
      <c r="E413" s="39">
        <v>28999</v>
      </c>
      <c r="F413" s="66" t="s">
        <v>663</v>
      </c>
    </row>
    <row r="414" spans="1:8">
      <c r="A414" s="45" t="s">
        <v>67</v>
      </c>
      <c r="B414" s="46" t="s">
        <v>466</v>
      </c>
      <c r="C414" s="130">
        <v>28999</v>
      </c>
      <c r="D414" s="39">
        <v>28999</v>
      </c>
      <c r="E414" s="39">
        <v>28999</v>
      </c>
      <c r="F414" s="66" t="s">
        <v>663</v>
      </c>
    </row>
    <row r="415" spans="1:8">
      <c r="A415" s="45" t="s">
        <v>67</v>
      </c>
      <c r="B415" s="46" t="s">
        <v>467</v>
      </c>
      <c r="C415" s="130">
        <v>31999</v>
      </c>
      <c r="D415" s="39">
        <v>31999</v>
      </c>
      <c r="E415" s="39">
        <v>31999</v>
      </c>
      <c r="F415" s="66" t="s">
        <v>663</v>
      </c>
    </row>
    <row r="416" spans="1:8">
      <c r="A416" s="45" t="s">
        <v>67</v>
      </c>
      <c r="B416" s="46" t="s">
        <v>468</v>
      </c>
      <c r="C416" s="130">
        <v>36999</v>
      </c>
      <c r="D416" s="39">
        <v>36999</v>
      </c>
      <c r="E416" s="39">
        <v>36999</v>
      </c>
      <c r="F416" s="66" t="s">
        <v>663</v>
      </c>
    </row>
    <row r="417" spans="1:6">
      <c r="A417" s="45" t="s">
        <v>67</v>
      </c>
      <c r="B417" s="46" t="s">
        <v>469</v>
      </c>
      <c r="C417" s="130">
        <v>41999</v>
      </c>
      <c r="D417" s="39">
        <v>41999</v>
      </c>
      <c r="E417" s="39">
        <v>41999</v>
      </c>
      <c r="F417" s="66" t="s">
        <v>663</v>
      </c>
    </row>
    <row r="418" spans="1:6">
      <c r="A418" s="45" t="s">
        <v>363</v>
      </c>
      <c r="B418" s="46" t="s">
        <v>470</v>
      </c>
      <c r="C418" s="130">
        <v>3299</v>
      </c>
      <c r="D418" s="39">
        <v>3299</v>
      </c>
      <c r="E418" s="39">
        <v>3299</v>
      </c>
      <c r="F418" s="66" t="s">
        <v>663</v>
      </c>
    </row>
    <row r="419" spans="1:6">
      <c r="A419" s="45" t="s">
        <v>67</v>
      </c>
      <c r="B419" s="46" t="s">
        <v>471</v>
      </c>
      <c r="C419" s="130">
        <v>25999</v>
      </c>
      <c r="D419" s="39">
        <v>25999</v>
      </c>
      <c r="E419" s="39">
        <v>25999</v>
      </c>
      <c r="F419" s="66" t="s">
        <v>663</v>
      </c>
    </row>
    <row r="420" spans="1:6">
      <c r="A420" s="45" t="s">
        <v>67</v>
      </c>
      <c r="B420" s="46" t="s">
        <v>472</v>
      </c>
      <c r="C420" s="130">
        <v>28999</v>
      </c>
      <c r="D420" s="39">
        <v>28999</v>
      </c>
      <c r="E420" s="39">
        <v>28999</v>
      </c>
      <c r="F420" s="66" t="s">
        <v>663</v>
      </c>
    </row>
    <row r="421" spans="1:6">
      <c r="A421" s="45" t="s">
        <v>67</v>
      </c>
      <c r="B421" s="46" t="s">
        <v>473</v>
      </c>
      <c r="C421" s="130">
        <v>33999</v>
      </c>
      <c r="D421" s="39">
        <v>33999</v>
      </c>
      <c r="E421" s="39">
        <v>33999</v>
      </c>
      <c r="F421" s="66" t="s">
        <v>663</v>
      </c>
    </row>
    <row r="422" spans="1:6">
      <c r="A422" s="45" t="s">
        <v>67</v>
      </c>
      <c r="B422" s="46" t="s">
        <v>476</v>
      </c>
      <c r="C422" s="130">
        <v>17999</v>
      </c>
      <c r="D422" s="39">
        <v>17999</v>
      </c>
      <c r="E422" s="39">
        <v>17999</v>
      </c>
      <c r="F422" s="66" t="s">
        <v>663</v>
      </c>
    </row>
    <row r="423" spans="1:6">
      <c r="A423" s="45" t="s">
        <v>336</v>
      </c>
      <c r="B423" s="46" t="s">
        <v>474</v>
      </c>
      <c r="C423" s="130">
        <v>24999</v>
      </c>
      <c r="D423" s="39">
        <v>24999</v>
      </c>
      <c r="E423" s="39">
        <v>24999</v>
      </c>
      <c r="F423" s="66" t="s">
        <v>663</v>
      </c>
    </row>
    <row r="424" spans="1:6">
      <c r="A424" s="45" t="s">
        <v>336</v>
      </c>
      <c r="B424" s="46" t="s">
        <v>475</v>
      </c>
      <c r="C424" s="130">
        <v>27499</v>
      </c>
      <c r="D424" s="39">
        <v>27499</v>
      </c>
      <c r="E424" s="39">
        <v>27499</v>
      </c>
      <c r="F424" s="66" t="s">
        <v>663</v>
      </c>
    </row>
    <row r="425" spans="1:6">
      <c r="A425" s="45" t="s">
        <v>393</v>
      </c>
      <c r="B425" s="46" t="s">
        <v>477</v>
      </c>
      <c r="C425" s="130">
        <v>5499</v>
      </c>
      <c r="D425" s="39">
        <v>5499</v>
      </c>
      <c r="E425" s="39">
        <v>5499</v>
      </c>
      <c r="F425" s="66" t="s">
        <v>663</v>
      </c>
    </row>
    <row r="426" spans="1:6">
      <c r="A426" s="45" t="s">
        <v>363</v>
      </c>
      <c r="B426" s="46" t="s">
        <v>478</v>
      </c>
      <c r="C426" s="130">
        <v>10999</v>
      </c>
      <c r="D426" s="39">
        <v>10999</v>
      </c>
      <c r="E426" s="39">
        <v>10999</v>
      </c>
      <c r="F426" s="66" t="s">
        <v>663</v>
      </c>
    </row>
    <row r="427" spans="1:6">
      <c r="A427" s="45" t="s">
        <v>336</v>
      </c>
      <c r="B427" s="46" t="s">
        <v>479</v>
      </c>
      <c r="C427" s="130">
        <v>4999</v>
      </c>
      <c r="D427" s="39">
        <v>4999</v>
      </c>
      <c r="E427" s="39">
        <v>4999</v>
      </c>
      <c r="F427" s="66" t="s">
        <v>663</v>
      </c>
    </row>
    <row r="428" spans="1:6">
      <c r="A428" s="45" t="s">
        <v>363</v>
      </c>
      <c r="B428" s="46" t="s">
        <v>480</v>
      </c>
      <c r="C428" s="130">
        <v>19999</v>
      </c>
      <c r="D428" s="39">
        <v>19999</v>
      </c>
      <c r="E428" s="39">
        <v>19999</v>
      </c>
      <c r="F428" s="66" t="s">
        <v>663</v>
      </c>
    </row>
    <row r="429" spans="1:6">
      <c r="A429" s="45" t="s">
        <v>363</v>
      </c>
      <c r="B429" s="46" t="s">
        <v>481</v>
      </c>
      <c r="C429" s="130">
        <v>7299</v>
      </c>
      <c r="D429" s="39">
        <v>7299</v>
      </c>
      <c r="E429" s="39">
        <v>7299</v>
      </c>
      <c r="F429" s="66" t="s">
        <v>663</v>
      </c>
    </row>
    <row r="430" spans="1:6">
      <c r="A430" s="45" t="s">
        <v>363</v>
      </c>
      <c r="B430" s="46" t="s">
        <v>482</v>
      </c>
      <c r="C430" s="130">
        <v>8499</v>
      </c>
      <c r="D430" s="39">
        <v>8499</v>
      </c>
      <c r="E430" s="39">
        <v>8499</v>
      </c>
      <c r="F430" s="66" t="s">
        <v>663</v>
      </c>
    </row>
    <row r="431" spans="1:6">
      <c r="A431" s="45" t="s">
        <v>331</v>
      </c>
      <c r="B431" s="46" t="s">
        <v>483</v>
      </c>
      <c r="C431" s="130">
        <v>12999</v>
      </c>
      <c r="D431" s="39">
        <v>12999</v>
      </c>
      <c r="E431" s="39">
        <v>12999</v>
      </c>
      <c r="F431" s="66" t="s">
        <v>663</v>
      </c>
    </row>
    <row r="432" spans="1:6">
      <c r="A432" s="45" t="s">
        <v>331</v>
      </c>
      <c r="B432" s="46" t="s">
        <v>484</v>
      </c>
      <c r="C432" s="130">
        <v>15999</v>
      </c>
      <c r="D432" s="39">
        <v>15999</v>
      </c>
      <c r="E432" s="39">
        <v>15999</v>
      </c>
      <c r="F432" s="66" t="s">
        <v>663</v>
      </c>
    </row>
    <row r="433" spans="1:6">
      <c r="A433" s="45" t="s">
        <v>331</v>
      </c>
      <c r="B433" s="46" t="s">
        <v>485</v>
      </c>
      <c r="C433" s="130">
        <v>15999</v>
      </c>
      <c r="D433" s="39">
        <v>15999</v>
      </c>
      <c r="E433" s="39">
        <v>15999</v>
      </c>
      <c r="F433" s="66" t="s">
        <v>663</v>
      </c>
    </row>
    <row r="434" spans="1:6">
      <c r="A434" s="45" t="s">
        <v>385</v>
      </c>
      <c r="B434" s="46" t="s">
        <v>486</v>
      </c>
      <c r="C434" s="130">
        <v>5999</v>
      </c>
      <c r="D434" s="39">
        <v>5999</v>
      </c>
      <c r="E434" s="39">
        <v>5999</v>
      </c>
      <c r="F434" s="66" t="s">
        <v>663</v>
      </c>
    </row>
    <row r="435" spans="1:6">
      <c r="A435" s="45" t="s">
        <v>363</v>
      </c>
      <c r="B435" s="46" t="s">
        <v>487</v>
      </c>
      <c r="C435" s="130">
        <v>3599</v>
      </c>
      <c r="D435" s="39">
        <v>3599</v>
      </c>
      <c r="E435" s="39">
        <v>3599</v>
      </c>
      <c r="F435" s="66" t="s">
        <v>663</v>
      </c>
    </row>
    <row r="436" spans="1:6">
      <c r="A436" s="45" t="s">
        <v>338</v>
      </c>
      <c r="B436" s="46" t="s">
        <v>488</v>
      </c>
      <c r="C436" s="130">
        <v>12999</v>
      </c>
      <c r="D436" s="39">
        <v>12999</v>
      </c>
      <c r="E436" s="39">
        <v>12999</v>
      </c>
      <c r="F436" s="66" t="s">
        <v>663</v>
      </c>
    </row>
    <row r="437" spans="1:6">
      <c r="A437" s="45" t="s">
        <v>385</v>
      </c>
      <c r="B437" s="46" t="s">
        <v>489</v>
      </c>
      <c r="C437" s="130">
        <v>9999</v>
      </c>
      <c r="D437" s="39">
        <v>9999</v>
      </c>
      <c r="E437" s="39">
        <v>9999</v>
      </c>
      <c r="F437" s="66" t="s">
        <v>663</v>
      </c>
    </row>
    <row r="438" spans="1:6">
      <c r="A438" s="45" t="s">
        <v>385</v>
      </c>
      <c r="B438" s="46" t="s">
        <v>490</v>
      </c>
      <c r="C438" s="130">
        <v>12999</v>
      </c>
      <c r="D438" s="39">
        <v>12999</v>
      </c>
      <c r="E438" s="39">
        <v>12999</v>
      </c>
      <c r="F438" s="66" t="s">
        <v>663</v>
      </c>
    </row>
    <row r="439" spans="1:6">
      <c r="A439" s="45" t="s">
        <v>385</v>
      </c>
      <c r="B439" s="46" t="s">
        <v>491</v>
      </c>
      <c r="C439" s="130">
        <v>6999</v>
      </c>
      <c r="D439" s="39">
        <v>6999</v>
      </c>
      <c r="E439" s="39">
        <v>6999</v>
      </c>
      <c r="F439" s="66" t="s">
        <v>663</v>
      </c>
    </row>
    <row r="440" spans="1:6">
      <c r="A440" s="45" t="s">
        <v>385</v>
      </c>
      <c r="B440" s="46" t="s">
        <v>492</v>
      </c>
      <c r="C440" s="130">
        <v>6999</v>
      </c>
      <c r="D440" s="39">
        <v>6999</v>
      </c>
      <c r="E440" s="39">
        <v>6999</v>
      </c>
      <c r="F440" s="66" t="s">
        <v>663</v>
      </c>
    </row>
    <row r="441" spans="1:6">
      <c r="A441" s="45" t="s">
        <v>385</v>
      </c>
      <c r="B441" s="46" t="s">
        <v>493</v>
      </c>
      <c r="C441" s="130">
        <v>6999</v>
      </c>
      <c r="D441" s="39">
        <v>6999</v>
      </c>
      <c r="E441" s="39">
        <v>6999</v>
      </c>
      <c r="F441" s="66" t="s">
        <v>663</v>
      </c>
    </row>
    <row r="442" spans="1:6">
      <c r="A442" s="45" t="s">
        <v>385</v>
      </c>
      <c r="B442" s="46" t="s">
        <v>494</v>
      </c>
      <c r="C442" s="130">
        <v>6999</v>
      </c>
      <c r="D442" s="39">
        <v>6999</v>
      </c>
      <c r="E442" s="39">
        <v>6999</v>
      </c>
      <c r="F442" s="66" t="s">
        <v>663</v>
      </c>
    </row>
    <row r="443" spans="1:6">
      <c r="A443" s="45" t="s">
        <v>385</v>
      </c>
      <c r="B443" s="46" t="s">
        <v>495</v>
      </c>
      <c r="C443" s="130">
        <v>3999</v>
      </c>
      <c r="D443" s="39">
        <v>3999</v>
      </c>
      <c r="E443" s="39">
        <v>3999</v>
      </c>
      <c r="F443" s="66" t="s">
        <v>663</v>
      </c>
    </row>
    <row r="444" spans="1:6">
      <c r="A444" s="45" t="s">
        <v>496</v>
      </c>
      <c r="B444" s="46" t="s">
        <v>497</v>
      </c>
      <c r="C444" s="130">
        <v>8499</v>
      </c>
      <c r="D444" s="39">
        <v>8499</v>
      </c>
      <c r="E444" s="39">
        <v>8499</v>
      </c>
      <c r="F444" s="66" t="s">
        <v>663</v>
      </c>
    </row>
    <row r="445" spans="1:6">
      <c r="A445" s="45" t="s">
        <v>338</v>
      </c>
      <c r="B445" s="46" t="s">
        <v>498</v>
      </c>
      <c r="C445" s="130">
        <v>26999</v>
      </c>
      <c r="D445" s="39">
        <v>26999</v>
      </c>
      <c r="E445" s="39">
        <v>26999</v>
      </c>
      <c r="F445" s="66" t="s">
        <v>663</v>
      </c>
    </row>
    <row r="446" spans="1:6">
      <c r="A446" s="45" t="s">
        <v>393</v>
      </c>
      <c r="B446" s="46" t="s">
        <v>499</v>
      </c>
      <c r="C446" s="130">
        <v>8999</v>
      </c>
      <c r="D446" s="39">
        <v>8999</v>
      </c>
      <c r="E446" s="39">
        <v>8999</v>
      </c>
      <c r="F446" s="66" t="s">
        <v>663</v>
      </c>
    </row>
    <row r="447" spans="1:6">
      <c r="A447" s="45" t="s">
        <v>363</v>
      </c>
      <c r="B447" s="46" t="s">
        <v>500</v>
      </c>
      <c r="C447" s="130">
        <v>6999</v>
      </c>
      <c r="D447" s="39">
        <v>6999</v>
      </c>
      <c r="E447" s="39">
        <v>6999</v>
      </c>
      <c r="F447" s="66" t="s">
        <v>663</v>
      </c>
    </row>
    <row r="448" spans="1:6">
      <c r="A448" s="45" t="s">
        <v>363</v>
      </c>
      <c r="B448" s="46" t="s">
        <v>501</v>
      </c>
      <c r="C448" s="130">
        <v>5699</v>
      </c>
      <c r="D448" s="39">
        <v>5699</v>
      </c>
      <c r="E448" s="39">
        <v>5699</v>
      </c>
      <c r="F448" s="66" t="s">
        <v>663</v>
      </c>
    </row>
    <row r="449" spans="1:6">
      <c r="A449" s="45" t="s">
        <v>363</v>
      </c>
      <c r="B449" s="46" t="s">
        <v>502</v>
      </c>
      <c r="C449" s="130">
        <v>13999</v>
      </c>
      <c r="D449" s="39">
        <v>13999</v>
      </c>
      <c r="E449" s="39">
        <v>13999</v>
      </c>
      <c r="F449" s="66" t="s">
        <v>663</v>
      </c>
    </row>
    <row r="450" spans="1:6">
      <c r="A450" s="45" t="s">
        <v>363</v>
      </c>
      <c r="B450" s="46" t="s">
        <v>503</v>
      </c>
      <c r="C450" s="130">
        <v>6699</v>
      </c>
      <c r="D450" s="39">
        <v>6699</v>
      </c>
      <c r="E450" s="39">
        <v>6699</v>
      </c>
      <c r="F450" s="66" t="s">
        <v>663</v>
      </c>
    </row>
    <row r="451" spans="1:6">
      <c r="A451" s="45" t="s">
        <v>271</v>
      </c>
      <c r="B451" s="46" t="s">
        <v>504</v>
      </c>
      <c r="C451" s="130">
        <v>3599</v>
      </c>
      <c r="D451" s="39">
        <v>3599</v>
      </c>
      <c r="E451" s="39">
        <v>3599</v>
      </c>
      <c r="F451" s="66" t="s">
        <v>663</v>
      </c>
    </row>
    <row r="452" spans="1:6">
      <c r="A452" s="45" t="s">
        <v>336</v>
      </c>
      <c r="B452" s="46" t="s">
        <v>505</v>
      </c>
      <c r="C452" s="130">
        <v>23999</v>
      </c>
      <c r="D452" s="39">
        <v>23999</v>
      </c>
      <c r="E452" s="39">
        <v>23999</v>
      </c>
      <c r="F452" s="66" t="s">
        <v>663</v>
      </c>
    </row>
    <row r="453" spans="1:6">
      <c r="A453" s="45" t="s">
        <v>336</v>
      </c>
      <c r="B453" s="46" t="s">
        <v>506</v>
      </c>
      <c r="C453" s="130">
        <v>32999</v>
      </c>
      <c r="D453" s="39">
        <v>32999</v>
      </c>
      <c r="E453" s="39">
        <v>32999</v>
      </c>
      <c r="F453" s="66" t="s">
        <v>663</v>
      </c>
    </row>
    <row r="454" spans="1:6">
      <c r="A454" s="45" t="s">
        <v>336</v>
      </c>
      <c r="B454" s="46" t="s">
        <v>507</v>
      </c>
      <c r="C454" s="130">
        <v>30999</v>
      </c>
      <c r="D454" s="39">
        <v>30999</v>
      </c>
      <c r="E454" s="39">
        <v>30999</v>
      </c>
      <c r="F454" s="66" t="s">
        <v>663</v>
      </c>
    </row>
    <row r="455" spans="1:6">
      <c r="A455" s="45" t="s">
        <v>363</v>
      </c>
      <c r="B455" s="46" t="s">
        <v>508</v>
      </c>
      <c r="C455" s="130">
        <v>6699</v>
      </c>
      <c r="D455" s="39">
        <v>6699</v>
      </c>
      <c r="E455" s="39">
        <v>6699</v>
      </c>
      <c r="F455" s="66" t="s">
        <v>663</v>
      </c>
    </row>
    <row r="456" spans="1:6">
      <c r="A456" s="45" t="s">
        <v>271</v>
      </c>
      <c r="B456" s="46" t="s">
        <v>509</v>
      </c>
      <c r="C456" s="130">
        <v>3299</v>
      </c>
      <c r="D456" s="39">
        <v>3299</v>
      </c>
      <c r="E456" s="39">
        <v>3299</v>
      </c>
      <c r="F456" s="66" t="s">
        <v>663</v>
      </c>
    </row>
    <row r="457" spans="1:6">
      <c r="A457" s="45" t="s">
        <v>73</v>
      </c>
      <c r="B457" s="46" t="s">
        <v>512</v>
      </c>
      <c r="C457" s="130">
        <v>10999</v>
      </c>
      <c r="D457" s="39">
        <v>10999</v>
      </c>
      <c r="E457" s="39">
        <v>10999</v>
      </c>
      <c r="F457" s="66" t="s">
        <v>663</v>
      </c>
    </row>
    <row r="458" spans="1:6">
      <c r="A458" s="45" t="s">
        <v>74</v>
      </c>
      <c r="B458" s="46" t="s">
        <v>510</v>
      </c>
      <c r="C458" s="130">
        <v>25989</v>
      </c>
      <c r="D458" s="39">
        <v>25989</v>
      </c>
      <c r="E458" s="39">
        <v>25989</v>
      </c>
      <c r="F458" s="66" t="s">
        <v>663</v>
      </c>
    </row>
    <row r="459" spans="1:6">
      <c r="A459" s="45" t="s">
        <v>338</v>
      </c>
      <c r="B459" s="46" t="s">
        <v>511</v>
      </c>
      <c r="C459" s="130">
        <v>8499</v>
      </c>
      <c r="D459" s="39">
        <v>8499</v>
      </c>
      <c r="E459" s="39">
        <v>8499</v>
      </c>
      <c r="F459" s="66" t="s">
        <v>663</v>
      </c>
    </row>
    <row r="460" spans="1:6">
      <c r="A460" s="45" t="s">
        <v>67</v>
      </c>
      <c r="B460" s="46" t="s">
        <v>513</v>
      </c>
      <c r="C460" s="130">
        <v>11499</v>
      </c>
      <c r="D460" s="39">
        <v>11499</v>
      </c>
      <c r="E460" s="39">
        <v>11499</v>
      </c>
      <c r="F460" s="66" t="s">
        <v>663</v>
      </c>
    </row>
    <row r="461" spans="1:6">
      <c r="A461" s="45" t="s">
        <v>67</v>
      </c>
      <c r="B461" s="46" t="s">
        <v>514</v>
      </c>
      <c r="C461" s="130">
        <v>12999</v>
      </c>
      <c r="D461" s="39">
        <v>12999</v>
      </c>
      <c r="E461" s="39">
        <v>12999</v>
      </c>
      <c r="F461" s="66" t="s">
        <v>663</v>
      </c>
    </row>
    <row r="462" spans="1:6">
      <c r="A462" s="45" t="s">
        <v>67</v>
      </c>
      <c r="B462" s="46" t="s">
        <v>515</v>
      </c>
      <c r="C462" s="130">
        <v>15999</v>
      </c>
      <c r="D462" s="39">
        <v>15999</v>
      </c>
      <c r="E462" s="39">
        <v>15999</v>
      </c>
      <c r="F462" s="66" t="s">
        <v>663</v>
      </c>
    </row>
    <row r="463" spans="1:6">
      <c r="A463" s="45" t="s">
        <v>331</v>
      </c>
      <c r="B463" s="46" t="s">
        <v>516</v>
      </c>
      <c r="C463" s="130">
        <v>7199</v>
      </c>
      <c r="D463" s="39">
        <v>7199</v>
      </c>
      <c r="E463" s="39">
        <v>7199</v>
      </c>
      <c r="F463" s="66" t="s">
        <v>663</v>
      </c>
    </row>
    <row r="464" spans="1:6">
      <c r="A464" s="45" t="s">
        <v>74</v>
      </c>
      <c r="B464" s="46" t="s">
        <v>517</v>
      </c>
      <c r="C464" s="130">
        <v>4919</v>
      </c>
      <c r="D464" s="39">
        <v>4919</v>
      </c>
      <c r="E464" s="39">
        <v>4919</v>
      </c>
      <c r="F464" s="66" t="s">
        <v>663</v>
      </c>
    </row>
    <row r="465" spans="1:6">
      <c r="A465" s="45" t="s">
        <v>74</v>
      </c>
      <c r="B465" s="46" t="s">
        <v>518</v>
      </c>
      <c r="C465" s="130">
        <v>6999</v>
      </c>
      <c r="D465" s="39">
        <v>6999</v>
      </c>
      <c r="E465" s="39">
        <v>6999</v>
      </c>
      <c r="F465" s="66" t="s">
        <v>663</v>
      </c>
    </row>
    <row r="466" spans="1:6">
      <c r="A466" s="45" t="s">
        <v>520</v>
      </c>
      <c r="B466" s="46" t="s">
        <v>519</v>
      </c>
      <c r="C466" s="130">
        <v>21999</v>
      </c>
      <c r="D466" s="39">
        <v>21999</v>
      </c>
      <c r="E466" s="39">
        <v>21999</v>
      </c>
      <c r="F466" s="66" t="s">
        <v>663</v>
      </c>
    </row>
    <row r="467" spans="1:6">
      <c r="A467" s="45" t="s">
        <v>331</v>
      </c>
      <c r="B467" s="46" t="s">
        <v>521</v>
      </c>
      <c r="C467" s="130">
        <v>5999</v>
      </c>
      <c r="D467" s="39">
        <v>5999</v>
      </c>
      <c r="E467" s="39">
        <v>5999</v>
      </c>
      <c r="F467" s="66" t="s">
        <v>663</v>
      </c>
    </row>
    <row r="468" spans="1:6">
      <c r="A468" s="45" t="s">
        <v>73</v>
      </c>
      <c r="B468" s="46" t="s">
        <v>522</v>
      </c>
      <c r="C468" s="130">
        <v>8999</v>
      </c>
      <c r="D468" s="39">
        <v>8999</v>
      </c>
      <c r="E468" s="39">
        <v>8999</v>
      </c>
      <c r="F468" s="66" t="s">
        <v>663</v>
      </c>
    </row>
    <row r="469" spans="1:6">
      <c r="A469" s="45" t="s">
        <v>73</v>
      </c>
      <c r="B469" s="46" t="s">
        <v>523</v>
      </c>
      <c r="C469" s="130">
        <v>25999</v>
      </c>
      <c r="D469" s="39">
        <v>25999</v>
      </c>
      <c r="E469" s="39">
        <v>25999</v>
      </c>
      <c r="F469" s="66" t="s">
        <v>663</v>
      </c>
    </row>
    <row r="470" spans="1:6">
      <c r="A470" s="45" t="s">
        <v>385</v>
      </c>
      <c r="B470" s="46" t="s">
        <v>524</v>
      </c>
      <c r="C470" s="130">
        <v>22999</v>
      </c>
      <c r="D470" s="39">
        <v>22999</v>
      </c>
      <c r="E470" s="39">
        <v>22999</v>
      </c>
      <c r="F470" s="66" t="s">
        <v>663</v>
      </c>
    </row>
    <row r="471" spans="1:6">
      <c r="A471" s="45" t="s">
        <v>385</v>
      </c>
      <c r="B471" s="46" t="s">
        <v>529</v>
      </c>
      <c r="C471" s="130">
        <v>3349</v>
      </c>
      <c r="D471" s="39">
        <v>3349</v>
      </c>
      <c r="E471" s="39">
        <v>2919</v>
      </c>
      <c r="F471" s="66">
        <v>44427</v>
      </c>
    </row>
    <row r="472" spans="1:6">
      <c r="A472" s="45" t="s">
        <v>385</v>
      </c>
      <c r="B472" s="46" t="s">
        <v>525</v>
      </c>
      <c r="C472" s="130">
        <v>9999</v>
      </c>
      <c r="D472" s="39">
        <v>9999</v>
      </c>
      <c r="E472" s="39">
        <v>9999</v>
      </c>
      <c r="F472" s="66" t="s">
        <v>663</v>
      </c>
    </row>
    <row r="473" spans="1:6">
      <c r="A473" s="45" t="s">
        <v>338</v>
      </c>
      <c r="B473" s="46" t="s">
        <v>527</v>
      </c>
      <c r="C473" s="130">
        <v>18999</v>
      </c>
      <c r="D473" s="39">
        <v>18999</v>
      </c>
      <c r="E473" s="39">
        <v>18999</v>
      </c>
      <c r="F473" s="66" t="s">
        <v>663</v>
      </c>
    </row>
    <row r="474" spans="1:6">
      <c r="A474" s="45" t="s">
        <v>385</v>
      </c>
      <c r="B474" s="46" t="s">
        <v>528</v>
      </c>
      <c r="C474" s="130">
        <v>3999</v>
      </c>
      <c r="D474" s="39">
        <v>3999</v>
      </c>
      <c r="E474" s="39">
        <v>3999</v>
      </c>
      <c r="F474" s="66" t="s">
        <v>663</v>
      </c>
    </row>
    <row r="475" spans="1:6">
      <c r="A475" s="45" t="s">
        <v>496</v>
      </c>
      <c r="B475" s="46" t="s">
        <v>526</v>
      </c>
      <c r="C475" s="130">
        <v>8299</v>
      </c>
      <c r="D475" s="39">
        <v>8299</v>
      </c>
      <c r="E475" s="39">
        <v>8299</v>
      </c>
      <c r="F475" s="66" t="s">
        <v>663</v>
      </c>
    </row>
    <row r="476" spans="1:6">
      <c r="A476" s="45" t="s">
        <v>385</v>
      </c>
      <c r="B476" s="46" t="s">
        <v>530</v>
      </c>
      <c r="C476" s="130">
        <v>17999</v>
      </c>
      <c r="D476" s="39">
        <v>17999</v>
      </c>
      <c r="E476" s="39">
        <v>17999</v>
      </c>
      <c r="F476" s="66" t="s">
        <v>663</v>
      </c>
    </row>
    <row r="477" spans="1:6">
      <c r="A477" s="45" t="s">
        <v>336</v>
      </c>
      <c r="B477" s="46" t="s">
        <v>531</v>
      </c>
      <c r="C477" s="130">
        <v>27999</v>
      </c>
      <c r="D477" s="39">
        <v>27999</v>
      </c>
      <c r="E477" s="39">
        <v>27999</v>
      </c>
      <c r="F477" s="66" t="s">
        <v>663</v>
      </c>
    </row>
    <row r="478" spans="1:6">
      <c r="A478" s="45" t="s">
        <v>385</v>
      </c>
      <c r="B478" s="46" t="s">
        <v>532</v>
      </c>
      <c r="C478" s="130">
        <v>5999</v>
      </c>
      <c r="D478" s="39">
        <v>5999</v>
      </c>
      <c r="E478" s="39">
        <v>5999</v>
      </c>
      <c r="F478" s="66" t="s">
        <v>663</v>
      </c>
    </row>
    <row r="479" spans="1:6">
      <c r="A479" s="45" t="s">
        <v>73</v>
      </c>
      <c r="B479" s="46" t="s">
        <v>533</v>
      </c>
      <c r="C479" s="130">
        <v>18499</v>
      </c>
      <c r="D479" s="39">
        <v>18499</v>
      </c>
      <c r="E479" s="39">
        <v>18499</v>
      </c>
      <c r="F479" s="66" t="s">
        <v>663</v>
      </c>
    </row>
    <row r="480" spans="1:6">
      <c r="A480" s="45" t="s">
        <v>338</v>
      </c>
      <c r="B480" s="46" t="s">
        <v>534</v>
      </c>
      <c r="C480" s="130">
        <v>5699</v>
      </c>
      <c r="D480" s="39">
        <v>5699</v>
      </c>
      <c r="E480" s="39">
        <v>5699</v>
      </c>
      <c r="F480" s="66" t="s">
        <v>663</v>
      </c>
    </row>
    <row r="481" spans="1:6">
      <c r="A481" s="45" t="s">
        <v>338</v>
      </c>
      <c r="B481" s="46" t="s">
        <v>535</v>
      </c>
      <c r="C481" s="130">
        <v>5999</v>
      </c>
      <c r="D481" s="39">
        <v>5999</v>
      </c>
      <c r="E481" s="39">
        <v>5999</v>
      </c>
      <c r="F481" s="66" t="s">
        <v>663</v>
      </c>
    </row>
    <row r="482" spans="1:6">
      <c r="A482" s="45" t="s">
        <v>73</v>
      </c>
      <c r="B482" s="46" t="s">
        <v>536</v>
      </c>
      <c r="C482" s="130">
        <v>6499</v>
      </c>
      <c r="D482" s="39">
        <v>6499</v>
      </c>
      <c r="E482" s="39">
        <v>6499</v>
      </c>
      <c r="F482" s="66" t="s">
        <v>663</v>
      </c>
    </row>
    <row r="483" spans="1:6">
      <c r="A483" s="45" t="s">
        <v>74</v>
      </c>
      <c r="B483" s="46" t="s">
        <v>537</v>
      </c>
      <c r="C483" s="130">
        <v>7499</v>
      </c>
      <c r="D483" s="39">
        <v>7499</v>
      </c>
      <c r="E483" s="39">
        <v>7499</v>
      </c>
      <c r="F483" s="66" t="s">
        <v>663</v>
      </c>
    </row>
    <row r="484" spans="1:6">
      <c r="A484" s="45" t="s">
        <v>74</v>
      </c>
      <c r="B484" s="46" t="s">
        <v>538</v>
      </c>
      <c r="C484" s="130">
        <v>7999</v>
      </c>
      <c r="D484" s="39">
        <v>7999</v>
      </c>
      <c r="E484" s="39">
        <v>7999</v>
      </c>
      <c r="F484" s="66" t="s">
        <v>663</v>
      </c>
    </row>
    <row r="485" spans="1:6">
      <c r="A485" s="45" t="s">
        <v>74</v>
      </c>
      <c r="B485" s="46" t="s">
        <v>539</v>
      </c>
      <c r="C485" s="130">
        <v>11999</v>
      </c>
      <c r="D485" s="39">
        <v>11999</v>
      </c>
      <c r="E485" s="39">
        <v>11999</v>
      </c>
      <c r="F485" s="66" t="s">
        <v>663</v>
      </c>
    </row>
    <row r="486" spans="1:6">
      <c r="A486" s="45" t="s">
        <v>74</v>
      </c>
      <c r="B486" s="46" t="s">
        <v>540</v>
      </c>
      <c r="C486" s="130">
        <v>7699</v>
      </c>
      <c r="D486" s="39">
        <v>7699</v>
      </c>
      <c r="E486" s="39">
        <v>7599</v>
      </c>
      <c r="F486" s="66">
        <v>44562</v>
      </c>
    </row>
    <row r="487" spans="1:6">
      <c r="A487" s="45" t="s">
        <v>73</v>
      </c>
      <c r="B487" s="46" t="s">
        <v>541</v>
      </c>
      <c r="C487" s="130">
        <v>3999</v>
      </c>
      <c r="D487" s="39">
        <v>3999</v>
      </c>
      <c r="E487" s="39">
        <v>3999</v>
      </c>
      <c r="F487" s="66" t="s">
        <v>663</v>
      </c>
    </row>
    <row r="488" spans="1:6">
      <c r="A488" s="45" t="s">
        <v>73</v>
      </c>
      <c r="B488" s="46" t="s">
        <v>542</v>
      </c>
      <c r="C488" s="130">
        <v>5499</v>
      </c>
      <c r="D488" s="39">
        <v>5499</v>
      </c>
      <c r="E488" s="39">
        <v>5499</v>
      </c>
      <c r="F488" s="66" t="s">
        <v>663</v>
      </c>
    </row>
    <row r="489" spans="1:6">
      <c r="A489" s="45" t="s">
        <v>393</v>
      </c>
      <c r="B489" s="46" t="s">
        <v>543</v>
      </c>
      <c r="C489" s="130">
        <v>8999</v>
      </c>
      <c r="D489" s="39">
        <v>8999</v>
      </c>
      <c r="E489" s="39">
        <v>8999</v>
      </c>
      <c r="F489" s="66" t="s">
        <v>663</v>
      </c>
    </row>
    <row r="490" spans="1:6">
      <c r="A490" s="45" t="s">
        <v>74</v>
      </c>
      <c r="B490" s="46" t="s">
        <v>544</v>
      </c>
      <c r="C490" s="130">
        <v>4139</v>
      </c>
      <c r="D490" s="39">
        <v>4139</v>
      </c>
      <c r="E490" s="39">
        <v>4139</v>
      </c>
      <c r="F490" s="66" t="s">
        <v>663</v>
      </c>
    </row>
    <row r="491" spans="1:6">
      <c r="A491" s="45" t="s">
        <v>336</v>
      </c>
      <c r="B491" s="46" t="s">
        <v>545</v>
      </c>
      <c r="C491" s="130">
        <v>3499</v>
      </c>
      <c r="D491" s="39">
        <v>3499</v>
      </c>
      <c r="E491" s="39">
        <v>3499</v>
      </c>
      <c r="F491" s="66" t="s">
        <v>663</v>
      </c>
    </row>
    <row r="492" spans="1:6">
      <c r="A492" s="45" t="s">
        <v>547</v>
      </c>
      <c r="B492" s="46" t="s">
        <v>548</v>
      </c>
      <c r="C492" s="130">
        <v>2199</v>
      </c>
      <c r="D492" s="39">
        <v>2199</v>
      </c>
      <c r="E492" s="39">
        <v>2199</v>
      </c>
      <c r="F492" s="66" t="s">
        <v>663</v>
      </c>
    </row>
    <row r="493" spans="1:6">
      <c r="A493" s="45" t="s">
        <v>385</v>
      </c>
      <c r="B493" s="46" t="s">
        <v>549</v>
      </c>
      <c r="C493" s="130">
        <v>3999</v>
      </c>
      <c r="D493" s="39">
        <v>3999</v>
      </c>
      <c r="E493" s="39">
        <v>3999</v>
      </c>
      <c r="F493" s="66" t="s">
        <v>663</v>
      </c>
    </row>
    <row r="494" spans="1:6">
      <c r="A494" s="45" t="s">
        <v>385</v>
      </c>
      <c r="B494" s="46" t="s">
        <v>550</v>
      </c>
      <c r="C494" s="130">
        <v>4889</v>
      </c>
      <c r="D494" s="39">
        <v>4889</v>
      </c>
      <c r="E494" s="39">
        <v>4889</v>
      </c>
      <c r="F494" s="66" t="s">
        <v>663</v>
      </c>
    </row>
    <row r="495" spans="1:6">
      <c r="A495" s="45" t="s">
        <v>496</v>
      </c>
      <c r="B495" s="46" t="s">
        <v>552</v>
      </c>
      <c r="C495" s="130">
        <v>13999</v>
      </c>
      <c r="D495" s="39">
        <v>13999</v>
      </c>
      <c r="E495" s="39">
        <v>13999</v>
      </c>
      <c r="F495" s="66" t="s">
        <v>663</v>
      </c>
    </row>
    <row r="496" spans="1:6">
      <c r="A496" s="45" t="s">
        <v>496</v>
      </c>
      <c r="B496" s="46" t="s">
        <v>553</v>
      </c>
      <c r="C496" s="130">
        <v>16989</v>
      </c>
      <c r="D496" s="39">
        <v>16989</v>
      </c>
      <c r="E496" s="39">
        <v>16989</v>
      </c>
      <c r="F496" s="66" t="s">
        <v>663</v>
      </c>
    </row>
    <row r="497" spans="1:8">
      <c r="A497" s="45" t="s">
        <v>338</v>
      </c>
      <c r="B497" s="46" t="s">
        <v>555</v>
      </c>
      <c r="C497" s="130">
        <v>1999</v>
      </c>
      <c r="D497" s="39">
        <v>1999</v>
      </c>
      <c r="E497" s="39">
        <v>1999</v>
      </c>
      <c r="F497" s="66" t="s">
        <v>663</v>
      </c>
    </row>
    <row r="498" spans="1:8">
      <c r="A498" s="45" t="s">
        <v>557</v>
      </c>
      <c r="B498" s="46" t="s">
        <v>556</v>
      </c>
      <c r="C498" s="130">
        <v>5099</v>
      </c>
      <c r="D498" s="39">
        <v>5099</v>
      </c>
      <c r="E498" s="39">
        <v>5099</v>
      </c>
      <c r="F498" s="66" t="s">
        <v>663</v>
      </c>
    </row>
    <row r="499" spans="1:8">
      <c r="A499" s="45" t="s">
        <v>271</v>
      </c>
      <c r="B499" s="46" t="s">
        <v>558</v>
      </c>
      <c r="C499" s="130">
        <v>4299</v>
      </c>
      <c r="D499" s="39">
        <v>4299</v>
      </c>
      <c r="E499" s="39">
        <v>4299</v>
      </c>
      <c r="F499" s="66" t="s">
        <v>663</v>
      </c>
    </row>
    <row r="500" spans="1:8">
      <c r="A500" s="45" t="s">
        <v>336</v>
      </c>
      <c r="B500" s="46" t="s">
        <v>560</v>
      </c>
      <c r="C500" s="130">
        <v>24999</v>
      </c>
      <c r="D500" s="39">
        <v>24999</v>
      </c>
      <c r="E500" s="39">
        <v>24999</v>
      </c>
      <c r="F500" s="66" t="s">
        <v>663</v>
      </c>
    </row>
    <row r="501" spans="1:8">
      <c r="A501" s="45" t="s">
        <v>336</v>
      </c>
      <c r="B501" s="46" t="s">
        <v>562</v>
      </c>
      <c r="C501" s="130">
        <v>27499</v>
      </c>
      <c r="D501" s="39">
        <v>27499</v>
      </c>
      <c r="E501" s="39">
        <v>27499</v>
      </c>
      <c r="F501" s="66" t="s">
        <v>663</v>
      </c>
    </row>
    <row r="502" spans="1:8">
      <c r="A502" s="45" t="s">
        <v>336</v>
      </c>
      <c r="B502" s="46" t="s">
        <v>561</v>
      </c>
      <c r="C502" s="130">
        <v>44999</v>
      </c>
      <c r="D502" s="39">
        <v>44999</v>
      </c>
      <c r="E502" s="39">
        <v>44999</v>
      </c>
      <c r="F502" s="66" t="s">
        <v>663</v>
      </c>
    </row>
    <row r="503" spans="1:8">
      <c r="A503" s="45" t="s">
        <v>336</v>
      </c>
      <c r="B503" s="46" t="s">
        <v>563</v>
      </c>
      <c r="C503" s="130">
        <v>48499</v>
      </c>
      <c r="D503" s="39">
        <v>48499</v>
      </c>
      <c r="E503" s="39">
        <v>48499</v>
      </c>
      <c r="F503" s="66" t="s">
        <v>663</v>
      </c>
    </row>
    <row r="504" spans="1:8">
      <c r="A504" s="45" t="s">
        <v>338</v>
      </c>
      <c r="B504" s="46" t="s">
        <v>130</v>
      </c>
      <c r="C504" s="130">
        <v>5649</v>
      </c>
      <c r="D504" s="39">
        <v>5649</v>
      </c>
      <c r="E504" s="39">
        <v>5649</v>
      </c>
      <c r="F504" s="66" t="s">
        <v>663</v>
      </c>
    </row>
    <row r="505" spans="1:8">
      <c r="A505" s="45" t="s">
        <v>358</v>
      </c>
      <c r="B505" s="46" t="s">
        <v>564</v>
      </c>
      <c r="C505" s="39">
        <v>20999</v>
      </c>
      <c r="D505" s="39">
        <v>16999</v>
      </c>
      <c r="E505" s="39">
        <v>14999</v>
      </c>
      <c r="F505" s="66">
        <v>45837</v>
      </c>
      <c r="H505" t="s">
        <v>1225</v>
      </c>
    </row>
    <row r="506" spans="1:8">
      <c r="A506" s="45" t="s">
        <v>358</v>
      </c>
      <c r="B506" s="46" t="s">
        <v>565</v>
      </c>
      <c r="C506" s="130">
        <v>23999</v>
      </c>
      <c r="D506" s="39">
        <v>23999</v>
      </c>
      <c r="E506" s="39">
        <v>17499</v>
      </c>
      <c r="F506" s="66">
        <v>45572</v>
      </c>
    </row>
    <row r="507" spans="1:8">
      <c r="A507" s="45" t="s">
        <v>358</v>
      </c>
      <c r="B507" s="46" t="s">
        <v>566</v>
      </c>
      <c r="C507" s="130">
        <v>25999</v>
      </c>
      <c r="D507" s="39">
        <v>25999</v>
      </c>
      <c r="E507" s="39">
        <v>25999</v>
      </c>
      <c r="F507" s="66" t="s">
        <v>663</v>
      </c>
    </row>
    <row r="508" spans="1:8">
      <c r="A508" s="45" t="s">
        <v>358</v>
      </c>
      <c r="B508" s="46" t="s">
        <v>567</v>
      </c>
      <c r="C508" s="130">
        <v>28999</v>
      </c>
      <c r="D508" s="39">
        <v>28999</v>
      </c>
      <c r="E508" s="39">
        <v>28999</v>
      </c>
      <c r="F508" s="66" t="s">
        <v>663</v>
      </c>
    </row>
    <row r="509" spans="1:8">
      <c r="A509" s="45" t="s">
        <v>358</v>
      </c>
      <c r="B509" s="46" t="s">
        <v>568</v>
      </c>
      <c r="C509" s="130">
        <v>28999</v>
      </c>
      <c r="D509" s="39">
        <v>28999</v>
      </c>
      <c r="E509" s="39">
        <v>28999</v>
      </c>
      <c r="F509" s="66" t="s">
        <v>663</v>
      </c>
    </row>
    <row r="510" spans="1:8">
      <c r="A510" s="45" t="s">
        <v>358</v>
      </c>
      <c r="B510" s="46" t="s">
        <v>569</v>
      </c>
      <c r="C510" s="130">
        <v>31999</v>
      </c>
      <c r="D510" s="39">
        <v>31999</v>
      </c>
      <c r="E510" s="39">
        <v>31999</v>
      </c>
      <c r="F510" s="66" t="s">
        <v>663</v>
      </c>
    </row>
    <row r="511" spans="1:8">
      <c r="A511" s="45" t="s">
        <v>393</v>
      </c>
      <c r="B511" s="46" t="s">
        <v>570</v>
      </c>
      <c r="C511" s="130">
        <v>5999</v>
      </c>
      <c r="D511" s="39">
        <v>5999</v>
      </c>
      <c r="E511" s="39">
        <v>5499</v>
      </c>
      <c r="F511" s="66">
        <v>45099</v>
      </c>
    </row>
    <row r="512" spans="1:8">
      <c r="A512" s="45" t="s">
        <v>393</v>
      </c>
      <c r="B512" s="46" t="s">
        <v>571</v>
      </c>
      <c r="C512" s="130">
        <v>6999</v>
      </c>
      <c r="D512" s="39">
        <v>6999</v>
      </c>
      <c r="E512" s="39">
        <v>6499</v>
      </c>
      <c r="F512" s="66">
        <v>45099</v>
      </c>
    </row>
    <row r="513" spans="1:6">
      <c r="A513" s="45" t="s">
        <v>358</v>
      </c>
      <c r="B513" s="46" t="s">
        <v>572</v>
      </c>
      <c r="C513" s="130">
        <v>28999</v>
      </c>
      <c r="D513" s="39">
        <v>28999</v>
      </c>
      <c r="E513" s="39">
        <v>28999</v>
      </c>
      <c r="F513" s="66" t="s">
        <v>663</v>
      </c>
    </row>
    <row r="514" spans="1:6">
      <c r="A514" s="45" t="s">
        <v>358</v>
      </c>
      <c r="B514" s="46" t="s">
        <v>573</v>
      </c>
      <c r="C514" s="130">
        <v>23999</v>
      </c>
      <c r="D514" s="39">
        <v>23999</v>
      </c>
      <c r="E514" s="39">
        <v>17499</v>
      </c>
      <c r="F514" s="66">
        <v>45572</v>
      </c>
    </row>
    <row r="515" spans="1:6">
      <c r="A515" s="45" t="s">
        <v>358</v>
      </c>
      <c r="B515" s="46" t="s">
        <v>574</v>
      </c>
      <c r="C515" s="130">
        <v>26999</v>
      </c>
      <c r="D515" s="39">
        <v>26999</v>
      </c>
      <c r="E515" s="39">
        <v>19999</v>
      </c>
      <c r="F515" s="66">
        <v>45572</v>
      </c>
    </row>
    <row r="516" spans="1:6">
      <c r="A516" s="45" t="s">
        <v>358</v>
      </c>
      <c r="B516" s="46" t="s">
        <v>575</v>
      </c>
      <c r="C516" s="130">
        <v>31999</v>
      </c>
      <c r="D516" s="39">
        <v>31999</v>
      </c>
      <c r="E516" s="39">
        <v>31999</v>
      </c>
      <c r="F516" s="66" t="s">
        <v>663</v>
      </c>
    </row>
    <row r="517" spans="1:6">
      <c r="A517" s="45" t="s">
        <v>358</v>
      </c>
      <c r="B517" s="46" t="s">
        <v>576</v>
      </c>
      <c r="C517" s="130">
        <v>33999</v>
      </c>
      <c r="D517" s="39">
        <v>33999</v>
      </c>
      <c r="E517" s="39">
        <v>33999</v>
      </c>
      <c r="F517" s="66" t="s">
        <v>663</v>
      </c>
    </row>
    <row r="518" spans="1:6">
      <c r="A518" s="45" t="s">
        <v>358</v>
      </c>
      <c r="B518" s="46" t="s">
        <v>577</v>
      </c>
      <c r="C518" s="130">
        <v>38999</v>
      </c>
      <c r="D518" s="39">
        <v>38999</v>
      </c>
      <c r="E518" s="39">
        <v>38999</v>
      </c>
      <c r="F518" s="66" t="s">
        <v>663</v>
      </c>
    </row>
    <row r="519" spans="1:6">
      <c r="A519" s="45" t="s">
        <v>358</v>
      </c>
      <c r="B519" s="46" t="s">
        <v>578</v>
      </c>
      <c r="C519" s="130">
        <v>36999</v>
      </c>
      <c r="D519" s="39">
        <v>36999</v>
      </c>
      <c r="E519" s="39">
        <v>36999</v>
      </c>
      <c r="F519" s="66" t="s">
        <v>663</v>
      </c>
    </row>
    <row r="520" spans="1:6">
      <c r="A520" s="45" t="s">
        <v>358</v>
      </c>
      <c r="B520" s="46" t="s">
        <v>579</v>
      </c>
      <c r="C520" s="130">
        <v>41999</v>
      </c>
      <c r="D520" s="39">
        <v>41999</v>
      </c>
      <c r="E520" s="39">
        <v>41999</v>
      </c>
      <c r="F520" s="66" t="s">
        <v>663</v>
      </c>
    </row>
    <row r="521" spans="1:6">
      <c r="A521" s="45" t="s">
        <v>355</v>
      </c>
      <c r="B521" s="46" t="s">
        <v>599</v>
      </c>
      <c r="C521" s="130">
        <v>1899</v>
      </c>
      <c r="D521" s="39">
        <v>1899</v>
      </c>
      <c r="E521" s="39">
        <v>1717.460388</v>
      </c>
      <c r="F521" s="66">
        <v>44522</v>
      </c>
    </row>
    <row r="522" spans="1:6">
      <c r="A522" s="45" t="s">
        <v>355</v>
      </c>
      <c r="B522" s="46" t="s">
        <v>600</v>
      </c>
      <c r="C522" s="130">
        <v>3199</v>
      </c>
      <c r="D522" s="39">
        <v>3199</v>
      </c>
      <c r="E522" s="39">
        <v>2880</v>
      </c>
      <c r="F522" s="66">
        <v>44307</v>
      </c>
    </row>
    <row r="523" spans="1:6">
      <c r="A523" s="45" t="s">
        <v>355</v>
      </c>
      <c r="B523" s="46" t="s">
        <v>601</v>
      </c>
      <c r="C523" s="130">
        <v>3649</v>
      </c>
      <c r="D523" s="39">
        <v>3649</v>
      </c>
      <c r="E523" s="39">
        <v>3649</v>
      </c>
      <c r="F523" s="66" t="s">
        <v>663</v>
      </c>
    </row>
    <row r="524" spans="1:6">
      <c r="A524" s="45" t="s">
        <v>358</v>
      </c>
      <c r="B524" s="46" t="s">
        <v>581</v>
      </c>
      <c r="C524" s="130">
        <v>10999</v>
      </c>
      <c r="D524" s="39">
        <v>10999</v>
      </c>
      <c r="E524" s="39">
        <v>10999</v>
      </c>
      <c r="F524" s="66" t="s">
        <v>663</v>
      </c>
    </row>
    <row r="525" spans="1:6">
      <c r="A525" s="45" t="s">
        <v>496</v>
      </c>
      <c r="B525" s="46" t="s">
        <v>598</v>
      </c>
      <c r="C525" s="130">
        <v>13999</v>
      </c>
      <c r="D525" s="39">
        <v>13999</v>
      </c>
      <c r="E525" s="39">
        <v>13999</v>
      </c>
      <c r="F525" s="66" t="s">
        <v>663</v>
      </c>
    </row>
    <row r="526" spans="1:6">
      <c r="A526" s="45" t="s">
        <v>496</v>
      </c>
      <c r="B526" s="46" t="s">
        <v>609</v>
      </c>
      <c r="C526" s="130">
        <v>5189</v>
      </c>
      <c r="D526" s="39">
        <v>5189</v>
      </c>
      <c r="E526" s="39">
        <v>5189</v>
      </c>
      <c r="F526" s="66" t="s">
        <v>663</v>
      </c>
    </row>
    <row r="527" spans="1:6">
      <c r="A527" s="45" t="s">
        <v>338</v>
      </c>
      <c r="B527" s="46" t="s">
        <v>582</v>
      </c>
      <c r="C527" s="130">
        <v>8499</v>
      </c>
      <c r="D527" s="39">
        <v>8499</v>
      </c>
      <c r="E527" s="39">
        <v>8499</v>
      </c>
      <c r="F527" s="66" t="s">
        <v>663</v>
      </c>
    </row>
    <row r="528" spans="1:6">
      <c r="A528" s="45" t="s">
        <v>338</v>
      </c>
      <c r="B528" s="46" t="s">
        <v>583</v>
      </c>
      <c r="C528" s="130">
        <v>12999</v>
      </c>
      <c r="D528" s="39">
        <v>12999</v>
      </c>
      <c r="E528" s="39">
        <v>12999</v>
      </c>
      <c r="F528" s="66" t="s">
        <v>663</v>
      </c>
    </row>
    <row r="529" spans="1:6">
      <c r="A529" s="45" t="s">
        <v>338</v>
      </c>
      <c r="B529" s="46" t="s">
        <v>584</v>
      </c>
      <c r="C529" s="130">
        <v>8499</v>
      </c>
      <c r="D529" s="39">
        <v>8499</v>
      </c>
      <c r="E529" s="39">
        <v>8499</v>
      </c>
      <c r="F529" s="66" t="s">
        <v>663</v>
      </c>
    </row>
    <row r="530" spans="1:6">
      <c r="A530" s="45" t="s">
        <v>338</v>
      </c>
      <c r="B530" s="46" t="s">
        <v>585</v>
      </c>
      <c r="C530" s="130">
        <v>5699</v>
      </c>
      <c r="D530" s="39">
        <v>5699</v>
      </c>
      <c r="E530" s="39">
        <v>5699</v>
      </c>
      <c r="F530" s="66" t="s">
        <v>663</v>
      </c>
    </row>
    <row r="531" spans="1:6">
      <c r="A531" s="45" t="s">
        <v>338</v>
      </c>
      <c r="B531" s="46" t="s">
        <v>586</v>
      </c>
      <c r="C531" s="130">
        <v>6999</v>
      </c>
      <c r="D531" s="39">
        <v>6999</v>
      </c>
      <c r="E531" s="39">
        <v>6999</v>
      </c>
      <c r="F531" s="66" t="s">
        <v>663</v>
      </c>
    </row>
    <row r="532" spans="1:6">
      <c r="A532" s="45" t="s">
        <v>338</v>
      </c>
      <c r="B532" s="46" t="s">
        <v>587</v>
      </c>
      <c r="C532" s="130">
        <v>7499</v>
      </c>
      <c r="D532" s="39">
        <v>7499</v>
      </c>
      <c r="E532" s="39">
        <v>7499</v>
      </c>
      <c r="F532" s="66" t="s">
        <v>663</v>
      </c>
    </row>
    <row r="533" spans="1:6">
      <c r="A533" s="45" t="s">
        <v>338</v>
      </c>
      <c r="B533" s="46" t="s">
        <v>527</v>
      </c>
      <c r="C533" s="130">
        <v>18999</v>
      </c>
      <c r="D533" s="39">
        <v>18999</v>
      </c>
      <c r="E533" s="39">
        <v>18999</v>
      </c>
      <c r="F533" s="66" t="s">
        <v>663</v>
      </c>
    </row>
    <row r="534" spans="1:6">
      <c r="A534" s="45" t="s">
        <v>338</v>
      </c>
      <c r="B534" s="46" t="s">
        <v>588</v>
      </c>
      <c r="C534" s="130">
        <v>26999</v>
      </c>
      <c r="D534" s="39">
        <v>26999</v>
      </c>
      <c r="E534" s="39">
        <v>26999</v>
      </c>
      <c r="F534" s="66" t="s">
        <v>663</v>
      </c>
    </row>
    <row r="535" spans="1:6">
      <c r="A535" s="45" t="s">
        <v>338</v>
      </c>
      <c r="B535" s="46" t="s">
        <v>589</v>
      </c>
      <c r="C535" s="130">
        <v>26999</v>
      </c>
      <c r="D535" s="39">
        <v>26999</v>
      </c>
      <c r="E535" s="39">
        <v>26999</v>
      </c>
      <c r="F535" s="66" t="s">
        <v>663</v>
      </c>
    </row>
    <row r="536" spans="1:6">
      <c r="A536" s="45" t="s">
        <v>338</v>
      </c>
      <c r="B536" s="46" t="s">
        <v>590</v>
      </c>
      <c r="C536" s="130">
        <v>11999</v>
      </c>
      <c r="D536" s="39">
        <v>11999</v>
      </c>
      <c r="E536" s="39">
        <v>11999</v>
      </c>
      <c r="F536" s="66" t="s">
        <v>663</v>
      </c>
    </row>
    <row r="537" spans="1:6">
      <c r="A537" s="45" t="s">
        <v>338</v>
      </c>
      <c r="B537" s="46" t="s">
        <v>591</v>
      </c>
      <c r="C537" s="130">
        <v>4499</v>
      </c>
      <c r="D537" s="39">
        <v>4499</v>
      </c>
      <c r="E537" s="39">
        <v>4499</v>
      </c>
      <c r="F537" s="66" t="s">
        <v>663</v>
      </c>
    </row>
    <row r="538" spans="1:6">
      <c r="A538" s="45" t="s">
        <v>338</v>
      </c>
      <c r="B538" s="46" t="s">
        <v>592</v>
      </c>
      <c r="C538" s="130">
        <v>3789</v>
      </c>
      <c r="D538" s="39">
        <v>3789</v>
      </c>
      <c r="E538" s="39">
        <v>3789</v>
      </c>
      <c r="F538" s="66" t="s">
        <v>663</v>
      </c>
    </row>
    <row r="539" spans="1:6">
      <c r="A539" s="45" t="s">
        <v>338</v>
      </c>
      <c r="B539" s="46" t="s">
        <v>593</v>
      </c>
      <c r="C539" s="130">
        <v>5799</v>
      </c>
      <c r="D539" s="39">
        <v>5799</v>
      </c>
      <c r="E539" s="39">
        <v>5799</v>
      </c>
      <c r="F539" s="66" t="s">
        <v>663</v>
      </c>
    </row>
    <row r="540" spans="1:6">
      <c r="A540" s="45" t="s">
        <v>338</v>
      </c>
      <c r="B540" s="46" t="s">
        <v>594</v>
      </c>
      <c r="C540" s="130">
        <v>5499</v>
      </c>
      <c r="D540" s="39">
        <v>5499</v>
      </c>
      <c r="E540" s="39">
        <v>5499</v>
      </c>
      <c r="F540" s="66" t="s">
        <v>663</v>
      </c>
    </row>
    <row r="541" spans="1:6">
      <c r="A541" s="45" t="s">
        <v>338</v>
      </c>
      <c r="B541" s="46" t="s">
        <v>595</v>
      </c>
      <c r="C541" s="130">
        <v>5799</v>
      </c>
      <c r="D541" s="39">
        <v>5799</v>
      </c>
      <c r="E541" s="39">
        <v>5799</v>
      </c>
      <c r="F541" s="66" t="s">
        <v>663</v>
      </c>
    </row>
    <row r="542" spans="1:6">
      <c r="A542" s="45" t="s">
        <v>338</v>
      </c>
      <c r="B542" s="46" t="s">
        <v>596</v>
      </c>
      <c r="C542" s="130">
        <v>8199</v>
      </c>
      <c r="D542" s="39">
        <v>8199</v>
      </c>
      <c r="E542" s="39">
        <v>7499</v>
      </c>
      <c r="F542" s="66">
        <v>44371</v>
      </c>
    </row>
    <row r="543" spans="1:6">
      <c r="A543" s="45" t="s">
        <v>338</v>
      </c>
      <c r="B543" s="46" t="s">
        <v>597</v>
      </c>
      <c r="C543" s="130">
        <v>10198</v>
      </c>
      <c r="D543" s="39">
        <v>10198</v>
      </c>
      <c r="E543" s="39">
        <v>10198</v>
      </c>
      <c r="F543" s="66" t="s">
        <v>663</v>
      </c>
    </row>
    <row r="544" spans="1:6">
      <c r="A544" s="45" t="s">
        <v>363</v>
      </c>
      <c r="B544" s="46" t="s">
        <v>608</v>
      </c>
      <c r="C544" s="130">
        <v>3599</v>
      </c>
      <c r="D544" s="39">
        <v>3599</v>
      </c>
      <c r="E544" s="39">
        <v>3599</v>
      </c>
      <c r="F544" s="66" t="s">
        <v>663</v>
      </c>
    </row>
    <row r="545" spans="1:6">
      <c r="A545" s="45" t="s">
        <v>393</v>
      </c>
      <c r="B545" s="46" t="s">
        <v>602</v>
      </c>
      <c r="C545" s="130">
        <v>8999</v>
      </c>
      <c r="D545" s="39">
        <v>8999</v>
      </c>
      <c r="E545" s="39">
        <v>8999</v>
      </c>
      <c r="F545" s="66" t="s">
        <v>663</v>
      </c>
    </row>
    <row r="546" spans="1:6">
      <c r="A546" s="45" t="s">
        <v>336</v>
      </c>
      <c r="B546" s="46" t="s">
        <v>606</v>
      </c>
      <c r="C546" s="130">
        <v>3999</v>
      </c>
      <c r="D546" s="39">
        <v>3999</v>
      </c>
      <c r="E546" s="39">
        <v>3999</v>
      </c>
      <c r="F546" s="66" t="s">
        <v>663</v>
      </c>
    </row>
    <row r="547" spans="1:6">
      <c r="A547" s="45" t="s">
        <v>336</v>
      </c>
      <c r="B547" s="46" t="s">
        <v>607</v>
      </c>
      <c r="C547" s="130">
        <v>3499</v>
      </c>
      <c r="D547" s="39">
        <v>3499</v>
      </c>
      <c r="E547" s="39">
        <v>3499</v>
      </c>
      <c r="F547" s="66" t="s">
        <v>663</v>
      </c>
    </row>
    <row r="548" spans="1:6">
      <c r="A548" s="45" t="s">
        <v>385</v>
      </c>
      <c r="B548" s="46" t="s">
        <v>603</v>
      </c>
      <c r="C548" s="130">
        <v>12999</v>
      </c>
      <c r="D548" s="39">
        <v>12999</v>
      </c>
      <c r="E548" s="39">
        <v>12999</v>
      </c>
      <c r="F548" s="66" t="s">
        <v>663</v>
      </c>
    </row>
    <row r="549" spans="1:6">
      <c r="A549" s="45" t="s">
        <v>385</v>
      </c>
      <c r="B549" s="46" t="s">
        <v>604</v>
      </c>
      <c r="C549" s="130">
        <v>17999</v>
      </c>
      <c r="D549" s="39">
        <v>17999</v>
      </c>
      <c r="E549" s="39">
        <v>17999</v>
      </c>
      <c r="F549" s="66" t="s">
        <v>663</v>
      </c>
    </row>
    <row r="550" spans="1:6">
      <c r="A550" s="45" t="s">
        <v>385</v>
      </c>
      <c r="B550" s="46" t="s">
        <v>605</v>
      </c>
      <c r="C550" s="130">
        <v>7999</v>
      </c>
      <c r="D550" s="39">
        <v>7999</v>
      </c>
      <c r="E550" s="39">
        <v>7999</v>
      </c>
      <c r="F550" s="66" t="s">
        <v>663</v>
      </c>
    </row>
    <row r="551" spans="1:6">
      <c r="A551" s="45" t="s">
        <v>363</v>
      </c>
      <c r="B551" s="46" t="s">
        <v>610</v>
      </c>
      <c r="C551" s="130">
        <v>26999</v>
      </c>
      <c r="D551" s="39">
        <v>26999</v>
      </c>
      <c r="E551" s="39">
        <v>26999</v>
      </c>
      <c r="F551" s="66" t="s">
        <v>663</v>
      </c>
    </row>
    <row r="552" spans="1:6">
      <c r="A552" s="45" t="s">
        <v>363</v>
      </c>
      <c r="B552" s="46" t="s">
        <v>611</v>
      </c>
      <c r="C552" s="130">
        <v>5699</v>
      </c>
      <c r="D552" s="39">
        <v>5699</v>
      </c>
      <c r="E552" s="39">
        <v>5699</v>
      </c>
      <c r="F552" s="66" t="s">
        <v>663</v>
      </c>
    </row>
    <row r="553" spans="1:6">
      <c r="A553" s="94" t="s">
        <v>393</v>
      </c>
      <c r="B553" s="95" t="s">
        <v>612</v>
      </c>
      <c r="C553" s="130">
        <v>4139</v>
      </c>
      <c r="D553" s="96">
        <v>4139</v>
      </c>
      <c r="E553" s="96">
        <v>3999</v>
      </c>
      <c r="F553" s="97">
        <v>45225</v>
      </c>
    </row>
    <row r="554" spans="1:6">
      <c r="A554" s="45" t="s">
        <v>271</v>
      </c>
      <c r="B554" s="46" t="s">
        <v>614</v>
      </c>
      <c r="C554" s="130">
        <v>5299</v>
      </c>
      <c r="D554" s="39">
        <v>5299</v>
      </c>
      <c r="E554" s="39">
        <v>5299</v>
      </c>
      <c r="F554" s="66" t="s">
        <v>663</v>
      </c>
    </row>
    <row r="555" spans="1:6">
      <c r="A555" s="45" t="s">
        <v>615</v>
      </c>
      <c r="B555" s="46" t="s">
        <v>616</v>
      </c>
      <c r="C555" s="130">
        <v>5999</v>
      </c>
      <c r="D555" s="39">
        <v>5999</v>
      </c>
      <c r="E555" s="39">
        <v>5999</v>
      </c>
      <c r="F555" s="66" t="s">
        <v>663</v>
      </c>
    </row>
    <row r="556" spans="1:6">
      <c r="A556" s="45" t="s">
        <v>271</v>
      </c>
      <c r="B556" s="46" t="s">
        <v>613</v>
      </c>
      <c r="C556" s="130">
        <v>3499</v>
      </c>
      <c r="D556" s="39">
        <v>3499</v>
      </c>
      <c r="E556" s="39">
        <v>3499</v>
      </c>
      <c r="F556" s="66" t="s">
        <v>663</v>
      </c>
    </row>
    <row r="557" spans="1:6">
      <c r="A557" s="45" t="s">
        <v>336</v>
      </c>
      <c r="B557" s="46" t="s">
        <v>617</v>
      </c>
      <c r="C557" s="130">
        <v>2699</v>
      </c>
      <c r="D557" s="39">
        <v>2699</v>
      </c>
      <c r="E557" s="39">
        <v>2699</v>
      </c>
      <c r="F557" s="66" t="s">
        <v>663</v>
      </c>
    </row>
    <row r="558" spans="1:6">
      <c r="A558" s="45" t="s">
        <v>336</v>
      </c>
      <c r="B558" s="46" t="s">
        <v>618</v>
      </c>
      <c r="C558" s="130">
        <v>23999</v>
      </c>
      <c r="D558" s="39">
        <v>23999</v>
      </c>
      <c r="E558" s="39">
        <v>23999</v>
      </c>
      <c r="F558" s="66" t="s">
        <v>663</v>
      </c>
    </row>
    <row r="559" spans="1:6">
      <c r="A559" s="45" t="s">
        <v>336</v>
      </c>
      <c r="B559" s="46" t="s">
        <v>619</v>
      </c>
      <c r="C559" s="130">
        <v>25999</v>
      </c>
      <c r="D559" s="39">
        <v>25999</v>
      </c>
      <c r="E559" s="39">
        <v>25999</v>
      </c>
      <c r="F559" s="66" t="s">
        <v>663</v>
      </c>
    </row>
    <row r="560" spans="1:6">
      <c r="A560" s="45" t="s">
        <v>336</v>
      </c>
      <c r="B560" s="46" t="s">
        <v>620</v>
      </c>
      <c r="C560" s="130">
        <v>28999</v>
      </c>
      <c r="D560" s="39">
        <v>28999</v>
      </c>
      <c r="E560" s="39">
        <v>28999</v>
      </c>
      <c r="F560" s="66" t="s">
        <v>663</v>
      </c>
    </row>
    <row r="561" spans="1:6">
      <c r="A561" s="45" t="s">
        <v>336</v>
      </c>
      <c r="B561" s="46" t="s">
        <v>621</v>
      </c>
      <c r="C561" s="130">
        <v>30999</v>
      </c>
      <c r="D561" s="39">
        <v>30999</v>
      </c>
      <c r="E561" s="39">
        <v>23899</v>
      </c>
      <c r="F561" s="66">
        <v>45562</v>
      </c>
    </row>
    <row r="562" spans="1:6">
      <c r="A562" s="45" t="s">
        <v>336</v>
      </c>
      <c r="B562" s="46" t="s">
        <v>622</v>
      </c>
      <c r="C562" s="130">
        <v>35999</v>
      </c>
      <c r="D562" s="39">
        <v>35999</v>
      </c>
      <c r="E562" s="39">
        <v>35999</v>
      </c>
      <c r="F562" s="66" t="s">
        <v>663</v>
      </c>
    </row>
    <row r="563" spans="1:6">
      <c r="A563" s="45" t="s">
        <v>336</v>
      </c>
      <c r="B563" s="46" t="s">
        <v>623</v>
      </c>
      <c r="C563" s="130">
        <v>40999</v>
      </c>
      <c r="D563" s="39">
        <v>40999</v>
      </c>
      <c r="E563" s="39">
        <v>40999</v>
      </c>
      <c r="F563" s="66" t="s">
        <v>663</v>
      </c>
    </row>
    <row r="564" spans="1:6">
      <c r="A564" s="45" t="s">
        <v>336</v>
      </c>
      <c r="B564" s="46" t="s">
        <v>624</v>
      </c>
      <c r="C564" s="130">
        <v>5999</v>
      </c>
      <c r="D564" s="39">
        <v>5999</v>
      </c>
      <c r="E564" s="39">
        <v>5999</v>
      </c>
      <c r="F564" s="66" t="s">
        <v>663</v>
      </c>
    </row>
    <row r="565" spans="1:6">
      <c r="A565" s="45" t="s">
        <v>336</v>
      </c>
      <c r="B565" s="46" t="s">
        <v>625</v>
      </c>
      <c r="C565" s="130">
        <v>4999</v>
      </c>
      <c r="D565" s="39">
        <v>4999</v>
      </c>
      <c r="E565" s="39">
        <v>4999</v>
      </c>
      <c r="F565" s="66" t="s">
        <v>663</v>
      </c>
    </row>
    <row r="566" spans="1:6">
      <c r="A566" s="45" t="s">
        <v>626</v>
      </c>
      <c r="B566" s="46" t="s">
        <v>627</v>
      </c>
      <c r="C566" s="130">
        <v>6269</v>
      </c>
      <c r="D566" s="39">
        <v>6269</v>
      </c>
      <c r="E566" s="39">
        <v>5499</v>
      </c>
      <c r="F566" s="66">
        <v>45092</v>
      </c>
    </row>
    <row r="567" spans="1:6">
      <c r="A567" s="45" t="s">
        <v>393</v>
      </c>
      <c r="B567" s="46" t="s">
        <v>628</v>
      </c>
      <c r="C567" s="130">
        <v>9499</v>
      </c>
      <c r="D567" s="39">
        <v>9499</v>
      </c>
      <c r="E567" s="39">
        <v>8999</v>
      </c>
      <c r="F567" s="66">
        <v>45145</v>
      </c>
    </row>
    <row r="568" spans="1:6">
      <c r="A568" s="45" t="s">
        <v>336</v>
      </c>
      <c r="B568" s="46" t="s">
        <v>629</v>
      </c>
      <c r="C568" s="130">
        <v>23999</v>
      </c>
      <c r="D568" s="39">
        <v>23999</v>
      </c>
      <c r="E568" s="39">
        <v>23999</v>
      </c>
      <c r="F568" s="66" t="s">
        <v>663</v>
      </c>
    </row>
    <row r="569" spans="1:6">
      <c r="A569" s="45" t="s">
        <v>338</v>
      </c>
      <c r="B569" s="46" t="s">
        <v>630</v>
      </c>
      <c r="C569" s="130">
        <v>4139</v>
      </c>
      <c r="D569" s="39">
        <v>4139</v>
      </c>
      <c r="E569" s="39">
        <v>4139</v>
      </c>
      <c r="F569" s="66" t="s">
        <v>663</v>
      </c>
    </row>
    <row r="570" spans="1:6">
      <c r="A570" s="45" t="s">
        <v>338</v>
      </c>
      <c r="B570" s="46" t="s">
        <v>631</v>
      </c>
      <c r="C570" s="130">
        <v>28999</v>
      </c>
      <c r="D570" s="39">
        <v>28999</v>
      </c>
      <c r="E570" s="39">
        <v>28999</v>
      </c>
      <c r="F570" s="66" t="s">
        <v>663</v>
      </c>
    </row>
    <row r="571" spans="1:6">
      <c r="A571" s="45" t="s">
        <v>496</v>
      </c>
      <c r="B571" s="46" t="s">
        <v>632</v>
      </c>
      <c r="C571" s="130">
        <v>7999</v>
      </c>
      <c r="D571" s="39">
        <v>7999</v>
      </c>
      <c r="E571" s="39">
        <v>7999</v>
      </c>
      <c r="F571" s="66" t="s">
        <v>663</v>
      </c>
    </row>
    <row r="572" spans="1:6">
      <c r="A572" s="45" t="s">
        <v>496</v>
      </c>
      <c r="B572" s="46" t="s">
        <v>1072</v>
      </c>
      <c r="C572" s="130">
        <v>9999</v>
      </c>
      <c r="D572" s="39">
        <v>9999</v>
      </c>
      <c r="E572" s="39">
        <v>8999</v>
      </c>
      <c r="F572" s="66">
        <v>45092</v>
      </c>
    </row>
    <row r="573" spans="1:6">
      <c r="A573" s="45" t="s">
        <v>496</v>
      </c>
      <c r="B573" s="46" t="s">
        <v>633</v>
      </c>
      <c r="C573" s="130">
        <v>9999</v>
      </c>
      <c r="D573" s="39">
        <v>9999</v>
      </c>
      <c r="E573" s="39">
        <v>8999</v>
      </c>
      <c r="F573" s="66">
        <v>45092</v>
      </c>
    </row>
    <row r="574" spans="1:6">
      <c r="A574" s="45" t="s">
        <v>336</v>
      </c>
      <c r="B574" s="46" t="s">
        <v>634</v>
      </c>
      <c r="C574" s="130">
        <v>9999</v>
      </c>
      <c r="D574" s="39">
        <v>9999</v>
      </c>
      <c r="E574" s="39">
        <v>9999</v>
      </c>
      <c r="F574" s="66" t="s">
        <v>663</v>
      </c>
    </row>
    <row r="575" spans="1:6">
      <c r="A575" s="45" t="s">
        <v>336</v>
      </c>
      <c r="B575" s="46" t="s">
        <v>635</v>
      </c>
      <c r="C575" s="130">
        <v>7999</v>
      </c>
      <c r="D575" s="39">
        <v>7999</v>
      </c>
      <c r="E575" s="39">
        <v>7999</v>
      </c>
      <c r="F575" s="66" t="s">
        <v>663</v>
      </c>
    </row>
    <row r="576" spans="1:6">
      <c r="A576" s="45" t="s">
        <v>336</v>
      </c>
      <c r="B576" s="46" t="s">
        <v>636</v>
      </c>
      <c r="C576" s="130">
        <v>5999</v>
      </c>
      <c r="D576" s="39">
        <v>5999</v>
      </c>
      <c r="E576" s="39">
        <v>5799</v>
      </c>
      <c r="F576" s="66">
        <v>45064</v>
      </c>
    </row>
    <row r="577" spans="1:6">
      <c r="A577" s="45" t="s">
        <v>363</v>
      </c>
      <c r="B577" s="46" t="s">
        <v>637</v>
      </c>
      <c r="C577" s="130">
        <v>4299</v>
      </c>
      <c r="D577" s="39">
        <v>4299</v>
      </c>
      <c r="E577" s="39">
        <v>4299</v>
      </c>
      <c r="F577" s="66" t="s">
        <v>663</v>
      </c>
    </row>
    <row r="578" spans="1:6">
      <c r="A578" s="45" t="s">
        <v>363</v>
      </c>
      <c r="B578" s="46" t="s">
        <v>638</v>
      </c>
      <c r="C578" s="130">
        <v>26999</v>
      </c>
      <c r="D578" s="39">
        <v>26999</v>
      </c>
      <c r="E578" s="39">
        <v>26999</v>
      </c>
      <c r="F578" s="66" t="s">
        <v>663</v>
      </c>
    </row>
    <row r="579" spans="1:6">
      <c r="A579" s="45" t="s">
        <v>496</v>
      </c>
      <c r="B579" s="46" t="s">
        <v>639</v>
      </c>
      <c r="C579" s="130">
        <v>2499</v>
      </c>
      <c r="D579" s="39">
        <v>2499</v>
      </c>
      <c r="E579" s="39">
        <v>2499</v>
      </c>
      <c r="F579" s="66" t="s">
        <v>663</v>
      </c>
    </row>
    <row r="580" spans="1:6">
      <c r="A580" s="45" t="s">
        <v>385</v>
      </c>
      <c r="B580" s="46" t="s">
        <v>640</v>
      </c>
      <c r="C580" s="130">
        <v>4499</v>
      </c>
      <c r="D580" s="39">
        <v>4499</v>
      </c>
      <c r="E580" s="39">
        <v>4499</v>
      </c>
      <c r="F580" s="66" t="s">
        <v>663</v>
      </c>
    </row>
    <row r="581" spans="1:6">
      <c r="A581" s="45" t="s">
        <v>385</v>
      </c>
      <c r="B581" s="46" t="s">
        <v>641</v>
      </c>
      <c r="C581" s="130">
        <v>2499</v>
      </c>
      <c r="D581" s="39">
        <v>2499</v>
      </c>
      <c r="E581" s="39">
        <v>2499</v>
      </c>
      <c r="F581" s="66" t="s">
        <v>663</v>
      </c>
    </row>
    <row r="582" spans="1:6">
      <c r="A582" s="45" t="s">
        <v>358</v>
      </c>
      <c r="B582" s="46" t="s">
        <v>649</v>
      </c>
      <c r="C582" s="130">
        <v>26999</v>
      </c>
      <c r="D582" s="39">
        <v>26999</v>
      </c>
      <c r="E582" s="39">
        <v>19999</v>
      </c>
      <c r="F582" s="66">
        <v>45572</v>
      </c>
    </row>
    <row r="583" spans="1:6">
      <c r="A583" s="45" t="s">
        <v>385</v>
      </c>
      <c r="B583" s="46" t="s">
        <v>646</v>
      </c>
      <c r="C583" s="130">
        <v>6499</v>
      </c>
      <c r="D583" s="39">
        <v>6499</v>
      </c>
      <c r="E583" s="39">
        <v>6499</v>
      </c>
      <c r="F583" s="66" t="s">
        <v>663</v>
      </c>
    </row>
    <row r="584" spans="1:6">
      <c r="A584" s="45" t="s">
        <v>385</v>
      </c>
      <c r="B584" s="46" t="s">
        <v>647</v>
      </c>
      <c r="C584" s="130">
        <v>13999</v>
      </c>
      <c r="D584" s="39">
        <v>13999</v>
      </c>
      <c r="E584" s="39">
        <v>13999</v>
      </c>
      <c r="F584" s="66" t="s">
        <v>663</v>
      </c>
    </row>
    <row r="585" spans="1:6">
      <c r="A585" s="45" t="s">
        <v>496</v>
      </c>
      <c r="B585" s="46" t="s">
        <v>1055</v>
      </c>
      <c r="C585" s="130">
        <v>9999</v>
      </c>
      <c r="D585" s="39">
        <v>9999</v>
      </c>
      <c r="E585" s="39">
        <v>8999</v>
      </c>
      <c r="F585" s="66">
        <v>45536</v>
      </c>
    </row>
    <row r="586" spans="1:6">
      <c r="A586" s="45" t="s">
        <v>496</v>
      </c>
      <c r="B586" s="46" t="s">
        <v>650</v>
      </c>
      <c r="C586" s="130">
        <v>9999</v>
      </c>
      <c r="D586" s="39">
        <v>9999</v>
      </c>
      <c r="E586" s="39">
        <v>8999</v>
      </c>
      <c r="F586" s="66">
        <v>45536</v>
      </c>
    </row>
    <row r="587" spans="1:6">
      <c r="A587" s="45" t="s">
        <v>496</v>
      </c>
      <c r="B587" s="46" t="s">
        <v>651</v>
      </c>
      <c r="C587" s="130">
        <v>9999</v>
      </c>
      <c r="D587" s="39">
        <v>9999</v>
      </c>
      <c r="E587" s="39">
        <v>9999</v>
      </c>
      <c r="F587" s="66" t="s">
        <v>663</v>
      </c>
    </row>
    <row r="588" spans="1:6">
      <c r="A588" s="45" t="s">
        <v>496</v>
      </c>
      <c r="B588" s="46" t="s">
        <v>652</v>
      </c>
      <c r="C588" s="130">
        <v>44999</v>
      </c>
      <c r="D588" s="39">
        <v>44999</v>
      </c>
      <c r="E588" s="39">
        <v>44999</v>
      </c>
      <c r="F588" s="66" t="s">
        <v>663</v>
      </c>
    </row>
    <row r="589" spans="1:6">
      <c r="A589" s="45" t="s">
        <v>626</v>
      </c>
      <c r="B589" s="46" t="s">
        <v>653</v>
      </c>
      <c r="C589" s="130">
        <v>7999</v>
      </c>
      <c r="D589" s="39">
        <v>7999</v>
      </c>
      <c r="E589" s="39">
        <v>6999</v>
      </c>
      <c r="F589" s="66">
        <v>45597</v>
      </c>
    </row>
    <row r="590" spans="1:6">
      <c r="A590" s="45" t="s">
        <v>338</v>
      </c>
      <c r="B590" s="46" t="s">
        <v>654</v>
      </c>
      <c r="C590" s="130">
        <v>25999</v>
      </c>
      <c r="D590" s="39">
        <v>25999</v>
      </c>
      <c r="E590" s="39">
        <v>25999</v>
      </c>
      <c r="F590" s="66" t="s">
        <v>663</v>
      </c>
    </row>
    <row r="591" spans="1:6">
      <c r="A591" s="45" t="s">
        <v>626</v>
      </c>
      <c r="B591" s="46" t="s">
        <v>1049</v>
      </c>
      <c r="C591" s="130">
        <v>11999</v>
      </c>
      <c r="D591" s="39">
        <v>11999</v>
      </c>
      <c r="E591" s="39">
        <v>10999</v>
      </c>
      <c r="F591" s="66">
        <v>45536</v>
      </c>
    </row>
    <row r="592" spans="1:6">
      <c r="A592" s="45" t="s">
        <v>626</v>
      </c>
      <c r="B592" s="46" t="s">
        <v>1050</v>
      </c>
      <c r="C592" s="130">
        <v>15999</v>
      </c>
      <c r="D592" s="39">
        <v>15999</v>
      </c>
      <c r="E592" s="39">
        <v>15999</v>
      </c>
      <c r="F592" s="66" t="s">
        <v>663</v>
      </c>
    </row>
    <row r="593" spans="1:8">
      <c r="A593" s="45" t="s">
        <v>626</v>
      </c>
      <c r="B593" s="46" t="s">
        <v>1051</v>
      </c>
      <c r="C593" s="130">
        <v>7999</v>
      </c>
      <c r="D593" s="39">
        <v>7999</v>
      </c>
      <c r="E593" s="39">
        <v>7999</v>
      </c>
      <c r="F593" s="66" t="s">
        <v>663</v>
      </c>
    </row>
    <row r="594" spans="1:8">
      <c r="A594" s="45" t="s">
        <v>393</v>
      </c>
      <c r="B594" s="46" t="s">
        <v>1056</v>
      </c>
      <c r="C594" s="130">
        <v>9999</v>
      </c>
      <c r="D594" s="39">
        <v>9999</v>
      </c>
      <c r="E594" s="39">
        <v>9999</v>
      </c>
      <c r="F594" s="66" t="s">
        <v>663</v>
      </c>
    </row>
    <row r="595" spans="1:8">
      <c r="A595" s="45" t="s">
        <v>393</v>
      </c>
      <c r="B595" s="46" t="s">
        <v>1057</v>
      </c>
      <c r="C595" s="130">
        <v>6999</v>
      </c>
      <c r="D595" s="39">
        <v>6999</v>
      </c>
      <c r="E595" s="39">
        <v>9999</v>
      </c>
      <c r="F595" s="66" t="s">
        <v>663</v>
      </c>
    </row>
    <row r="596" spans="1:8">
      <c r="A596" s="45" t="s">
        <v>336</v>
      </c>
      <c r="B596" s="46" t="s">
        <v>1059</v>
      </c>
      <c r="C596" s="130">
        <v>24999</v>
      </c>
      <c r="D596" s="39">
        <v>24999</v>
      </c>
      <c r="E596" s="39">
        <v>24999</v>
      </c>
      <c r="F596" s="66" t="s">
        <v>663</v>
      </c>
    </row>
    <row r="597" spans="1:8">
      <c r="A597" s="45" t="s">
        <v>336</v>
      </c>
      <c r="B597" s="46" t="s">
        <v>1060</v>
      </c>
      <c r="C597" s="130">
        <v>27999</v>
      </c>
      <c r="D597" s="39">
        <v>27999</v>
      </c>
      <c r="E597" s="39">
        <v>27999</v>
      </c>
      <c r="F597" s="66" t="s">
        <v>663</v>
      </c>
    </row>
    <row r="598" spans="1:8">
      <c r="A598" s="45" t="s">
        <v>336</v>
      </c>
      <c r="B598" s="46" t="s">
        <v>1061</v>
      </c>
      <c r="C598" s="130">
        <v>45999</v>
      </c>
      <c r="D598" s="39">
        <v>45999</v>
      </c>
      <c r="E598" s="39">
        <v>45999</v>
      </c>
      <c r="F598" s="66" t="s">
        <v>663</v>
      </c>
    </row>
    <row r="599" spans="1:8">
      <c r="A599" s="45" t="s">
        <v>336</v>
      </c>
      <c r="B599" s="46" t="s">
        <v>1062</v>
      </c>
      <c r="C599" s="130">
        <v>51999</v>
      </c>
      <c r="D599" s="39">
        <v>51999</v>
      </c>
      <c r="E599" s="39">
        <v>51999</v>
      </c>
      <c r="F599" s="66" t="s">
        <v>663</v>
      </c>
    </row>
    <row r="600" spans="1:8">
      <c r="A600" s="45" t="s">
        <v>358</v>
      </c>
      <c r="B600" s="46" t="s">
        <v>1064</v>
      </c>
      <c r="C600" s="130">
        <v>19499</v>
      </c>
      <c r="D600" s="39">
        <v>19499</v>
      </c>
      <c r="E600" s="39">
        <v>17499</v>
      </c>
      <c r="F600" s="66">
        <v>45837</v>
      </c>
      <c r="H600" t="s">
        <v>1225</v>
      </c>
    </row>
    <row r="601" spans="1:8">
      <c r="A601" s="45" t="s">
        <v>358</v>
      </c>
      <c r="B601" s="46" t="s">
        <v>1065</v>
      </c>
      <c r="C601" s="130">
        <v>21499</v>
      </c>
      <c r="D601" s="39">
        <v>21499</v>
      </c>
      <c r="E601" s="39">
        <v>19999</v>
      </c>
      <c r="F601" s="66">
        <v>45572</v>
      </c>
    </row>
    <row r="602" spans="1:8">
      <c r="A602" s="45" t="s">
        <v>358</v>
      </c>
      <c r="B602" s="46" t="s">
        <v>1066</v>
      </c>
      <c r="C602" s="130">
        <v>21999</v>
      </c>
      <c r="D602" s="39">
        <v>21999</v>
      </c>
      <c r="E602" s="39">
        <v>19999</v>
      </c>
      <c r="F602" s="66">
        <v>45572</v>
      </c>
    </row>
    <row r="603" spans="1:8">
      <c r="A603" s="45" t="s">
        <v>358</v>
      </c>
      <c r="B603" s="46" t="s">
        <v>1067</v>
      </c>
      <c r="C603" s="130">
        <v>23999</v>
      </c>
      <c r="D603" s="39">
        <v>23999</v>
      </c>
      <c r="E603" s="39">
        <v>22499</v>
      </c>
      <c r="F603" s="66">
        <v>45572</v>
      </c>
    </row>
    <row r="604" spans="1:8">
      <c r="A604" s="45" t="s">
        <v>358</v>
      </c>
      <c r="B604" s="46" t="s">
        <v>1068</v>
      </c>
      <c r="C604" s="130">
        <v>23999</v>
      </c>
      <c r="D604" s="39">
        <v>23999</v>
      </c>
      <c r="E604" s="39">
        <v>23999</v>
      </c>
      <c r="F604" s="66" t="s">
        <v>663</v>
      </c>
    </row>
    <row r="605" spans="1:8">
      <c r="A605" s="45" t="s">
        <v>358</v>
      </c>
      <c r="B605" s="46" t="s">
        <v>1069</v>
      </c>
      <c r="C605" s="130">
        <v>25999</v>
      </c>
      <c r="D605" s="39">
        <v>25999</v>
      </c>
      <c r="E605" s="39">
        <v>25999</v>
      </c>
      <c r="F605" s="66" t="s">
        <v>663</v>
      </c>
    </row>
    <row r="606" spans="1:8">
      <c r="A606" s="45" t="s">
        <v>358</v>
      </c>
      <c r="B606" s="46" t="s">
        <v>1073</v>
      </c>
      <c r="C606" s="130">
        <v>30499</v>
      </c>
      <c r="D606" s="39">
        <v>30499</v>
      </c>
      <c r="E606" s="39">
        <v>30499</v>
      </c>
      <c r="F606" s="66" t="s">
        <v>663</v>
      </c>
    </row>
    <row r="607" spans="1:8">
      <c r="A607" s="45" t="s">
        <v>358</v>
      </c>
      <c r="B607" s="46" t="s">
        <v>1070</v>
      </c>
      <c r="C607" s="130">
        <v>28999</v>
      </c>
      <c r="D607" s="39">
        <v>28999</v>
      </c>
      <c r="E607" s="39">
        <v>28999</v>
      </c>
      <c r="F607" s="66" t="s">
        <v>663</v>
      </c>
    </row>
    <row r="608" spans="1:8">
      <c r="A608" s="45" t="s">
        <v>358</v>
      </c>
      <c r="B608" s="46" t="s">
        <v>1071</v>
      </c>
      <c r="C608" s="130">
        <v>33499</v>
      </c>
      <c r="D608" s="39">
        <v>33499</v>
      </c>
      <c r="E608" s="39">
        <v>33499</v>
      </c>
      <c r="F608" s="66" t="s">
        <v>663</v>
      </c>
    </row>
    <row r="609" spans="1:7">
      <c r="A609" s="45" t="s">
        <v>336</v>
      </c>
      <c r="B609" s="46" t="s">
        <v>1074</v>
      </c>
      <c r="C609" s="130">
        <v>12999</v>
      </c>
      <c r="D609" s="39">
        <v>12999</v>
      </c>
      <c r="E609" s="39">
        <v>12999</v>
      </c>
      <c r="F609" s="66" t="s">
        <v>663</v>
      </c>
    </row>
    <row r="610" spans="1:7">
      <c r="A610" s="45" t="s">
        <v>336</v>
      </c>
      <c r="B610" s="46" t="s">
        <v>1075</v>
      </c>
      <c r="C610" s="130">
        <v>14499</v>
      </c>
      <c r="D610" s="39">
        <v>14499</v>
      </c>
      <c r="E610" s="39">
        <v>14499</v>
      </c>
      <c r="F610" s="66" t="s">
        <v>663</v>
      </c>
    </row>
    <row r="611" spans="1:7">
      <c r="A611" s="45" t="s">
        <v>363</v>
      </c>
      <c r="B611" s="46" t="s">
        <v>1076</v>
      </c>
      <c r="C611" s="130">
        <v>4999</v>
      </c>
      <c r="D611" s="39">
        <v>4999</v>
      </c>
      <c r="E611" s="39">
        <v>4999</v>
      </c>
      <c r="F611" s="66" t="s">
        <v>663</v>
      </c>
    </row>
    <row r="612" spans="1:7">
      <c r="A612" s="45" t="s">
        <v>363</v>
      </c>
      <c r="B612" s="46" t="s">
        <v>1077</v>
      </c>
      <c r="C612" s="130">
        <v>5999</v>
      </c>
      <c r="D612" s="39">
        <v>5999</v>
      </c>
      <c r="E612" s="39">
        <v>5999</v>
      </c>
      <c r="F612" s="66" t="s">
        <v>663</v>
      </c>
    </row>
    <row r="613" spans="1:7">
      <c r="A613" s="45" t="s">
        <v>358</v>
      </c>
      <c r="B613" s="46" t="s">
        <v>576</v>
      </c>
      <c r="C613" s="130">
        <v>33999</v>
      </c>
      <c r="D613" s="39">
        <v>33999</v>
      </c>
      <c r="E613" s="39">
        <v>33999</v>
      </c>
      <c r="F613" s="66" t="s">
        <v>663</v>
      </c>
    </row>
    <row r="614" spans="1:7">
      <c r="A614" s="45" t="s">
        <v>358</v>
      </c>
      <c r="B614" s="46" t="s">
        <v>1081</v>
      </c>
      <c r="C614" s="130">
        <v>36999</v>
      </c>
      <c r="D614" s="39">
        <v>36999</v>
      </c>
      <c r="E614" s="39">
        <v>36999</v>
      </c>
      <c r="F614" s="66" t="s">
        <v>663</v>
      </c>
    </row>
    <row r="615" spans="1:7">
      <c r="A615" s="45" t="s">
        <v>358</v>
      </c>
      <c r="B615" s="46" t="s">
        <v>577</v>
      </c>
      <c r="C615" s="130">
        <v>38999</v>
      </c>
      <c r="D615" s="39">
        <v>38999</v>
      </c>
      <c r="E615" s="39">
        <v>38999</v>
      </c>
      <c r="F615" s="66" t="s">
        <v>663</v>
      </c>
    </row>
    <row r="616" spans="1:7">
      <c r="A616" s="45" t="s">
        <v>358</v>
      </c>
      <c r="B616" s="46" t="s">
        <v>1082</v>
      </c>
      <c r="C616" s="130">
        <v>41999</v>
      </c>
      <c r="D616" s="39">
        <v>41999</v>
      </c>
      <c r="E616" s="39">
        <v>41999</v>
      </c>
      <c r="F616" s="66" t="s">
        <v>663</v>
      </c>
    </row>
    <row r="617" spans="1:7">
      <c r="A617" s="45" t="s">
        <v>393</v>
      </c>
      <c r="B617" s="46" t="s">
        <v>1078</v>
      </c>
      <c r="C617" s="39">
        <v>4999</v>
      </c>
      <c r="D617" s="39">
        <v>4199</v>
      </c>
      <c r="E617" s="39">
        <v>3499</v>
      </c>
      <c r="F617" s="66">
        <v>45435</v>
      </c>
      <c r="G617" s="66">
        <v>45330</v>
      </c>
    </row>
    <row r="618" spans="1:7">
      <c r="A618" s="45" t="s">
        <v>393</v>
      </c>
      <c r="B618" s="46" t="s">
        <v>1079</v>
      </c>
      <c r="C618" s="130">
        <v>5999</v>
      </c>
      <c r="D618" s="39">
        <v>5999</v>
      </c>
      <c r="E618" s="39">
        <v>4999</v>
      </c>
      <c r="F618" s="66">
        <v>45330</v>
      </c>
    </row>
    <row r="619" spans="1:7">
      <c r="A619" s="45" t="s">
        <v>358</v>
      </c>
      <c r="B619" s="46" t="s">
        <v>1080</v>
      </c>
      <c r="C619" s="130">
        <v>25999</v>
      </c>
      <c r="D619" s="39">
        <v>25999</v>
      </c>
      <c r="E619" s="39">
        <v>24999</v>
      </c>
      <c r="F619" s="66">
        <v>45572</v>
      </c>
    </row>
    <row r="620" spans="1:7">
      <c r="A620" s="45" t="s">
        <v>358</v>
      </c>
      <c r="B620" s="46" t="s">
        <v>1087</v>
      </c>
      <c r="C620" s="130">
        <v>37999</v>
      </c>
      <c r="D620" s="39">
        <v>37999</v>
      </c>
      <c r="E620" s="39">
        <v>37999</v>
      </c>
      <c r="F620" s="66" t="s">
        <v>663</v>
      </c>
    </row>
    <row r="621" spans="1:7">
      <c r="A621" s="45" t="s">
        <v>358</v>
      </c>
      <c r="B621" s="46" t="s">
        <v>1083</v>
      </c>
      <c r="C621" s="130">
        <v>28499</v>
      </c>
      <c r="D621" s="39">
        <v>28499</v>
      </c>
      <c r="E621" s="39">
        <v>27499</v>
      </c>
      <c r="F621" s="66">
        <v>45572</v>
      </c>
    </row>
    <row r="622" spans="1:7">
      <c r="A622" s="45" t="s">
        <v>385</v>
      </c>
      <c r="B622" s="46" t="s">
        <v>1084</v>
      </c>
      <c r="C622" s="130">
        <v>2499</v>
      </c>
      <c r="D622" s="39">
        <v>2499</v>
      </c>
      <c r="E622" s="39">
        <v>2499</v>
      </c>
      <c r="F622" s="66" t="s">
        <v>663</v>
      </c>
    </row>
    <row r="623" spans="1:7">
      <c r="A623" s="45" t="s">
        <v>385</v>
      </c>
      <c r="B623" s="46" t="s">
        <v>1088</v>
      </c>
      <c r="C623" s="130">
        <v>9999</v>
      </c>
      <c r="D623" s="39">
        <v>9999</v>
      </c>
      <c r="E623" s="39">
        <v>9999</v>
      </c>
      <c r="F623" s="66" t="s">
        <v>663</v>
      </c>
    </row>
    <row r="624" spans="1:7">
      <c r="A624" s="45" t="s">
        <v>385</v>
      </c>
      <c r="B624" s="46" t="s">
        <v>1089</v>
      </c>
      <c r="C624" s="130">
        <v>8499</v>
      </c>
      <c r="D624" s="39">
        <v>8499</v>
      </c>
      <c r="E624" s="39">
        <v>8499</v>
      </c>
      <c r="F624" s="66" t="s">
        <v>663</v>
      </c>
    </row>
    <row r="625" spans="1:6">
      <c r="A625" s="45" t="s">
        <v>385</v>
      </c>
      <c r="B625" s="46" t="s">
        <v>879</v>
      </c>
      <c r="C625" s="130">
        <v>6139</v>
      </c>
      <c r="D625" s="39">
        <v>6139</v>
      </c>
      <c r="E625" s="39">
        <v>6139</v>
      </c>
      <c r="F625" s="66" t="s">
        <v>663</v>
      </c>
    </row>
    <row r="626" spans="1:6">
      <c r="A626" s="45" t="s">
        <v>93</v>
      </c>
      <c r="B626" s="46" t="s">
        <v>1091</v>
      </c>
      <c r="C626" s="130">
        <v>1999</v>
      </c>
      <c r="D626" s="39">
        <v>1999</v>
      </c>
      <c r="E626" s="39">
        <v>1999</v>
      </c>
      <c r="F626" s="66" t="s">
        <v>663</v>
      </c>
    </row>
    <row r="627" spans="1:6">
      <c r="A627" s="45" t="s">
        <v>93</v>
      </c>
      <c r="B627" s="46" t="s">
        <v>1092</v>
      </c>
      <c r="C627" s="130">
        <v>2999</v>
      </c>
      <c r="D627" s="39">
        <v>2999</v>
      </c>
      <c r="E627" s="39">
        <v>2999</v>
      </c>
      <c r="F627" s="66" t="s">
        <v>663</v>
      </c>
    </row>
    <row r="628" spans="1:6">
      <c r="A628" s="45" t="s">
        <v>336</v>
      </c>
      <c r="B628" s="46" t="s">
        <v>1093</v>
      </c>
      <c r="C628" s="130">
        <v>2499</v>
      </c>
      <c r="D628" s="39">
        <v>2499</v>
      </c>
      <c r="E628" s="39">
        <v>2499</v>
      </c>
      <c r="F628" s="66" t="s">
        <v>663</v>
      </c>
    </row>
    <row r="629" spans="1:6">
      <c r="A629" s="45" t="s">
        <v>496</v>
      </c>
      <c r="B629" s="46" t="s">
        <v>1095</v>
      </c>
      <c r="C629" s="130">
        <v>2599</v>
      </c>
      <c r="D629" s="39">
        <v>2599</v>
      </c>
      <c r="E629" s="39">
        <v>2599</v>
      </c>
      <c r="F629" s="66" t="s">
        <v>663</v>
      </c>
    </row>
    <row r="630" spans="1:6">
      <c r="A630" s="45" t="s">
        <v>496</v>
      </c>
      <c r="B630" s="46" t="s">
        <v>1096</v>
      </c>
      <c r="C630" s="130">
        <v>4299</v>
      </c>
      <c r="D630" s="39">
        <v>4299</v>
      </c>
      <c r="E630" s="39">
        <v>4299</v>
      </c>
      <c r="F630" s="66" t="s">
        <v>663</v>
      </c>
    </row>
    <row r="631" spans="1:6">
      <c r="A631" s="45" t="s">
        <v>496</v>
      </c>
      <c r="B631" s="46" t="s">
        <v>1099</v>
      </c>
      <c r="C631" s="130">
        <v>5999</v>
      </c>
      <c r="D631" s="39">
        <v>5999</v>
      </c>
      <c r="E631" s="39">
        <v>5999</v>
      </c>
      <c r="F631" s="66" t="s">
        <v>663</v>
      </c>
    </row>
    <row r="632" spans="1:6">
      <c r="A632" s="45" t="s">
        <v>496</v>
      </c>
      <c r="B632" s="46" t="s">
        <v>1100</v>
      </c>
      <c r="C632" s="130">
        <v>6999</v>
      </c>
      <c r="D632" s="39">
        <v>6999</v>
      </c>
      <c r="E632" s="39">
        <v>6999</v>
      </c>
      <c r="F632" s="66" t="s">
        <v>663</v>
      </c>
    </row>
    <row r="633" spans="1:6">
      <c r="A633" s="45" t="s">
        <v>496</v>
      </c>
      <c r="B633" s="46" t="s">
        <v>1101</v>
      </c>
      <c r="C633" s="130">
        <v>3299</v>
      </c>
      <c r="D633" s="39">
        <v>3299</v>
      </c>
      <c r="E633" s="39">
        <v>2999</v>
      </c>
      <c r="F633" s="66">
        <v>45536</v>
      </c>
    </row>
    <row r="634" spans="1:6">
      <c r="A634" s="45" t="s">
        <v>336</v>
      </c>
      <c r="B634" s="46" t="s">
        <v>1103</v>
      </c>
      <c r="C634" s="130">
        <v>19499</v>
      </c>
      <c r="D634" s="39">
        <v>19499</v>
      </c>
      <c r="E634" s="39">
        <v>19499</v>
      </c>
      <c r="F634" s="66" t="s">
        <v>663</v>
      </c>
    </row>
    <row r="635" spans="1:6">
      <c r="A635" s="45" t="s">
        <v>336</v>
      </c>
      <c r="B635" s="46" t="s">
        <v>1104</v>
      </c>
      <c r="C635" s="130">
        <v>20999</v>
      </c>
      <c r="D635" s="39">
        <v>20999</v>
      </c>
      <c r="E635" s="39">
        <v>20999</v>
      </c>
      <c r="F635" s="66" t="s">
        <v>663</v>
      </c>
    </row>
    <row r="636" spans="1:6">
      <c r="A636" s="45" t="s">
        <v>336</v>
      </c>
      <c r="B636" s="46" t="s">
        <v>1105</v>
      </c>
      <c r="C636" s="130">
        <v>23999</v>
      </c>
      <c r="D636" s="39">
        <v>23999</v>
      </c>
      <c r="E636" s="39">
        <v>23999</v>
      </c>
      <c r="F636" s="66" t="s">
        <v>663</v>
      </c>
    </row>
    <row r="637" spans="1:6">
      <c r="A637" s="45" t="s">
        <v>336</v>
      </c>
      <c r="B637" s="46" t="s">
        <v>1106</v>
      </c>
      <c r="C637" s="130">
        <v>26999</v>
      </c>
      <c r="D637" s="39">
        <v>26999</v>
      </c>
      <c r="E637" s="39">
        <v>26999</v>
      </c>
      <c r="F637" s="66" t="s">
        <v>663</v>
      </c>
    </row>
    <row r="638" spans="1:6">
      <c r="A638" s="45" t="s">
        <v>336</v>
      </c>
      <c r="B638" s="46" t="s">
        <v>1107</v>
      </c>
      <c r="C638" s="130">
        <v>30999</v>
      </c>
      <c r="D638" s="39">
        <v>30999</v>
      </c>
      <c r="E638" s="39">
        <v>30999</v>
      </c>
      <c r="F638" s="66" t="s">
        <v>663</v>
      </c>
    </row>
    <row r="639" spans="1:6">
      <c r="A639" s="45" t="s">
        <v>336</v>
      </c>
      <c r="B639" s="46" t="s">
        <v>1108</v>
      </c>
      <c r="C639" s="130">
        <v>33999</v>
      </c>
      <c r="D639" s="39">
        <v>33999</v>
      </c>
      <c r="E639" s="39">
        <v>33999</v>
      </c>
      <c r="F639" s="66" t="s">
        <v>663</v>
      </c>
    </row>
    <row r="640" spans="1:6">
      <c r="A640" s="45" t="s">
        <v>336</v>
      </c>
      <c r="B640" s="46" t="s">
        <v>1109</v>
      </c>
      <c r="C640" s="130">
        <v>39999</v>
      </c>
      <c r="D640" s="39">
        <v>39999</v>
      </c>
      <c r="E640" s="39">
        <v>39999</v>
      </c>
      <c r="F640" s="66" t="s">
        <v>663</v>
      </c>
    </row>
    <row r="641" spans="1:6">
      <c r="A641" s="45" t="s">
        <v>385</v>
      </c>
      <c r="B641" s="46" t="s">
        <v>1110</v>
      </c>
      <c r="C641" s="130">
        <v>3699</v>
      </c>
      <c r="D641" s="39">
        <v>3699</v>
      </c>
      <c r="E641" s="39">
        <v>3699</v>
      </c>
      <c r="F641" s="66" t="s">
        <v>663</v>
      </c>
    </row>
    <row r="642" spans="1:6">
      <c r="A642" s="45" t="s">
        <v>336</v>
      </c>
      <c r="B642" s="46" t="s">
        <v>1113</v>
      </c>
      <c r="C642" s="130">
        <v>6499</v>
      </c>
      <c r="D642" s="39">
        <v>6499</v>
      </c>
      <c r="E642" s="39">
        <v>6499</v>
      </c>
      <c r="F642" s="66" t="s">
        <v>663</v>
      </c>
    </row>
    <row r="643" spans="1:6">
      <c r="A643" s="45" t="s">
        <v>336</v>
      </c>
      <c r="B643" s="46" t="s">
        <v>1114</v>
      </c>
      <c r="C643" s="130">
        <v>4599</v>
      </c>
      <c r="D643" s="39">
        <v>4599</v>
      </c>
      <c r="E643" s="39">
        <v>4599</v>
      </c>
      <c r="F643" s="66" t="s">
        <v>663</v>
      </c>
    </row>
    <row r="644" spans="1:6">
      <c r="A644" s="45" t="s">
        <v>336</v>
      </c>
      <c r="B644" s="46" t="s">
        <v>1115</v>
      </c>
      <c r="C644" s="130">
        <v>3999</v>
      </c>
      <c r="D644" s="39">
        <v>3999</v>
      </c>
      <c r="E644" s="39">
        <v>3999</v>
      </c>
      <c r="F644" s="66" t="s">
        <v>663</v>
      </c>
    </row>
    <row r="645" spans="1:6">
      <c r="A645" s="45" t="s">
        <v>385</v>
      </c>
      <c r="B645" s="46" t="s">
        <v>1116</v>
      </c>
      <c r="C645" s="130">
        <v>6799</v>
      </c>
      <c r="D645" s="39">
        <v>6799</v>
      </c>
      <c r="E645" s="39">
        <v>6799</v>
      </c>
      <c r="F645" s="66" t="s">
        <v>663</v>
      </c>
    </row>
    <row r="646" spans="1:6">
      <c r="A646" s="45" t="s">
        <v>385</v>
      </c>
      <c r="B646" s="46" t="s">
        <v>1117</v>
      </c>
      <c r="C646" s="130">
        <v>8499</v>
      </c>
      <c r="D646" s="39">
        <v>8499</v>
      </c>
      <c r="E646" s="39">
        <v>8499</v>
      </c>
      <c r="F646" s="66" t="s">
        <v>663</v>
      </c>
    </row>
    <row r="647" spans="1:6">
      <c r="A647" s="45" t="s">
        <v>496</v>
      </c>
      <c r="B647" s="46" t="s">
        <v>1121</v>
      </c>
      <c r="C647" s="130">
        <v>4899</v>
      </c>
      <c r="D647" s="39">
        <v>4899</v>
      </c>
      <c r="E647" s="39">
        <v>3599</v>
      </c>
      <c r="F647" s="66">
        <v>45536</v>
      </c>
    </row>
    <row r="648" spans="1:6">
      <c r="A648" s="45" t="s">
        <v>496</v>
      </c>
      <c r="B648" s="46" t="s">
        <v>1123</v>
      </c>
      <c r="C648" s="130">
        <v>9999</v>
      </c>
      <c r="D648" s="39">
        <v>9999</v>
      </c>
      <c r="E648" s="39">
        <v>8999</v>
      </c>
      <c r="F648" s="66">
        <v>45536</v>
      </c>
    </row>
    <row r="649" spans="1:6">
      <c r="A649" s="45" t="s">
        <v>393</v>
      </c>
      <c r="B649" s="46" t="s">
        <v>1124</v>
      </c>
      <c r="C649" s="130">
        <v>9999</v>
      </c>
      <c r="D649" s="39">
        <v>9999</v>
      </c>
      <c r="E649" s="39">
        <v>9999</v>
      </c>
      <c r="F649" s="66" t="s">
        <v>663</v>
      </c>
    </row>
    <row r="650" spans="1:6">
      <c r="A650" s="45" t="s">
        <v>363</v>
      </c>
      <c r="B650" s="46" t="s">
        <v>1127</v>
      </c>
      <c r="C650" s="130">
        <v>3499</v>
      </c>
      <c r="D650" s="39">
        <v>3499</v>
      </c>
      <c r="E650" s="39">
        <v>3499</v>
      </c>
      <c r="F650" s="66" t="s">
        <v>663</v>
      </c>
    </row>
    <row r="651" spans="1:6">
      <c r="A651" s="45" t="s">
        <v>363</v>
      </c>
      <c r="B651" s="46" t="s">
        <v>1129</v>
      </c>
      <c r="C651" s="130">
        <v>4999</v>
      </c>
      <c r="D651" s="39">
        <v>4999</v>
      </c>
      <c r="E651" s="39">
        <v>4999</v>
      </c>
      <c r="F651" s="66" t="s">
        <v>663</v>
      </c>
    </row>
    <row r="652" spans="1:6" ht="13.5" customHeight="1">
      <c r="A652" s="45" t="s">
        <v>393</v>
      </c>
      <c r="B652" s="46" t="s">
        <v>1130</v>
      </c>
      <c r="C652" s="130">
        <v>6499</v>
      </c>
      <c r="D652" s="39">
        <v>6499</v>
      </c>
      <c r="E652" s="39">
        <v>5999</v>
      </c>
      <c r="F652" s="66">
        <v>45435</v>
      </c>
    </row>
    <row r="653" spans="1:6" ht="13.5" customHeight="1">
      <c r="A653" s="45" t="s">
        <v>363</v>
      </c>
      <c r="B653" s="46" t="s">
        <v>1133</v>
      </c>
      <c r="C653" s="130">
        <v>2499</v>
      </c>
      <c r="D653" s="39">
        <v>2499</v>
      </c>
      <c r="E653" s="39">
        <v>2499</v>
      </c>
      <c r="F653" s="66" t="s">
        <v>663</v>
      </c>
    </row>
    <row r="654" spans="1:6" ht="13.5" customHeight="1">
      <c r="A654" s="45" t="s">
        <v>393</v>
      </c>
      <c r="B654" s="46" t="s">
        <v>1134</v>
      </c>
      <c r="C654" s="130">
        <v>7999</v>
      </c>
      <c r="D654" s="39">
        <v>7999</v>
      </c>
      <c r="E654" s="39">
        <v>7499</v>
      </c>
      <c r="F654" s="66">
        <v>45411</v>
      </c>
    </row>
    <row r="655" spans="1:6" ht="13.5" customHeight="1">
      <c r="A655" s="45" t="s">
        <v>385</v>
      </c>
      <c r="B655" s="46" t="s">
        <v>1137</v>
      </c>
      <c r="C655" s="130">
        <v>1999</v>
      </c>
      <c r="D655" s="39">
        <v>1999</v>
      </c>
      <c r="E655" s="39">
        <v>1999</v>
      </c>
      <c r="F655" s="66" t="s">
        <v>663</v>
      </c>
    </row>
    <row r="656" spans="1:6" ht="13.5" customHeight="1">
      <c r="A656" s="45" t="s">
        <v>336</v>
      </c>
      <c r="B656" s="46" t="s">
        <v>1138</v>
      </c>
      <c r="C656" s="130">
        <v>6999</v>
      </c>
      <c r="D656" s="39">
        <v>6999</v>
      </c>
      <c r="E656" s="39">
        <v>6999</v>
      </c>
      <c r="F656" s="66" t="s">
        <v>663</v>
      </c>
    </row>
    <row r="657" spans="1:6" ht="13.5" customHeight="1">
      <c r="A657" s="45" t="s">
        <v>336</v>
      </c>
      <c r="B657" s="46" t="s">
        <v>1139</v>
      </c>
      <c r="C657" s="130">
        <v>8999</v>
      </c>
      <c r="D657" s="39">
        <v>8999</v>
      </c>
      <c r="E657" s="39">
        <v>8999</v>
      </c>
      <c r="F657" s="66" t="s">
        <v>663</v>
      </c>
    </row>
    <row r="658" spans="1:6" ht="13.5" customHeight="1">
      <c r="A658" s="45" t="s">
        <v>496</v>
      </c>
      <c r="B658" s="46" t="s">
        <v>1157</v>
      </c>
      <c r="C658" s="130">
        <v>44999</v>
      </c>
      <c r="D658" s="39">
        <v>44999</v>
      </c>
      <c r="E658" s="39">
        <v>44999</v>
      </c>
      <c r="F658" s="66" t="s">
        <v>663</v>
      </c>
    </row>
    <row r="659" spans="1:6" ht="13.5" customHeight="1">
      <c r="A659" s="45" t="s">
        <v>496</v>
      </c>
      <c r="B659" s="46" t="s">
        <v>1158</v>
      </c>
      <c r="C659" s="130">
        <v>28999</v>
      </c>
      <c r="D659" s="39">
        <v>28999</v>
      </c>
      <c r="E659" s="39">
        <v>28999</v>
      </c>
      <c r="F659" s="66" t="s">
        <v>663</v>
      </c>
    </row>
    <row r="660" spans="1:6" ht="13.5" customHeight="1">
      <c r="A660" s="45" t="s">
        <v>363</v>
      </c>
      <c r="B660" s="46" t="s">
        <v>1143</v>
      </c>
      <c r="C660" s="130">
        <v>10999</v>
      </c>
      <c r="D660" s="39">
        <v>10999</v>
      </c>
      <c r="E660" s="39">
        <v>10999</v>
      </c>
      <c r="F660" s="66" t="s">
        <v>663</v>
      </c>
    </row>
    <row r="661" spans="1:6" ht="13.5" customHeight="1">
      <c r="A661" s="45" t="s">
        <v>615</v>
      </c>
      <c r="B661" s="46" t="s">
        <v>1144</v>
      </c>
      <c r="C661" s="130">
        <v>1299</v>
      </c>
      <c r="D661" s="39">
        <v>1299</v>
      </c>
      <c r="E661" s="39">
        <v>1299</v>
      </c>
      <c r="F661" s="66" t="s">
        <v>663</v>
      </c>
    </row>
    <row r="662" spans="1:6" ht="13.5" customHeight="1">
      <c r="A662" s="45" t="s">
        <v>358</v>
      </c>
      <c r="B662" s="46" t="s">
        <v>1148</v>
      </c>
      <c r="C662" s="130">
        <v>13499</v>
      </c>
      <c r="D662" s="39">
        <v>13499</v>
      </c>
      <c r="E662" s="39">
        <v>13499</v>
      </c>
      <c r="F662" s="66" t="s">
        <v>663</v>
      </c>
    </row>
    <row r="663" spans="1:6" ht="13.5" customHeight="1">
      <c r="A663" s="45" t="s">
        <v>1153</v>
      </c>
      <c r="B663" s="46" t="s">
        <v>1149</v>
      </c>
      <c r="C663" s="130">
        <v>1199</v>
      </c>
      <c r="D663" s="39">
        <v>1199</v>
      </c>
      <c r="E663" s="39">
        <v>1199</v>
      </c>
      <c r="F663" s="66" t="s">
        <v>663</v>
      </c>
    </row>
    <row r="664" spans="1:6" ht="13.5" customHeight="1">
      <c r="A664" s="45" t="s">
        <v>363</v>
      </c>
      <c r="B664" s="46" t="s">
        <v>1154</v>
      </c>
      <c r="C664" s="130">
        <v>6999</v>
      </c>
      <c r="D664" s="39">
        <v>6999</v>
      </c>
      <c r="E664" s="39">
        <v>6999</v>
      </c>
      <c r="F664" s="66" t="s">
        <v>663</v>
      </c>
    </row>
    <row r="665" spans="1:6" ht="13.5" customHeight="1">
      <c r="A665" s="45" t="s">
        <v>385</v>
      </c>
      <c r="B665" s="46" t="s">
        <v>1156</v>
      </c>
      <c r="C665" s="130">
        <v>4999</v>
      </c>
      <c r="D665" s="39">
        <v>4999</v>
      </c>
      <c r="E665" s="39">
        <v>4999</v>
      </c>
      <c r="F665" s="66" t="s">
        <v>663</v>
      </c>
    </row>
    <row r="666" spans="1:6" ht="13.5" customHeight="1">
      <c r="A666" s="45" t="s">
        <v>363</v>
      </c>
      <c r="B666" s="46" t="s">
        <v>1159</v>
      </c>
      <c r="C666" s="130">
        <v>2499</v>
      </c>
      <c r="D666" s="39">
        <v>2499</v>
      </c>
      <c r="E666" s="39">
        <v>2499</v>
      </c>
      <c r="F666" s="66" t="s">
        <v>663</v>
      </c>
    </row>
    <row r="667" spans="1:6" ht="13.5" customHeight="1">
      <c r="A667" s="45" t="s">
        <v>336</v>
      </c>
      <c r="B667" s="46" t="s">
        <v>1161</v>
      </c>
      <c r="C667" s="130">
        <v>24999</v>
      </c>
      <c r="D667" s="39">
        <v>24999</v>
      </c>
      <c r="E667" s="39">
        <v>24999</v>
      </c>
      <c r="F667" s="66" t="s">
        <v>663</v>
      </c>
    </row>
    <row r="668" spans="1:6" ht="13.5" customHeight="1">
      <c r="A668" s="45" t="s">
        <v>336</v>
      </c>
      <c r="B668" s="46" t="s">
        <v>1162</v>
      </c>
      <c r="C668" s="130">
        <v>27999</v>
      </c>
      <c r="D668" s="39">
        <v>27999</v>
      </c>
      <c r="E668" s="39">
        <v>27999</v>
      </c>
      <c r="F668" s="66" t="s">
        <v>663</v>
      </c>
    </row>
    <row r="669" spans="1:6" ht="13.5" customHeight="1">
      <c r="A669" s="45" t="s">
        <v>336</v>
      </c>
      <c r="B669" s="46" t="s">
        <v>1163</v>
      </c>
      <c r="C669" s="130">
        <v>45999</v>
      </c>
      <c r="D669" s="39">
        <v>45999</v>
      </c>
      <c r="E669" s="39">
        <v>45999</v>
      </c>
      <c r="F669" s="66" t="s">
        <v>663</v>
      </c>
    </row>
    <row r="670" spans="1:6" ht="13.5" customHeight="1">
      <c r="A670" s="45" t="s">
        <v>336</v>
      </c>
      <c r="B670" s="46" t="s">
        <v>1164</v>
      </c>
      <c r="C670" s="130">
        <v>51999</v>
      </c>
      <c r="D670" s="39">
        <v>51999</v>
      </c>
      <c r="E670" s="39">
        <v>51999</v>
      </c>
      <c r="F670" s="66" t="s">
        <v>663</v>
      </c>
    </row>
    <row r="671" spans="1:6" ht="13.5" customHeight="1">
      <c r="A671" s="45" t="s">
        <v>496</v>
      </c>
      <c r="B671" s="46" t="s">
        <v>1168</v>
      </c>
      <c r="C671" s="130">
        <v>10999</v>
      </c>
      <c r="D671" s="39">
        <v>10999</v>
      </c>
      <c r="E671" s="39">
        <v>10999</v>
      </c>
      <c r="F671" s="66" t="s">
        <v>663</v>
      </c>
    </row>
    <row r="672" spans="1:6" ht="13.5" customHeight="1">
      <c r="A672" s="45" t="s">
        <v>393</v>
      </c>
      <c r="B672" s="46" t="s">
        <v>1171</v>
      </c>
      <c r="C672" s="130">
        <v>11999</v>
      </c>
      <c r="D672" s="39">
        <v>11999</v>
      </c>
      <c r="E672" s="39">
        <v>11999</v>
      </c>
      <c r="F672" s="66" t="s">
        <v>663</v>
      </c>
    </row>
    <row r="673" spans="1:6" ht="13.5" customHeight="1">
      <c r="A673" s="45" t="s">
        <v>393</v>
      </c>
      <c r="B673" s="46" t="s">
        <v>1172</v>
      </c>
      <c r="C673" s="130">
        <v>9999</v>
      </c>
      <c r="D673" s="39">
        <v>9999</v>
      </c>
      <c r="E673" s="39">
        <v>8999</v>
      </c>
      <c r="F673" s="66">
        <v>45859</v>
      </c>
    </row>
    <row r="674" spans="1:6" ht="13.5" customHeight="1">
      <c r="A674" s="45" t="s">
        <v>363</v>
      </c>
      <c r="B674" s="46" t="s">
        <v>1173</v>
      </c>
      <c r="C674" s="130">
        <v>9999</v>
      </c>
      <c r="D674" s="39">
        <v>9999</v>
      </c>
      <c r="E674" s="39">
        <v>9999</v>
      </c>
      <c r="F674" s="66" t="s">
        <v>663</v>
      </c>
    </row>
    <row r="675" spans="1:6" ht="13.5" customHeight="1">
      <c r="A675" s="45" t="s">
        <v>1177</v>
      </c>
      <c r="B675" s="46" t="s">
        <v>1176</v>
      </c>
      <c r="C675" s="130">
        <v>13999</v>
      </c>
      <c r="D675" s="39">
        <v>13999</v>
      </c>
      <c r="E675" s="39">
        <v>13999</v>
      </c>
      <c r="F675" s="66" t="s">
        <v>663</v>
      </c>
    </row>
    <row r="676" spans="1:6" ht="13.5" customHeight="1">
      <c r="A676" s="45" t="s">
        <v>393</v>
      </c>
      <c r="B676" s="46" t="s">
        <v>1179</v>
      </c>
      <c r="C676" s="130">
        <v>3999</v>
      </c>
      <c r="D676" s="39">
        <v>3999</v>
      </c>
      <c r="E676" s="39">
        <v>3999</v>
      </c>
      <c r="F676" s="66" t="s">
        <v>663</v>
      </c>
    </row>
    <row r="677" spans="1:6" ht="13.5" customHeight="1">
      <c r="A677" s="45" t="s">
        <v>336</v>
      </c>
      <c r="B677" s="46" t="s">
        <v>1180</v>
      </c>
      <c r="C677" s="130">
        <v>13999</v>
      </c>
      <c r="D677" s="39">
        <v>13999</v>
      </c>
      <c r="E677" s="39">
        <v>13999</v>
      </c>
      <c r="F677" s="66" t="s">
        <v>663</v>
      </c>
    </row>
    <row r="678" spans="1:6" ht="13.5" customHeight="1">
      <c r="A678" s="45" t="s">
        <v>336</v>
      </c>
      <c r="B678" s="46" t="s">
        <v>1181</v>
      </c>
      <c r="C678" s="130">
        <v>2599</v>
      </c>
      <c r="D678" s="39">
        <v>2599</v>
      </c>
      <c r="E678" s="39">
        <v>2599</v>
      </c>
      <c r="F678" s="66" t="s">
        <v>663</v>
      </c>
    </row>
    <row r="679" spans="1:6" ht="13.5" customHeight="1">
      <c r="A679" s="45" t="s">
        <v>358</v>
      </c>
      <c r="B679" s="46" t="s">
        <v>1182</v>
      </c>
      <c r="C679" s="130">
        <v>19999</v>
      </c>
      <c r="D679" s="39">
        <v>19999</v>
      </c>
      <c r="E679" s="39">
        <v>19999</v>
      </c>
      <c r="F679" s="66" t="s">
        <v>663</v>
      </c>
    </row>
    <row r="680" spans="1:6" ht="13.5" customHeight="1">
      <c r="A680" s="45" t="s">
        <v>358</v>
      </c>
      <c r="B680" s="46" t="s">
        <v>1183</v>
      </c>
      <c r="C680" s="130">
        <v>30999</v>
      </c>
      <c r="D680" s="39">
        <v>30999</v>
      </c>
      <c r="E680" s="39">
        <v>30999</v>
      </c>
      <c r="F680" s="66" t="s">
        <v>663</v>
      </c>
    </row>
    <row r="681" spans="1:6" ht="13.5" customHeight="1">
      <c r="A681" s="45" t="s">
        <v>358</v>
      </c>
      <c r="B681" s="46" t="s">
        <v>1184</v>
      </c>
      <c r="C681" s="130">
        <v>22499</v>
      </c>
      <c r="D681" s="39">
        <v>22499</v>
      </c>
      <c r="E681" s="39">
        <v>22499</v>
      </c>
      <c r="F681" s="66" t="s">
        <v>663</v>
      </c>
    </row>
    <row r="682" spans="1:6" ht="13.5" customHeight="1">
      <c r="A682" s="45" t="s">
        <v>358</v>
      </c>
      <c r="B682" s="46" t="s">
        <v>1185</v>
      </c>
      <c r="C682" s="130">
        <v>27499</v>
      </c>
      <c r="D682" s="39">
        <v>27499</v>
      </c>
      <c r="E682" s="39">
        <v>27499</v>
      </c>
      <c r="F682" s="66" t="s">
        <v>663</v>
      </c>
    </row>
    <row r="683" spans="1:6" ht="13.5" customHeight="1">
      <c r="A683" s="45" t="s">
        <v>358</v>
      </c>
      <c r="B683" s="46" t="s">
        <v>1186</v>
      </c>
      <c r="C683" s="130">
        <v>22999</v>
      </c>
      <c r="D683" s="39">
        <v>22999</v>
      </c>
      <c r="E683" s="39">
        <v>22999</v>
      </c>
      <c r="F683" s="66" t="s">
        <v>663</v>
      </c>
    </row>
    <row r="684" spans="1:6" ht="13.5" customHeight="1">
      <c r="A684" s="45" t="s">
        <v>358</v>
      </c>
      <c r="B684" s="46" t="s">
        <v>1187</v>
      </c>
      <c r="C684" s="130">
        <v>25499</v>
      </c>
      <c r="D684" s="39">
        <v>25499</v>
      </c>
      <c r="E684" s="39">
        <v>25499</v>
      </c>
      <c r="F684" s="66" t="s">
        <v>663</v>
      </c>
    </row>
    <row r="685" spans="1:6" ht="13.5" customHeight="1">
      <c r="A685" s="45" t="s">
        <v>358</v>
      </c>
      <c r="B685" s="46" t="s">
        <v>1188</v>
      </c>
      <c r="C685" s="130">
        <v>30499</v>
      </c>
      <c r="D685" s="39">
        <v>30499</v>
      </c>
      <c r="E685" s="39">
        <v>30499</v>
      </c>
      <c r="F685" s="66" t="s">
        <v>663</v>
      </c>
    </row>
    <row r="686" spans="1:6" ht="13.5" customHeight="1">
      <c r="A686" s="45" t="s">
        <v>358</v>
      </c>
      <c r="B686" s="46" t="s">
        <v>1189</v>
      </c>
      <c r="C686" s="130">
        <v>25999</v>
      </c>
      <c r="D686" s="39">
        <v>25999</v>
      </c>
      <c r="E686" s="39">
        <v>25999</v>
      </c>
      <c r="F686" s="66" t="s">
        <v>663</v>
      </c>
    </row>
    <row r="687" spans="1:6" ht="13.5" customHeight="1">
      <c r="A687" s="45" t="s">
        <v>358</v>
      </c>
      <c r="B687" s="46" t="s">
        <v>1190</v>
      </c>
      <c r="C687" s="130">
        <v>28499</v>
      </c>
      <c r="D687" s="39">
        <v>28499</v>
      </c>
      <c r="E687" s="39">
        <v>28499</v>
      </c>
      <c r="F687" s="66" t="s">
        <v>663</v>
      </c>
    </row>
    <row r="688" spans="1:6" ht="13.5" customHeight="1">
      <c r="A688" s="45" t="s">
        <v>358</v>
      </c>
      <c r="B688" s="46" t="s">
        <v>1191</v>
      </c>
      <c r="C688" s="130">
        <v>33499</v>
      </c>
      <c r="D688" s="39">
        <v>33499</v>
      </c>
      <c r="E688" s="39">
        <v>33499</v>
      </c>
      <c r="F688" s="66" t="s">
        <v>663</v>
      </c>
    </row>
    <row r="689" spans="1:6" ht="13.5" customHeight="1">
      <c r="A689" s="45" t="s">
        <v>358</v>
      </c>
      <c r="B689" s="46" t="s">
        <v>1192</v>
      </c>
      <c r="C689" s="130">
        <v>38499</v>
      </c>
      <c r="D689" s="39">
        <v>38499</v>
      </c>
      <c r="E689" s="39">
        <v>38499</v>
      </c>
      <c r="F689" s="66" t="s">
        <v>663</v>
      </c>
    </row>
    <row r="690" spans="1:6" ht="13.5" customHeight="1">
      <c r="A690" s="45" t="s">
        <v>358</v>
      </c>
      <c r="B690" s="46" t="s">
        <v>1193</v>
      </c>
      <c r="C690" s="130">
        <v>35999</v>
      </c>
      <c r="D690" s="39">
        <v>35999</v>
      </c>
      <c r="E690" s="39">
        <v>35999</v>
      </c>
      <c r="F690" s="66" t="s">
        <v>663</v>
      </c>
    </row>
    <row r="691" spans="1:6" ht="13.5" customHeight="1">
      <c r="A691" s="45" t="s">
        <v>358</v>
      </c>
      <c r="B691" s="46" t="s">
        <v>1194</v>
      </c>
      <c r="C691" s="130">
        <v>40999</v>
      </c>
      <c r="D691" s="39">
        <v>40999</v>
      </c>
      <c r="E691" s="39">
        <v>40999</v>
      </c>
      <c r="F691" s="66" t="s">
        <v>663</v>
      </c>
    </row>
    <row r="692" spans="1:6" ht="13.5" customHeight="1">
      <c r="A692" s="45" t="s">
        <v>393</v>
      </c>
      <c r="B692" s="46" t="s">
        <v>1196</v>
      </c>
      <c r="C692" s="130">
        <v>6499</v>
      </c>
      <c r="D692" s="39">
        <v>6499</v>
      </c>
      <c r="E692" s="39">
        <v>5699</v>
      </c>
      <c r="F692" s="66">
        <v>45859</v>
      </c>
    </row>
    <row r="693" spans="1:6" ht="13.5" customHeight="1">
      <c r="A693" s="45" t="s">
        <v>496</v>
      </c>
      <c r="B693" s="46" t="s">
        <v>1197</v>
      </c>
      <c r="C693" s="130">
        <v>3699</v>
      </c>
      <c r="D693" s="39">
        <v>3699</v>
      </c>
      <c r="E693" s="39">
        <v>3699</v>
      </c>
      <c r="F693" s="66" t="s">
        <v>663</v>
      </c>
    </row>
    <row r="694" spans="1:6" ht="13.5" customHeight="1">
      <c r="A694" s="45" t="s">
        <v>626</v>
      </c>
      <c r="B694" s="46" t="s">
        <v>1198</v>
      </c>
      <c r="C694" s="130">
        <v>2599</v>
      </c>
      <c r="D694" s="39">
        <v>2599</v>
      </c>
      <c r="E694" s="39">
        <v>2599</v>
      </c>
      <c r="F694" s="66" t="s">
        <v>663</v>
      </c>
    </row>
    <row r="695" spans="1:6" ht="13.5" customHeight="1">
      <c r="A695" s="45" t="s">
        <v>626</v>
      </c>
      <c r="B695" s="46" t="s">
        <v>1202</v>
      </c>
      <c r="C695" s="130">
        <v>12999</v>
      </c>
      <c r="D695" s="39">
        <v>12999</v>
      </c>
      <c r="E695" s="39">
        <v>12999</v>
      </c>
      <c r="F695" s="66" t="s">
        <v>663</v>
      </c>
    </row>
    <row r="696" spans="1:6" ht="13.5" customHeight="1">
      <c r="A696" s="45" t="s">
        <v>385</v>
      </c>
      <c r="B696" s="46" t="s">
        <v>1201</v>
      </c>
      <c r="C696" s="130">
        <v>13999</v>
      </c>
      <c r="D696" s="39">
        <v>13999</v>
      </c>
      <c r="E696" s="39">
        <v>13999</v>
      </c>
      <c r="F696" s="66" t="s">
        <v>663</v>
      </c>
    </row>
    <row r="697" spans="1:6" ht="13.5" customHeight="1">
      <c r="A697" s="45" t="s">
        <v>363</v>
      </c>
      <c r="B697" s="46" t="s">
        <v>1199</v>
      </c>
      <c r="C697" s="130">
        <v>4999</v>
      </c>
      <c r="D697" s="39">
        <v>4999</v>
      </c>
      <c r="E697" s="39">
        <v>4999</v>
      </c>
      <c r="F697" s="66" t="s">
        <v>663</v>
      </c>
    </row>
    <row r="698" spans="1:6" ht="13.5" customHeight="1">
      <c r="A698" s="45" t="s">
        <v>363</v>
      </c>
      <c r="B698" s="46" t="s">
        <v>1200</v>
      </c>
      <c r="C698" s="130">
        <v>24999</v>
      </c>
      <c r="D698" s="39">
        <v>24999</v>
      </c>
      <c r="E698" s="39">
        <v>24999</v>
      </c>
      <c r="F698" s="66" t="s">
        <v>663</v>
      </c>
    </row>
    <row r="699" spans="1:6" ht="13.5" customHeight="1">
      <c r="A699" s="45" t="s">
        <v>299</v>
      </c>
      <c r="B699" s="46" t="s">
        <v>1206</v>
      </c>
      <c r="C699" s="130">
        <v>7996</v>
      </c>
      <c r="D699" s="39">
        <v>7996</v>
      </c>
      <c r="E699" s="39">
        <v>7996</v>
      </c>
      <c r="F699" s="66" t="s">
        <v>663</v>
      </c>
    </row>
    <row r="700" spans="1:6" ht="13.5" customHeight="1">
      <c r="A700" s="45" t="s">
        <v>299</v>
      </c>
      <c r="B700" s="46" t="s">
        <v>1207</v>
      </c>
      <c r="C700" s="130">
        <v>2498</v>
      </c>
      <c r="D700" s="39">
        <v>2498</v>
      </c>
      <c r="E700" s="39">
        <v>2498</v>
      </c>
      <c r="F700" s="66" t="s">
        <v>663</v>
      </c>
    </row>
    <row r="701" spans="1:6" ht="13.5" customHeight="1">
      <c r="A701" s="45" t="s">
        <v>299</v>
      </c>
      <c r="B701" s="46" t="s">
        <v>1208</v>
      </c>
      <c r="C701" s="130">
        <v>8995</v>
      </c>
      <c r="D701" s="39">
        <v>8995</v>
      </c>
      <c r="E701" s="39">
        <v>8995</v>
      </c>
      <c r="F701" s="66" t="s">
        <v>663</v>
      </c>
    </row>
    <row r="702" spans="1:6" ht="13.5" customHeight="1">
      <c r="A702" s="45" t="s">
        <v>299</v>
      </c>
      <c r="B702" s="46" t="s">
        <v>1209</v>
      </c>
      <c r="C702" s="130">
        <v>3897</v>
      </c>
      <c r="D702" s="39">
        <v>3897</v>
      </c>
      <c r="E702" s="39">
        <v>3897</v>
      </c>
      <c r="F702" s="66" t="s">
        <v>663</v>
      </c>
    </row>
    <row r="703" spans="1:6" ht="13.5" customHeight="1">
      <c r="A703" s="45" t="s">
        <v>299</v>
      </c>
      <c r="B703" s="46" t="s">
        <v>1210</v>
      </c>
      <c r="C703" s="130">
        <v>3497</v>
      </c>
      <c r="D703" s="39">
        <v>3497</v>
      </c>
      <c r="E703" s="39">
        <v>3497</v>
      </c>
      <c r="F703" s="66" t="s">
        <v>663</v>
      </c>
    </row>
    <row r="704" spans="1:6" ht="13.5" customHeight="1">
      <c r="A704" s="45" t="s">
        <v>299</v>
      </c>
      <c r="B704" s="46" t="s">
        <v>1211</v>
      </c>
      <c r="C704" s="130">
        <v>6999</v>
      </c>
      <c r="D704" s="39">
        <v>6999</v>
      </c>
      <c r="E704" s="39">
        <v>6999</v>
      </c>
      <c r="F704" s="66" t="s">
        <v>663</v>
      </c>
    </row>
    <row r="705" spans="1:6" ht="13.5" customHeight="1">
      <c r="A705" s="45" t="s">
        <v>299</v>
      </c>
      <c r="B705" s="46" t="s">
        <v>1195</v>
      </c>
      <c r="C705" s="130">
        <v>1999</v>
      </c>
      <c r="D705" s="39">
        <v>1999</v>
      </c>
      <c r="E705" s="39">
        <v>1999</v>
      </c>
      <c r="F705" s="66" t="s">
        <v>663</v>
      </c>
    </row>
    <row r="706" spans="1:6" ht="13.5" customHeight="1">
      <c r="A706" s="45" t="s">
        <v>299</v>
      </c>
      <c r="B706" s="46" t="s">
        <v>1212</v>
      </c>
      <c r="C706" s="130">
        <v>2898</v>
      </c>
      <c r="D706" s="39">
        <v>2898</v>
      </c>
      <c r="E706" s="39">
        <v>2898</v>
      </c>
      <c r="F706" s="66" t="s">
        <v>663</v>
      </c>
    </row>
    <row r="707" spans="1:6" ht="13.5" customHeight="1">
      <c r="A707" s="45" t="s">
        <v>393</v>
      </c>
      <c r="B707" s="46" t="s">
        <v>1214</v>
      </c>
      <c r="C707" s="130">
        <v>7499</v>
      </c>
      <c r="D707" s="39">
        <v>7499</v>
      </c>
      <c r="E707" s="39">
        <v>6999</v>
      </c>
      <c r="F707" s="66">
        <v>45859</v>
      </c>
    </row>
    <row r="708" spans="1:6" ht="13.5" customHeight="1">
      <c r="A708" s="45" t="s">
        <v>496</v>
      </c>
      <c r="B708" s="46" t="s">
        <v>1215</v>
      </c>
      <c r="C708" s="130">
        <v>2999</v>
      </c>
      <c r="D708" s="39">
        <v>2999</v>
      </c>
      <c r="E708" s="39">
        <v>2999</v>
      </c>
      <c r="F708" s="66" t="s">
        <v>663</v>
      </c>
    </row>
    <row r="709" spans="1:6" ht="13.5" customHeight="1">
      <c r="A709" s="45" t="s">
        <v>385</v>
      </c>
      <c r="B709" s="46" t="s">
        <v>1216</v>
      </c>
      <c r="C709" s="130">
        <v>3499</v>
      </c>
      <c r="D709" s="39">
        <v>3499</v>
      </c>
      <c r="E709" s="39">
        <v>3499</v>
      </c>
      <c r="F709" s="66" t="s">
        <v>663</v>
      </c>
    </row>
    <row r="710" spans="1:6" ht="13.5" customHeight="1">
      <c r="A710" s="45" t="s">
        <v>496</v>
      </c>
      <c r="B710" s="46" t="s">
        <v>1218</v>
      </c>
      <c r="C710" s="130">
        <v>5999</v>
      </c>
      <c r="D710" s="39">
        <v>5999</v>
      </c>
      <c r="E710" s="39">
        <v>5999</v>
      </c>
      <c r="F710" s="66" t="s">
        <v>663</v>
      </c>
    </row>
    <row r="711" spans="1:6" ht="13.5" customHeight="1">
      <c r="A711" s="45" t="s">
        <v>393</v>
      </c>
      <c r="B711" s="46" t="s">
        <v>1220</v>
      </c>
      <c r="C711" s="130">
        <v>24999</v>
      </c>
      <c r="D711" s="39">
        <v>24999</v>
      </c>
      <c r="E711" s="39">
        <v>24999</v>
      </c>
      <c r="F711" s="66" t="s">
        <v>663</v>
      </c>
    </row>
    <row r="712" spans="1:6" ht="13.5" customHeight="1">
      <c r="A712" s="45" t="s">
        <v>336</v>
      </c>
      <c r="B712" s="46" t="s">
        <v>1222</v>
      </c>
      <c r="C712" s="130">
        <v>15499</v>
      </c>
      <c r="D712" s="39">
        <v>15499</v>
      </c>
      <c r="E712" s="39">
        <v>15499</v>
      </c>
      <c r="F712" s="66" t="s">
        <v>663</v>
      </c>
    </row>
    <row r="713" spans="1:6" ht="13.5" customHeight="1">
      <c r="A713" s="45" t="s">
        <v>496</v>
      </c>
      <c r="B713" s="46" t="s">
        <v>1223</v>
      </c>
      <c r="C713" s="130">
        <v>6999</v>
      </c>
      <c r="D713" s="39">
        <v>6999</v>
      </c>
      <c r="E713" s="39">
        <v>6999</v>
      </c>
      <c r="F713" s="66" t="s">
        <v>663</v>
      </c>
    </row>
    <row r="714" spans="1:6" ht="13.5" customHeight="1">
      <c r="A714" s="45" t="s">
        <v>496</v>
      </c>
      <c r="B714" s="46" t="s">
        <v>1224</v>
      </c>
      <c r="C714" s="130">
        <v>6999</v>
      </c>
      <c r="D714" s="39">
        <v>6999</v>
      </c>
      <c r="E714" s="39">
        <v>6999</v>
      </c>
      <c r="F714" s="66" t="s">
        <v>663</v>
      </c>
    </row>
    <row r="715" spans="1:6" ht="13.5" customHeight="1">
      <c r="A715" s="45" t="s">
        <v>363</v>
      </c>
      <c r="B715" s="46" t="s">
        <v>1227</v>
      </c>
      <c r="C715" s="130">
        <v>2999</v>
      </c>
      <c r="D715" s="39">
        <v>2999</v>
      </c>
      <c r="E715" s="39">
        <v>2999</v>
      </c>
      <c r="F715" s="66" t="s">
        <v>663</v>
      </c>
    </row>
    <row r="716" spans="1:6" ht="13.5" customHeight="1">
      <c r="A716" s="45" t="s">
        <v>363</v>
      </c>
      <c r="B716" s="46" t="s">
        <v>1228</v>
      </c>
      <c r="C716" s="130">
        <v>3999</v>
      </c>
      <c r="D716" s="39">
        <v>3999</v>
      </c>
      <c r="E716" s="39">
        <v>3999</v>
      </c>
      <c r="F716" s="66" t="s">
        <v>663</v>
      </c>
    </row>
    <row r="717" spans="1:6" ht="13.5" customHeight="1">
      <c r="A717" s="45" t="s">
        <v>336</v>
      </c>
      <c r="B717" s="46" t="s">
        <v>1229</v>
      </c>
      <c r="C717" s="130">
        <v>4299</v>
      </c>
      <c r="D717" s="39">
        <v>4299</v>
      </c>
      <c r="E717" s="39">
        <v>4299</v>
      </c>
      <c r="F717" s="66" t="s">
        <v>663</v>
      </c>
    </row>
    <row r="718" spans="1:6" ht="13.5" customHeight="1">
      <c r="A718" s="45" t="s">
        <v>496</v>
      </c>
      <c r="B718" s="46" t="s">
        <v>1231</v>
      </c>
      <c r="C718" s="130">
        <v>9999</v>
      </c>
      <c r="D718" s="39">
        <v>9999</v>
      </c>
      <c r="E718" s="39">
        <v>9999</v>
      </c>
      <c r="F718" s="66" t="s">
        <v>663</v>
      </c>
    </row>
    <row r="719" spans="1:6" ht="13.5" customHeight="1">
      <c r="A719" s="45" t="s">
        <v>336</v>
      </c>
      <c r="B719" s="46" t="s">
        <v>1233</v>
      </c>
      <c r="C719" s="130">
        <v>21499</v>
      </c>
      <c r="D719" s="39">
        <v>21499</v>
      </c>
      <c r="E719" s="39">
        <v>21499</v>
      </c>
      <c r="F719" s="66" t="s">
        <v>663</v>
      </c>
    </row>
    <row r="720" spans="1:6" ht="13.5" customHeight="1">
      <c r="A720" s="45" t="s">
        <v>336</v>
      </c>
      <c r="B720" s="46" t="s">
        <v>1234</v>
      </c>
      <c r="C720" s="130">
        <v>32999</v>
      </c>
      <c r="D720" s="39">
        <v>30499</v>
      </c>
      <c r="E720" s="39">
        <v>30499</v>
      </c>
      <c r="F720" s="66">
        <v>46097</v>
      </c>
    </row>
    <row r="721" spans="1:6" ht="13.5" customHeight="1">
      <c r="A721" s="45" t="s">
        <v>336</v>
      </c>
      <c r="B721" s="46" t="s">
        <v>1235</v>
      </c>
      <c r="C721" s="130">
        <v>35999</v>
      </c>
      <c r="D721" s="39">
        <v>35999</v>
      </c>
      <c r="E721" s="39">
        <v>35999</v>
      </c>
      <c r="F721" s="66" t="s">
        <v>663</v>
      </c>
    </row>
    <row r="722" spans="1:6" ht="13.5" customHeight="1">
      <c r="A722" s="45" t="s">
        <v>336</v>
      </c>
      <c r="B722" s="46" t="s">
        <v>1236</v>
      </c>
      <c r="C722" s="130">
        <v>28999</v>
      </c>
      <c r="D722" s="39">
        <v>28999</v>
      </c>
      <c r="E722" s="39">
        <v>28999</v>
      </c>
      <c r="F722" s="66" t="s">
        <v>663</v>
      </c>
    </row>
    <row r="723" spans="1:6" ht="13.5" customHeight="1">
      <c r="A723" s="45" t="s">
        <v>385</v>
      </c>
      <c r="B723" s="46" t="s">
        <v>1239</v>
      </c>
      <c r="C723" s="130">
        <v>5999</v>
      </c>
      <c r="D723" s="39">
        <v>5999</v>
      </c>
      <c r="E723" s="39">
        <v>5999</v>
      </c>
      <c r="F723" s="66" t="s">
        <v>663</v>
      </c>
    </row>
    <row r="724" spans="1:6" ht="13.5" customHeight="1">
      <c r="A724" s="45" t="s">
        <v>385</v>
      </c>
      <c r="B724" s="46" t="s">
        <v>1240</v>
      </c>
      <c r="C724" s="130">
        <v>9999</v>
      </c>
      <c r="D724" s="39">
        <v>9999</v>
      </c>
      <c r="E724" s="39">
        <v>9999</v>
      </c>
      <c r="F724" s="66" t="s">
        <v>663</v>
      </c>
    </row>
    <row r="725" spans="1:6" ht="13.5" customHeight="1">
      <c r="A725" s="45" t="s">
        <v>385</v>
      </c>
      <c r="B725" s="46" t="s">
        <v>1241</v>
      </c>
      <c r="C725" s="130">
        <v>13999</v>
      </c>
      <c r="D725" s="39">
        <v>13999</v>
      </c>
      <c r="E725" s="39">
        <v>13999</v>
      </c>
      <c r="F725" s="66" t="s">
        <v>663</v>
      </c>
    </row>
    <row r="726" spans="1:6" ht="13.5" customHeight="1">
      <c r="A726" s="45" t="s">
        <v>393</v>
      </c>
      <c r="B726" s="46" t="s">
        <v>1243</v>
      </c>
      <c r="C726" s="130">
        <v>14999</v>
      </c>
      <c r="D726" s="39">
        <v>14999</v>
      </c>
      <c r="E726" s="39">
        <v>14999</v>
      </c>
      <c r="F726" s="66" t="s">
        <v>663</v>
      </c>
    </row>
    <row r="727" spans="1:6" ht="13.5" customHeight="1">
      <c r="A727" s="45" t="s">
        <v>393</v>
      </c>
      <c r="B727" s="46" t="s">
        <v>1244</v>
      </c>
      <c r="C727" s="130">
        <v>10999</v>
      </c>
      <c r="D727" s="39">
        <v>10999</v>
      </c>
      <c r="E727" s="39">
        <v>10999</v>
      </c>
      <c r="F727" s="66" t="s">
        <v>663</v>
      </c>
    </row>
    <row r="728" spans="1:6" ht="13.5" customHeight="1">
      <c r="A728" s="45" t="s">
        <v>496</v>
      </c>
      <c r="B728" s="46" t="s">
        <v>1246</v>
      </c>
      <c r="C728" s="130">
        <v>7999</v>
      </c>
      <c r="D728" s="39">
        <v>7999</v>
      </c>
      <c r="E728" s="39">
        <v>7999</v>
      </c>
      <c r="F728" s="66" t="s">
        <v>663</v>
      </c>
    </row>
    <row r="729" spans="1:6" ht="13.5" customHeight="1">
      <c r="A729" s="45" t="s">
        <v>358</v>
      </c>
      <c r="B729" s="46" t="s">
        <v>1247</v>
      </c>
      <c r="C729" s="130">
        <v>14999</v>
      </c>
      <c r="D729" s="39">
        <v>14999</v>
      </c>
      <c r="E729" s="39">
        <v>14999</v>
      </c>
      <c r="F729" s="66" t="s">
        <v>663</v>
      </c>
    </row>
    <row r="730" spans="1:6" ht="13.5" customHeight="1">
      <c r="A730" s="45" t="s">
        <v>358</v>
      </c>
      <c r="B730" s="46" t="s">
        <v>1248</v>
      </c>
      <c r="C730" s="130">
        <v>17499</v>
      </c>
      <c r="D730" s="39">
        <v>17499</v>
      </c>
      <c r="E730" s="39">
        <v>17499</v>
      </c>
      <c r="F730" s="66" t="s">
        <v>663</v>
      </c>
    </row>
    <row r="731" spans="1:6" ht="13.5" customHeight="1">
      <c r="A731" s="45" t="s">
        <v>358</v>
      </c>
      <c r="B731" s="46" t="s">
        <v>1249</v>
      </c>
      <c r="C731" s="130">
        <v>22499</v>
      </c>
      <c r="D731" s="39">
        <v>22499</v>
      </c>
      <c r="E731" s="39">
        <v>22499</v>
      </c>
      <c r="F731" s="66" t="s">
        <v>663</v>
      </c>
    </row>
    <row r="732" spans="1:6" ht="13.5" customHeight="1">
      <c r="A732" s="45" t="s">
        <v>363</v>
      </c>
      <c r="B732" s="46" t="s">
        <v>1250</v>
      </c>
      <c r="C732" s="39">
        <v>2499</v>
      </c>
      <c r="D732" s="39">
        <v>2499</v>
      </c>
      <c r="E732" s="39">
        <v>1999</v>
      </c>
      <c r="F732" s="66">
        <v>45880</v>
      </c>
    </row>
    <row r="733" spans="1:6" ht="13.5" customHeight="1">
      <c r="A733" s="45" t="s">
        <v>496</v>
      </c>
      <c r="B733" s="46" t="s">
        <v>1253</v>
      </c>
      <c r="C733" s="130">
        <v>29999</v>
      </c>
      <c r="D733" s="39">
        <v>29999</v>
      </c>
      <c r="E733" s="39">
        <v>29999</v>
      </c>
      <c r="F733" s="66" t="s">
        <v>663</v>
      </c>
    </row>
    <row r="734" spans="1:6" ht="13.5" customHeight="1">
      <c r="A734" s="45" t="s">
        <v>496</v>
      </c>
      <c r="B734" s="46" t="s">
        <v>1255</v>
      </c>
      <c r="C734" s="130">
        <v>45999</v>
      </c>
      <c r="D734" s="39">
        <v>45999</v>
      </c>
      <c r="E734" s="39">
        <v>45999</v>
      </c>
      <c r="F734" s="66" t="s">
        <v>663</v>
      </c>
    </row>
    <row r="735" spans="1:6" ht="13.5" customHeight="1">
      <c r="A735" s="45" t="s">
        <v>336</v>
      </c>
      <c r="B735" s="46" t="s">
        <v>1256</v>
      </c>
      <c r="C735" s="130">
        <v>7499</v>
      </c>
      <c r="D735" s="39">
        <v>7499</v>
      </c>
      <c r="E735" s="39">
        <v>7499</v>
      </c>
      <c r="F735" s="66" t="s">
        <v>663</v>
      </c>
    </row>
    <row r="736" spans="1:6" ht="13.5" customHeight="1">
      <c r="A736" s="45" t="s">
        <v>336</v>
      </c>
      <c r="B736" s="46" t="s">
        <v>1257</v>
      </c>
      <c r="C736" s="130">
        <v>10999</v>
      </c>
      <c r="D736" s="39">
        <v>10999</v>
      </c>
      <c r="E736" s="39">
        <v>10999</v>
      </c>
      <c r="F736" s="66" t="s">
        <v>663</v>
      </c>
    </row>
    <row r="737" spans="1:6" ht="13.5" customHeight="1">
      <c r="A737" s="45" t="s">
        <v>393</v>
      </c>
      <c r="B737" s="46" t="s">
        <v>1259</v>
      </c>
      <c r="C737" s="130">
        <v>44999</v>
      </c>
      <c r="D737" s="39">
        <v>44999</v>
      </c>
      <c r="E737" s="39">
        <v>44999</v>
      </c>
      <c r="F737" s="66" t="s">
        <v>663</v>
      </c>
    </row>
    <row r="738" spans="1:6" ht="13.5" customHeight="1">
      <c r="A738" s="45" t="s">
        <v>363</v>
      </c>
      <c r="B738" s="46" t="s">
        <v>1261</v>
      </c>
      <c r="C738" s="130">
        <v>8999</v>
      </c>
      <c r="D738" s="39">
        <v>8999</v>
      </c>
      <c r="E738" s="39">
        <v>8999</v>
      </c>
      <c r="F738" s="66" t="s">
        <v>663</v>
      </c>
    </row>
    <row r="739" spans="1:6" ht="13.5" customHeight="1">
      <c r="A739" s="45" t="s">
        <v>385</v>
      </c>
      <c r="B739" s="46" t="s">
        <v>1262</v>
      </c>
      <c r="C739" s="130">
        <v>1999</v>
      </c>
      <c r="D739" s="39">
        <v>1999</v>
      </c>
      <c r="E739" s="39">
        <v>1999</v>
      </c>
      <c r="F739" s="66" t="s">
        <v>663</v>
      </c>
    </row>
    <row r="740" spans="1:6" ht="13.5" customHeight="1">
      <c r="A740" s="45" t="s">
        <v>393</v>
      </c>
      <c r="B740" s="46" t="s">
        <v>1263</v>
      </c>
      <c r="C740" s="39">
        <v>6999</v>
      </c>
      <c r="D740" s="39">
        <v>6499</v>
      </c>
      <c r="E740" s="39">
        <v>5999</v>
      </c>
      <c r="F740" s="66">
        <v>45859</v>
      </c>
    </row>
    <row r="741" spans="1:6" ht="13.5" customHeight="1">
      <c r="A741" s="45" t="s">
        <v>393</v>
      </c>
      <c r="B741" s="46" t="s">
        <v>1264</v>
      </c>
      <c r="C741" s="130">
        <v>19999</v>
      </c>
      <c r="D741" s="39">
        <v>19999</v>
      </c>
      <c r="E741" s="39">
        <v>19999</v>
      </c>
      <c r="F741" s="66" t="s">
        <v>663</v>
      </c>
    </row>
    <row r="742" spans="1:6" ht="13.5" customHeight="1">
      <c r="A742" s="45" t="s">
        <v>338</v>
      </c>
      <c r="B742" s="46" t="s">
        <v>1266</v>
      </c>
      <c r="C742" s="130">
        <v>11999</v>
      </c>
      <c r="D742" s="39">
        <v>11999</v>
      </c>
      <c r="E742" s="39">
        <v>11999</v>
      </c>
      <c r="F742" s="66" t="s">
        <v>663</v>
      </c>
    </row>
    <row r="743" spans="1:6" ht="13.5" customHeight="1">
      <c r="A743" s="45" t="s">
        <v>338</v>
      </c>
      <c r="B743" s="46" t="s">
        <v>1267</v>
      </c>
      <c r="C743" s="130">
        <v>16999</v>
      </c>
      <c r="D743" s="39">
        <v>16999</v>
      </c>
      <c r="E743" s="39">
        <v>16999</v>
      </c>
      <c r="F743" s="66" t="s">
        <v>663</v>
      </c>
    </row>
    <row r="744" spans="1:6" ht="13.5" customHeight="1">
      <c r="A744" s="45" t="s">
        <v>363</v>
      </c>
      <c r="B744" s="46" t="s">
        <v>1269</v>
      </c>
      <c r="C744" s="130">
        <v>5999</v>
      </c>
      <c r="D744" s="39">
        <v>5999</v>
      </c>
      <c r="E744" s="39">
        <v>5999</v>
      </c>
      <c r="F744" s="66" t="s">
        <v>663</v>
      </c>
    </row>
    <row r="745" spans="1:6" ht="13.5" customHeight="1">
      <c r="A745" s="45" t="s">
        <v>336</v>
      </c>
      <c r="B745" s="46" t="s">
        <v>1271</v>
      </c>
      <c r="C745" s="130">
        <v>5999</v>
      </c>
      <c r="D745" s="39">
        <v>5999</v>
      </c>
      <c r="E745" s="39">
        <v>5999</v>
      </c>
      <c r="F745" s="66" t="s">
        <v>663</v>
      </c>
    </row>
    <row r="746" spans="1:6" ht="13.5" customHeight="1">
      <c r="A746" s="45" t="s">
        <v>336</v>
      </c>
      <c r="B746" s="46" t="s">
        <v>1272</v>
      </c>
      <c r="C746" s="130">
        <v>28499</v>
      </c>
      <c r="D746" s="39">
        <v>28499</v>
      </c>
      <c r="E746" s="39">
        <v>28499</v>
      </c>
      <c r="F746" s="66" t="s">
        <v>663</v>
      </c>
    </row>
    <row r="747" spans="1:6" ht="13.5" customHeight="1">
      <c r="A747" s="45" t="s">
        <v>496</v>
      </c>
      <c r="B747" s="46" t="s">
        <v>1274</v>
      </c>
      <c r="C747" s="130">
        <v>12999</v>
      </c>
      <c r="D747" s="39">
        <v>12999</v>
      </c>
      <c r="E747" s="39">
        <v>12999</v>
      </c>
      <c r="F747" s="66" t="s">
        <v>663</v>
      </c>
    </row>
    <row r="748" spans="1:6" ht="13.5" customHeight="1">
      <c r="A748" s="45" t="s">
        <v>496</v>
      </c>
      <c r="B748" s="46" t="s">
        <v>1275</v>
      </c>
      <c r="C748" s="130">
        <v>3999</v>
      </c>
      <c r="D748" s="39">
        <v>3999</v>
      </c>
      <c r="E748" s="39">
        <v>3999</v>
      </c>
      <c r="F748" s="66" t="s">
        <v>663</v>
      </c>
    </row>
    <row r="749" spans="1:6" ht="13.5" customHeight="1">
      <c r="A749" s="45" t="s">
        <v>363</v>
      </c>
      <c r="B749" s="46" t="s">
        <v>1276</v>
      </c>
      <c r="C749" s="130">
        <v>14999</v>
      </c>
      <c r="D749" s="39">
        <v>14999</v>
      </c>
      <c r="E749" s="39">
        <v>14999</v>
      </c>
      <c r="F749" s="66" t="s">
        <v>663</v>
      </c>
    </row>
    <row r="750" spans="1:6" ht="13.5" customHeight="1">
      <c r="A750" s="45" t="s">
        <v>363</v>
      </c>
      <c r="B750" s="46" t="s">
        <v>1277</v>
      </c>
      <c r="C750" s="130">
        <v>32999</v>
      </c>
      <c r="D750" s="39">
        <v>32999</v>
      </c>
      <c r="E750" s="39">
        <v>32999</v>
      </c>
      <c r="F750" s="66" t="s">
        <v>663</v>
      </c>
    </row>
    <row r="751" spans="1:6" ht="13.5" customHeight="1">
      <c r="A751" s="45" t="s">
        <v>393</v>
      </c>
      <c r="B751" s="46" t="s">
        <v>1270</v>
      </c>
      <c r="C751" s="130">
        <v>4499</v>
      </c>
      <c r="D751" s="39">
        <v>4499</v>
      </c>
      <c r="E751" s="39">
        <v>4499</v>
      </c>
      <c r="F751" s="66" t="s">
        <v>663</v>
      </c>
    </row>
    <row r="752" spans="1:6" ht="13.5" customHeight="1">
      <c r="A752" s="45" t="s">
        <v>393</v>
      </c>
      <c r="B752" s="46" t="s">
        <v>1278</v>
      </c>
      <c r="C752" s="130">
        <v>7999</v>
      </c>
      <c r="D752" s="39">
        <v>7999</v>
      </c>
      <c r="E752" s="39">
        <v>7999</v>
      </c>
      <c r="F752" s="66" t="s">
        <v>663</v>
      </c>
    </row>
    <row r="753" spans="1:6" ht="13.5" customHeight="1">
      <c r="A753" s="45" t="s">
        <v>336</v>
      </c>
      <c r="B753" s="46" t="s">
        <v>1279</v>
      </c>
      <c r="C753" s="130">
        <v>28499</v>
      </c>
      <c r="D753" s="39">
        <v>28499</v>
      </c>
      <c r="E753" s="39">
        <v>28499</v>
      </c>
      <c r="F753" s="66" t="s">
        <v>663</v>
      </c>
    </row>
    <row r="754" spans="1:6" ht="13.5" customHeight="1">
      <c r="A754" s="45" t="s">
        <v>336</v>
      </c>
      <c r="B754" s="46" t="s">
        <v>1280</v>
      </c>
      <c r="C754" s="130">
        <v>48999</v>
      </c>
      <c r="D754" s="39">
        <v>48999</v>
      </c>
      <c r="E754" s="39">
        <v>48999</v>
      </c>
      <c r="F754" s="66" t="s">
        <v>663</v>
      </c>
    </row>
    <row r="755" spans="1:6" ht="13.5" customHeight="1">
      <c r="A755" s="45" t="s">
        <v>496</v>
      </c>
      <c r="B755" s="46" t="s">
        <v>1281</v>
      </c>
      <c r="C755" s="130">
        <v>6999</v>
      </c>
      <c r="D755" s="39">
        <v>6999</v>
      </c>
      <c r="E755" s="39">
        <v>6999</v>
      </c>
      <c r="F755" s="66" t="s">
        <v>663</v>
      </c>
    </row>
    <row r="756" spans="1:6" ht="13.5" customHeight="1">
      <c r="A756" s="45" t="s">
        <v>385</v>
      </c>
      <c r="B756" s="46" t="s">
        <v>1282</v>
      </c>
      <c r="C756" s="130">
        <v>2999</v>
      </c>
      <c r="D756" s="39">
        <v>2999</v>
      </c>
      <c r="E756" s="39">
        <v>2999</v>
      </c>
      <c r="F756" s="66" t="s">
        <v>663</v>
      </c>
    </row>
    <row r="757" spans="1:6" ht="13.5" customHeight="1">
      <c r="A757" s="45" t="s">
        <v>299</v>
      </c>
      <c r="B757" s="46" t="s">
        <v>1283</v>
      </c>
      <c r="C757" s="130">
        <v>3200</v>
      </c>
      <c r="D757" s="39">
        <v>3200</v>
      </c>
      <c r="E757" s="39">
        <v>3200</v>
      </c>
      <c r="F757" s="66" t="s">
        <v>663</v>
      </c>
    </row>
    <row r="758" spans="1:6" ht="13.5" customHeight="1">
      <c r="A758" s="45" t="s">
        <v>1317</v>
      </c>
      <c r="B758" s="46" t="s">
        <v>1284</v>
      </c>
      <c r="C758" s="130">
        <v>3599</v>
      </c>
      <c r="D758" s="39">
        <v>3599</v>
      </c>
      <c r="E758" s="39">
        <v>3599</v>
      </c>
      <c r="F758" s="66" t="s">
        <v>663</v>
      </c>
    </row>
    <row r="759" spans="1:6" ht="13.5" customHeight="1">
      <c r="A759" s="45" t="s">
        <v>1317</v>
      </c>
      <c r="B759" s="46" t="s">
        <v>1285</v>
      </c>
      <c r="C759" s="130">
        <v>3600</v>
      </c>
      <c r="D759" s="39">
        <v>3600</v>
      </c>
      <c r="E759" s="39">
        <v>3600</v>
      </c>
      <c r="F759" s="66" t="s">
        <v>663</v>
      </c>
    </row>
    <row r="760" spans="1:6" ht="13.5" customHeight="1">
      <c r="A760" s="45" t="s">
        <v>299</v>
      </c>
      <c r="B760" s="46" t="s">
        <v>1286</v>
      </c>
      <c r="C760" s="130">
        <v>4899</v>
      </c>
      <c r="D760" s="39">
        <v>4899</v>
      </c>
      <c r="E760" s="39">
        <v>4899</v>
      </c>
      <c r="F760" s="66" t="s">
        <v>663</v>
      </c>
    </row>
    <row r="761" spans="1:6" ht="13.5" customHeight="1">
      <c r="A761" s="45" t="s">
        <v>1317</v>
      </c>
      <c r="B761" s="46" t="s">
        <v>1287</v>
      </c>
      <c r="C761" s="130">
        <v>6695</v>
      </c>
      <c r="D761" s="39">
        <v>6695</v>
      </c>
      <c r="E761" s="39">
        <v>6695</v>
      </c>
      <c r="F761" s="66" t="s">
        <v>663</v>
      </c>
    </row>
    <row r="762" spans="1:6" ht="13.5" customHeight="1">
      <c r="A762" s="45" t="s">
        <v>1317</v>
      </c>
      <c r="B762" s="46" t="s">
        <v>1288</v>
      </c>
      <c r="C762" s="130">
        <v>6796</v>
      </c>
      <c r="D762" s="39">
        <v>6796</v>
      </c>
      <c r="E762" s="39">
        <v>6796</v>
      </c>
      <c r="F762" s="66" t="s">
        <v>663</v>
      </c>
    </row>
    <row r="763" spans="1:6" ht="13.5" customHeight="1">
      <c r="A763" s="45" t="s">
        <v>1317</v>
      </c>
      <c r="B763" s="46" t="s">
        <v>1289</v>
      </c>
      <c r="C763" s="130">
        <v>7795</v>
      </c>
      <c r="D763" s="39">
        <v>7795</v>
      </c>
      <c r="E763" s="39">
        <v>7795</v>
      </c>
      <c r="F763" s="66" t="s">
        <v>663</v>
      </c>
    </row>
    <row r="764" spans="1:6" ht="13.5" customHeight="1">
      <c r="A764" s="45" t="s">
        <v>299</v>
      </c>
      <c r="B764" s="46" t="s">
        <v>1290</v>
      </c>
      <c r="C764" s="130">
        <v>5898</v>
      </c>
      <c r="D764" s="39">
        <v>5898</v>
      </c>
      <c r="E764" s="39">
        <v>5898</v>
      </c>
      <c r="F764" s="66" t="s">
        <v>663</v>
      </c>
    </row>
    <row r="765" spans="1:6" ht="13.5" customHeight="1">
      <c r="A765" s="45" t="s">
        <v>363</v>
      </c>
      <c r="B765" s="46" t="s">
        <v>1291</v>
      </c>
      <c r="C765" s="130">
        <v>2499</v>
      </c>
      <c r="D765" s="39">
        <v>2499</v>
      </c>
      <c r="E765" s="39">
        <v>2499</v>
      </c>
      <c r="F765" s="66" t="s">
        <v>663</v>
      </c>
    </row>
    <row r="766" spans="1:6" ht="13.5" customHeight="1">
      <c r="A766" s="45" t="s">
        <v>393</v>
      </c>
      <c r="B766" s="46" t="s">
        <v>1292</v>
      </c>
      <c r="C766" s="130">
        <v>9999</v>
      </c>
      <c r="D766" s="39">
        <v>9999</v>
      </c>
      <c r="E766" s="39">
        <v>9999</v>
      </c>
      <c r="F766" s="66" t="s">
        <v>663</v>
      </c>
    </row>
    <row r="767" spans="1:6" ht="13.5" customHeight="1">
      <c r="A767" s="45" t="s">
        <v>336</v>
      </c>
      <c r="B767" s="46" t="s">
        <v>1293</v>
      </c>
      <c r="C767" s="130">
        <v>15499</v>
      </c>
      <c r="D767" s="39">
        <v>15499</v>
      </c>
      <c r="E767" s="39">
        <v>15499</v>
      </c>
      <c r="F767" s="66" t="s">
        <v>663</v>
      </c>
    </row>
    <row r="768" spans="1:6" ht="13.5" customHeight="1">
      <c r="A768" s="45" t="s">
        <v>358</v>
      </c>
      <c r="B768" s="46" t="s">
        <v>1294</v>
      </c>
      <c r="C768" s="130">
        <v>30999</v>
      </c>
      <c r="D768" s="39">
        <v>30999</v>
      </c>
      <c r="E768" s="39">
        <v>30999</v>
      </c>
      <c r="F768" s="66" t="s">
        <v>663</v>
      </c>
    </row>
    <row r="769" spans="1:6" ht="13.5" customHeight="1">
      <c r="A769" s="45" t="s">
        <v>358</v>
      </c>
      <c r="B769" s="46" t="s">
        <v>1295</v>
      </c>
      <c r="C769" s="130">
        <v>19999</v>
      </c>
      <c r="D769" s="39">
        <v>19999</v>
      </c>
      <c r="E769" s="39">
        <v>19999</v>
      </c>
      <c r="F769" s="66" t="s">
        <v>663</v>
      </c>
    </row>
    <row r="770" spans="1:6" ht="13.5" customHeight="1">
      <c r="A770" s="45" t="s">
        <v>358</v>
      </c>
      <c r="B770" s="46" t="s">
        <v>1296</v>
      </c>
      <c r="C770" s="130">
        <v>24999</v>
      </c>
      <c r="D770" s="39">
        <v>24999</v>
      </c>
      <c r="E770" s="39">
        <v>24999</v>
      </c>
      <c r="F770" s="66" t="s">
        <v>663</v>
      </c>
    </row>
    <row r="771" spans="1:6" ht="13.5" customHeight="1">
      <c r="A771" s="45" t="s">
        <v>358</v>
      </c>
      <c r="B771" s="46" t="s">
        <v>1297</v>
      </c>
      <c r="C771" s="130">
        <v>25999</v>
      </c>
      <c r="D771" s="39">
        <v>25999</v>
      </c>
      <c r="E771" s="39">
        <v>25999</v>
      </c>
      <c r="F771" s="66" t="s">
        <v>663</v>
      </c>
    </row>
    <row r="772" spans="1:6" ht="13.5" customHeight="1">
      <c r="A772" s="45" t="s">
        <v>358</v>
      </c>
      <c r="B772" s="46" t="s">
        <v>1298</v>
      </c>
      <c r="C772" s="130">
        <v>30999</v>
      </c>
      <c r="D772" s="39">
        <v>30999</v>
      </c>
      <c r="E772" s="39">
        <v>30999</v>
      </c>
      <c r="F772" s="66" t="s">
        <v>663</v>
      </c>
    </row>
    <row r="773" spans="1:6" ht="13.5" customHeight="1">
      <c r="A773" s="45" t="s">
        <v>358</v>
      </c>
      <c r="B773" s="46" t="s">
        <v>1299</v>
      </c>
      <c r="C773" s="130">
        <v>28499</v>
      </c>
      <c r="D773" s="39">
        <v>28499</v>
      </c>
      <c r="E773" s="39">
        <v>28499</v>
      </c>
      <c r="F773" s="66" t="s">
        <v>663</v>
      </c>
    </row>
    <row r="774" spans="1:6" ht="13.5" customHeight="1">
      <c r="A774" s="45" t="s">
        <v>358</v>
      </c>
      <c r="B774" s="46" t="s">
        <v>1300</v>
      </c>
      <c r="C774" s="130">
        <v>33499</v>
      </c>
      <c r="D774" s="39">
        <v>33499</v>
      </c>
      <c r="E774" s="39">
        <v>33499</v>
      </c>
      <c r="F774" s="66" t="s">
        <v>663</v>
      </c>
    </row>
    <row r="775" spans="1:6" ht="13.5" customHeight="1">
      <c r="A775" s="45" t="s">
        <v>358</v>
      </c>
      <c r="B775" s="46" t="s">
        <v>1301</v>
      </c>
      <c r="C775" s="130">
        <v>38499</v>
      </c>
      <c r="D775" s="39">
        <v>38499</v>
      </c>
      <c r="E775" s="39">
        <v>38499</v>
      </c>
      <c r="F775" s="66" t="s">
        <v>663</v>
      </c>
    </row>
    <row r="776" spans="1:6" ht="13.5" customHeight="1">
      <c r="A776" s="45" t="s">
        <v>358</v>
      </c>
      <c r="B776" s="46" t="s">
        <v>1302</v>
      </c>
      <c r="C776" s="130">
        <v>35999</v>
      </c>
      <c r="D776" s="39">
        <v>35999</v>
      </c>
      <c r="E776" s="39">
        <v>35999</v>
      </c>
      <c r="F776" s="66" t="s">
        <v>663</v>
      </c>
    </row>
    <row r="777" spans="1:6" ht="13.5" customHeight="1">
      <c r="A777" s="45" t="s">
        <v>358</v>
      </c>
      <c r="B777" s="46" t="s">
        <v>1303</v>
      </c>
      <c r="C777" s="130">
        <v>40999</v>
      </c>
      <c r="D777" s="39">
        <v>40999</v>
      </c>
      <c r="E777" s="39">
        <v>40999</v>
      </c>
      <c r="F777" s="66" t="s">
        <v>663</v>
      </c>
    </row>
    <row r="778" spans="1:6" ht="13.5" customHeight="1">
      <c r="A778" s="45" t="s">
        <v>93</v>
      </c>
      <c r="B778" s="46" t="s">
        <v>1306</v>
      </c>
      <c r="C778" s="130">
        <v>2499</v>
      </c>
      <c r="D778" s="39">
        <v>2499</v>
      </c>
      <c r="E778" s="39">
        <v>2499</v>
      </c>
      <c r="F778" s="66" t="s">
        <v>663</v>
      </c>
    </row>
    <row r="779" spans="1:6" ht="13.5" customHeight="1">
      <c r="A779" s="45" t="s">
        <v>336</v>
      </c>
      <c r="B779" s="46" t="s">
        <v>1308</v>
      </c>
      <c r="C779" s="130">
        <v>2499</v>
      </c>
      <c r="D779" s="39">
        <v>2499</v>
      </c>
      <c r="E779" s="39">
        <v>2499</v>
      </c>
      <c r="F779" s="66" t="s">
        <v>663</v>
      </c>
    </row>
    <row r="780" spans="1:6" ht="13.5" customHeight="1">
      <c r="A780" s="45" t="s">
        <v>385</v>
      </c>
      <c r="B780" s="46" t="s">
        <v>1309</v>
      </c>
      <c r="C780" s="130">
        <v>4499</v>
      </c>
      <c r="D780" s="39">
        <v>4499</v>
      </c>
      <c r="E780" s="39">
        <v>4499</v>
      </c>
      <c r="F780" s="66" t="s">
        <v>663</v>
      </c>
    </row>
    <row r="781" spans="1:6" ht="13.5" customHeight="1">
      <c r="A781" s="45" t="s">
        <v>496</v>
      </c>
      <c r="B781" s="46" t="s">
        <v>1311</v>
      </c>
      <c r="C781" s="130">
        <v>1999</v>
      </c>
      <c r="D781" s="39">
        <v>1999</v>
      </c>
      <c r="E781" s="39">
        <v>1999</v>
      </c>
      <c r="F781" s="66" t="s">
        <v>663</v>
      </c>
    </row>
    <row r="782" spans="1:6" ht="13.5" customHeight="1">
      <c r="A782" s="45" t="s">
        <v>496</v>
      </c>
      <c r="B782" s="46" t="s">
        <v>1312</v>
      </c>
      <c r="C782" s="130">
        <v>2999</v>
      </c>
      <c r="D782" s="39">
        <v>2999</v>
      </c>
      <c r="E782" s="39">
        <v>2999</v>
      </c>
      <c r="F782" s="66" t="s">
        <v>663</v>
      </c>
    </row>
    <row r="783" spans="1:6" ht="13.5" customHeight="1">
      <c r="A783" s="45" t="s">
        <v>496</v>
      </c>
      <c r="B783" s="46" t="s">
        <v>1313</v>
      </c>
      <c r="C783" s="130">
        <v>5999</v>
      </c>
      <c r="D783" s="39">
        <v>5999</v>
      </c>
      <c r="E783" s="39">
        <v>5999</v>
      </c>
      <c r="F783" s="66" t="s">
        <v>663</v>
      </c>
    </row>
    <row r="784" spans="1:6" ht="13.5" customHeight="1">
      <c r="A784" s="45" t="s">
        <v>393</v>
      </c>
      <c r="B784" s="46" t="s">
        <v>1314</v>
      </c>
      <c r="C784" s="130">
        <v>14999</v>
      </c>
      <c r="D784" s="39">
        <v>14999</v>
      </c>
      <c r="E784" s="39">
        <v>14999</v>
      </c>
      <c r="F784" s="66" t="s">
        <v>663</v>
      </c>
    </row>
    <row r="785" spans="1:6" ht="13.5" customHeight="1">
      <c r="A785" s="45" t="s">
        <v>385</v>
      </c>
      <c r="B785" s="46" t="s">
        <v>1315</v>
      </c>
      <c r="C785" s="130">
        <v>13999</v>
      </c>
      <c r="D785" s="39">
        <v>13999</v>
      </c>
      <c r="E785" s="39">
        <v>13999</v>
      </c>
      <c r="F785" s="66" t="s">
        <v>663</v>
      </c>
    </row>
    <row r="786" spans="1:6" ht="13.5" customHeight="1">
      <c r="A786" s="45" t="s">
        <v>385</v>
      </c>
      <c r="B786" s="46" t="s">
        <v>1316</v>
      </c>
      <c r="C786" s="130">
        <v>18999</v>
      </c>
      <c r="D786" s="39">
        <v>18999</v>
      </c>
      <c r="E786" s="39">
        <v>18999</v>
      </c>
      <c r="F786" s="66" t="s">
        <v>663</v>
      </c>
    </row>
    <row r="787" spans="1:6">
      <c r="A787" s="45" t="s">
        <v>338</v>
      </c>
      <c r="B787" s="46" t="s">
        <v>1318</v>
      </c>
      <c r="C787" s="130">
        <v>1129</v>
      </c>
      <c r="D787" s="39">
        <v>1129</v>
      </c>
      <c r="E787" s="39">
        <v>1129</v>
      </c>
      <c r="F787" s="66" t="s">
        <v>663</v>
      </c>
    </row>
    <row r="788" spans="1:6">
      <c r="A788" s="45" t="s">
        <v>363</v>
      </c>
      <c r="B788" s="46" t="s">
        <v>1320</v>
      </c>
      <c r="C788" s="130">
        <v>2499</v>
      </c>
      <c r="D788" s="39">
        <v>2499</v>
      </c>
      <c r="E788" s="39">
        <v>2499</v>
      </c>
      <c r="F788" s="66" t="s">
        <v>663</v>
      </c>
    </row>
    <row r="789" spans="1:6">
      <c r="A789" s="45" t="s">
        <v>393</v>
      </c>
      <c r="B789" s="46" t="s">
        <v>1321</v>
      </c>
      <c r="C789" s="130">
        <v>27999</v>
      </c>
      <c r="D789" s="39">
        <v>27999</v>
      </c>
      <c r="E789" s="39">
        <v>27999</v>
      </c>
      <c r="F789" s="66" t="s">
        <v>663</v>
      </c>
    </row>
    <row r="790" spans="1:6">
      <c r="A790" s="45" t="s">
        <v>496</v>
      </c>
      <c r="B790" s="46" t="s">
        <v>1323</v>
      </c>
      <c r="C790" s="130">
        <v>9999</v>
      </c>
      <c r="D790" s="39">
        <v>9999</v>
      </c>
      <c r="E790" s="39">
        <v>9999</v>
      </c>
      <c r="F790" s="66" t="s">
        <v>663</v>
      </c>
    </row>
    <row r="791" spans="1:6">
      <c r="A791" s="45" t="s">
        <v>363</v>
      </c>
      <c r="B791" s="46" t="s">
        <v>1325</v>
      </c>
      <c r="C791" s="130">
        <v>12999</v>
      </c>
      <c r="D791" s="39">
        <v>12999</v>
      </c>
      <c r="E791" s="39">
        <v>12999</v>
      </c>
      <c r="F791" s="66" t="s">
        <v>663</v>
      </c>
    </row>
    <row r="792" spans="1:6">
      <c r="A792" s="45" t="s">
        <v>385</v>
      </c>
      <c r="B792" s="46" t="s">
        <v>1326</v>
      </c>
      <c r="C792" s="130">
        <v>5999</v>
      </c>
      <c r="D792" s="39">
        <v>5999</v>
      </c>
      <c r="E792" s="39">
        <v>5999</v>
      </c>
      <c r="F792" s="66" t="s">
        <v>663</v>
      </c>
    </row>
    <row r="793" spans="1:6">
      <c r="A793" s="45" t="s">
        <v>385</v>
      </c>
      <c r="B793" s="46" t="s">
        <v>1327</v>
      </c>
      <c r="C793" s="130">
        <v>9999</v>
      </c>
      <c r="D793" s="39">
        <v>9999</v>
      </c>
      <c r="E793" s="39">
        <v>9999</v>
      </c>
      <c r="F793" s="66" t="s">
        <v>663</v>
      </c>
    </row>
    <row r="794" spans="1:6">
      <c r="A794" s="45" t="s">
        <v>336</v>
      </c>
      <c r="B794" s="46" t="s">
        <v>1328</v>
      </c>
      <c r="C794" s="130">
        <v>37999</v>
      </c>
      <c r="D794" s="39">
        <v>37999</v>
      </c>
      <c r="E794" s="39">
        <v>37999</v>
      </c>
      <c r="F794" s="66" t="s">
        <v>663</v>
      </c>
    </row>
    <row r="795" spans="1:6">
      <c r="A795" s="45" t="s">
        <v>336</v>
      </c>
      <c r="B795" s="46" t="s">
        <v>1329</v>
      </c>
      <c r="C795" s="130">
        <v>33499</v>
      </c>
      <c r="D795" s="39">
        <v>33499</v>
      </c>
      <c r="E795" s="39">
        <v>33499</v>
      </c>
      <c r="F795" s="66" t="s">
        <v>663</v>
      </c>
    </row>
    <row r="796" spans="1:6">
      <c r="A796" s="45" t="s">
        <v>336</v>
      </c>
      <c r="B796" s="46" t="s">
        <v>1330</v>
      </c>
      <c r="C796" s="130">
        <v>22499</v>
      </c>
      <c r="D796" s="39">
        <v>22499</v>
      </c>
      <c r="E796" s="39">
        <v>22499</v>
      </c>
      <c r="F796" s="66" t="s">
        <v>663</v>
      </c>
    </row>
    <row r="797" spans="1:6">
      <c r="A797" s="45" t="s">
        <v>496</v>
      </c>
      <c r="B797" s="46" t="s">
        <v>1332</v>
      </c>
      <c r="C797" s="130">
        <v>6999</v>
      </c>
      <c r="D797" s="130">
        <v>6999</v>
      </c>
      <c r="E797" s="130">
        <v>6999</v>
      </c>
      <c r="F797" s="66" t="s">
        <v>663</v>
      </c>
    </row>
    <row r="798" spans="1:6">
      <c r="A798" s="45" t="s">
        <v>393</v>
      </c>
      <c r="B798" s="46" t="s">
        <v>1333</v>
      </c>
      <c r="C798" s="130">
        <v>3699</v>
      </c>
      <c r="D798" s="130">
        <v>3699</v>
      </c>
      <c r="E798" s="130">
        <v>3699</v>
      </c>
      <c r="F798" s="66" t="s">
        <v>663</v>
      </c>
    </row>
    <row r="799" spans="1:6" ht="13.5" customHeight="1">
      <c r="A799" s="45" t="s">
        <v>299</v>
      </c>
      <c r="B799" s="46" t="s">
        <v>1334</v>
      </c>
      <c r="C799" s="130">
        <v>2498</v>
      </c>
      <c r="D799" s="39">
        <v>2498</v>
      </c>
      <c r="E799" s="39">
        <v>2498</v>
      </c>
      <c r="F799" s="66" t="s">
        <v>663</v>
      </c>
    </row>
    <row r="800" spans="1:6" ht="13.5" customHeight="1">
      <c r="A800" s="45" t="s">
        <v>299</v>
      </c>
      <c r="B800" s="46" t="s">
        <v>1335</v>
      </c>
      <c r="C800" s="130">
        <v>4097</v>
      </c>
      <c r="D800" s="39">
        <v>4097</v>
      </c>
      <c r="E800" s="39">
        <v>4097</v>
      </c>
      <c r="F800" s="66" t="s">
        <v>663</v>
      </c>
    </row>
    <row r="801" spans="1:6" ht="13.5" customHeight="1">
      <c r="A801" s="45" t="s">
        <v>299</v>
      </c>
      <c r="B801" s="46" t="s">
        <v>1336</v>
      </c>
      <c r="C801" s="130">
        <v>3697</v>
      </c>
      <c r="D801" s="39">
        <v>3697</v>
      </c>
      <c r="E801" s="39">
        <v>3697</v>
      </c>
      <c r="F801" s="66" t="s">
        <v>663</v>
      </c>
    </row>
    <row r="802" spans="1:6" ht="13.5" customHeight="1">
      <c r="A802" s="45" t="s">
        <v>299</v>
      </c>
      <c r="B802" s="46" t="s">
        <v>1337</v>
      </c>
      <c r="C802" s="130">
        <v>1999</v>
      </c>
      <c r="D802" s="39">
        <v>1999</v>
      </c>
      <c r="E802" s="39">
        <v>1999</v>
      </c>
      <c r="F802" s="66" t="s">
        <v>663</v>
      </c>
    </row>
    <row r="803" spans="1:6" ht="13.5" customHeight="1">
      <c r="A803" s="45" t="s">
        <v>299</v>
      </c>
      <c r="B803" s="46" t="s">
        <v>1340</v>
      </c>
      <c r="C803" s="130">
        <v>2898</v>
      </c>
      <c r="D803" s="39">
        <v>2898</v>
      </c>
      <c r="E803" s="39">
        <v>2898</v>
      </c>
      <c r="F803" s="66" t="s">
        <v>663</v>
      </c>
    </row>
    <row r="804" spans="1:6" ht="13.5" customHeight="1">
      <c r="A804" s="45" t="s">
        <v>363</v>
      </c>
      <c r="B804" s="46" t="s">
        <v>1343</v>
      </c>
      <c r="C804" s="130">
        <v>10999</v>
      </c>
      <c r="D804" s="130">
        <v>10999</v>
      </c>
      <c r="E804" s="130">
        <v>10999</v>
      </c>
      <c r="F804" s="66" t="s">
        <v>663</v>
      </c>
    </row>
    <row r="805" spans="1:6" ht="13.5" customHeight="1">
      <c r="A805" s="45" t="s">
        <v>363</v>
      </c>
      <c r="B805" s="46" t="s">
        <v>1341</v>
      </c>
      <c r="C805" s="130">
        <v>5499</v>
      </c>
      <c r="D805" s="39">
        <v>5499</v>
      </c>
      <c r="E805" s="39">
        <v>5499</v>
      </c>
      <c r="F805" s="66" t="s">
        <v>663</v>
      </c>
    </row>
    <row r="806" spans="1:6" ht="13.5" customHeight="1">
      <c r="A806" s="45" t="s">
        <v>363</v>
      </c>
      <c r="B806" s="46" t="s">
        <v>1342</v>
      </c>
      <c r="C806" s="130">
        <v>7999</v>
      </c>
      <c r="D806" s="39">
        <v>7999</v>
      </c>
      <c r="E806" s="39">
        <v>7999</v>
      </c>
      <c r="F806" s="66" t="s">
        <v>663</v>
      </c>
    </row>
    <row r="807" spans="1:6" ht="13.5" customHeight="1">
      <c r="A807" s="45" t="s">
        <v>393</v>
      </c>
      <c r="B807" s="46" t="s">
        <v>1344</v>
      </c>
      <c r="C807" s="130">
        <v>7499</v>
      </c>
      <c r="D807" s="39">
        <v>7499</v>
      </c>
      <c r="E807" s="39">
        <v>7499</v>
      </c>
      <c r="F807" s="66" t="s">
        <v>663</v>
      </c>
    </row>
    <row r="808" spans="1:6" ht="13.5" customHeight="1">
      <c r="A808" s="45" t="s">
        <v>336</v>
      </c>
      <c r="B808" s="46" t="s">
        <v>1345</v>
      </c>
      <c r="C808" s="130">
        <v>9999</v>
      </c>
      <c r="D808" s="39">
        <v>9999</v>
      </c>
      <c r="E808" s="39">
        <v>9999</v>
      </c>
      <c r="F808" s="66" t="s">
        <v>663</v>
      </c>
    </row>
    <row r="809" spans="1:6" ht="13.5" customHeight="1">
      <c r="A809" s="45" t="s">
        <v>336</v>
      </c>
      <c r="B809" s="46" t="s">
        <v>1346</v>
      </c>
      <c r="C809" s="130">
        <v>11999</v>
      </c>
      <c r="D809" s="39">
        <v>11999</v>
      </c>
      <c r="E809" s="39">
        <v>11999</v>
      </c>
      <c r="F809" s="66" t="s">
        <v>663</v>
      </c>
    </row>
    <row r="810" spans="1:6" ht="13.5" customHeight="1">
      <c r="A810" s="45" t="s">
        <v>336</v>
      </c>
      <c r="B810" s="46" t="s">
        <v>1319</v>
      </c>
      <c r="C810" s="130">
        <v>4499</v>
      </c>
      <c r="D810" s="39">
        <v>4499</v>
      </c>
      <c r="E810" s="39">
        <v>4499</v>
      </c>
      <c r="F810" s="66" t="s">
        <v>663</v>
      </c>
    </row>
    <row r="811" spans="1:6" ht="13.5" customHeight="1">
      <c r="A811" s="45" t="s">
        <v>385</v>
      </c>
      <c r="B811" s="46" t="s">
        <v>1350</v>
      </c>
      <c r="C811" s="130">
        <v>3299</v>
      </c>
      <c r="D811" s="130">
        <v>3299</v>
      </c>
      <c r="E811" s="130">
        <v>3299</v>
      </c>
      <c r="F811" s="66" t="s">
        <v>663</v>
      </c>
    </row>
    <row r="812" spans="1:6" ht="13.5" customHeight="1">
      <c r="A812" s="45" t="s">
        <v>496</v>
      </c>
      <c r="B812" s="46" t="s">
        <v>1352</v>
      </c>
      <c r="C812" s="130">
        <v>31999</v>
      </c>
      <c r="D812" s="130">
        <v>31999</v>
      </c>
      <c r="E812" s="130">
        <v>31999</v>
      </c>
      <c r="F812" s="66" t="s">
        <v>663</v>
      </c>
    </row>
    <row r="813" spans="1:6" ht="13.5" customHeight="1">
      <c r="A813" s="45" t="s">
        <v>496</v>
      </c>
      <c r="B813" s="46" t="s">
        <v>1353</v>
      </c>
      <c r="C813" s="130">
        <v>16999</v>
      </c>
      <c r="D813" s="130">
        <v>16999</v>
      </c>
      <c r="E813" s="130">
        <v>16999</v>
      </c>
      <c r="F813" s="66" t="s">
        <v>663</v>
      </c>
    </row>
    <row r="814" spans="1:6" ht="13.5" customHeight="1">
      <c r="A814" s="45" t="s">
        <v>393</v>
      </c>
      <c r="B814" s="46" t="s">
        <v>1354</v>
      </c>
      <c r="C814" s="130">
        <v>9999</v>
      </c>
      <c r="D814" s="130">
        <v>9999</v>
      </c>
      <c r="E814" s="130">
        <v>9999</v>
      </c>
      <c r="F814" s="66" t="s">
        <v>663</v>
      </c>
    </row>
    <row r="815" spans="1:6" ht="13.5" customHeight="1">
      <c r="A815" s="45" t="s">
        <v>336</v>
      </c>
      <c r="B815" s="46" t="s">
        <v>1355</v>
      </c>
      <c r="C815" s="130">
        <v>2999</v>
      </c>
      <c r="D815" s="130">
        <v>2999</v>
      </c>
      <c r="E815" s="130">
        <v>2999</v>
      </c>
      <c r="F815" s="66" t="s">
        <v>663</v>
      </c>
    </row>
    <row r="816" spans="1:6" ht="13.5" customHeight="1">
      <c r="A816" s="45" t="s">
        <v>385</v>
      </c>
      <c r="B816" s="46" t="s">
        <v>1356</v>
      </c>
      <c r="C816" s="130">
        <v>15999</v>
      </c>
      <c r="D816" s="130">
        <v>15999</v>
      </c>
      <c r="E816" s="130">
        <v>15999</v>
      </c>
      <c r="F816" s="66" t="s">
        <v>663</v>
      </c>
    </row>
    <row r="817" spans="1:9" ht="13.5" customHeight="1">
      <c r="A817" s="45" t="s">
        <v>385</v>
      </c>
      <c r="B817" s="46" t="s">
        <v>1357</v>
      </c>
      <c r="C817" s="130">
        <v>20999</v>
      </c>
      <c r="D817" s="130">
        <v>20999</v>
      </c>
      <c r="E817" s="130">
        <v>20999</v>
      </c>
      <c r="F817" s="66" t="s">
        <v>663</v>
      </c>
    </row>
    <row r="818" spans="1:9" ht="13.5" customHeight="1">
      <c r="A818" s="45" t="s">
        <v>363</v>
      </c>
      <c r="B818" s="46" t="s">
        <v>1358</v>
      </c>
      <c r="C818" s="130">
        <v>19999</v>
      </c>
      <c r="D818" s="130">
        <v>19999</v>
      </c>
      <c r="E818" s="130">
        <v>19999</v>
      </c>
      <c r="F818" s="66" t="s">
        <v>663</v>
      </c>
    </row>
    <row r="819" spans="1:9" ht="13.5" customHeight="1">
      <c r="A819" s="45" t="s">
        <v>393</v>
      </c>
      <c r="B819" s="46" t="s">
        <v>1354</v>
      </c>
      <c r="C819" s="130">
        <v>9999</v>
      </c>
      <c r="D819" s="130">
        <v>9999</v>
      </c>
      <c r="E819" s="130">
        <v>9999</v>
      </c>
      <c r="F819" s="66" t="s">
        <v>663</v>
      </c>
    </row>
    <row r="820" spans="1:9" ht="13.5" customHeight="1">
      <c r="A820" s="45" t="s">
        <v>393</v>
      </c>
      <c r="B820" t="s">
        <v>1359</v>
      </c>
      <c r="C820" s="130">
        <v>6999</v>
      </c>
      <c r="D820" s="130">
        <v>6999</v>
      </c>
      <c r="E820" s="130">
        <v>6999</v>
      </c>
      <c r="F820" s="66" t="s">
        <v>663</v>
      </c>
    </row>
    <row r="821" spans="1:9">
      <c r="A821" s="133" t="s">
        <v>1367</v>
      </c>
      <c r="B821" t="s">
        <v>1360</v>
      </c>
      <c r="C821" s="130">
        <v>11999</v>
      </c>
      <c r="D821" s="130">
        <v>11999</v>
      </c>
      <c r="E821" s="130">
        <v>11999</v>
      </c>
      <c r="F821" s="66" t="s">
        <v>663</v>
      </c>
      <c r="H821" s="133"/>
    </row>
    <row r="822" spans="1:9">
      <c r="A822" s="133" t="s">
        <v>1367</v>
      </c>
      <c r="B822" t="s">
        <v>1361</v>
      </c>
      <c r="C822" s="130">
        <v>19999</v>
      </c>
      <c r="D822" s="130">
        <v>19999</v>
      </c>
      <c r="E822" s="130">
        <v>19999</v>
      </c>
      <c r="F822" s="66" t="s">
        <v>663</v>
      </c>
      <c r="H822" s="134"/>
      <c r="I822" s="135"/>
    </row>
    <row r="823" spans="1:9">
      <c r="A823" s="133" t="s">
        <v>1367</v>
      </c>
      <c r="B823" t="s">
        <v>1362</v>
      </c>
      <c r="C823" s="130">
        <v>22499</v>
      </c>
      <c r="D823" s="130">
        <v>22499</v>
      </c>
      <c r="E823" s="130">
        <v>22499</v>
      </c>
      <c r="F823" s="66" t="s">
        <v>663</v>
      </c>
      <c r="H823" s="134"/>
      <c r="I823" s="135"/>
    </row>
    <row r="824" spans="1:9">
      <c r="A824" s="133" t="s">
        <v>1367</v>
      </c>
      <c r="B824" t="s">
        <v>1363</v>
      </c>
      <c r="C824" s="130">
        <v>28499</v>
      </c>
      <c r="D824" s="130">
        <v>28499</v>
      </c>
      <c r="E824" s="130">
        <v>28499</v>
      </c>
      <c r="F824" s="66" t="s">
        <v>663</v>
      </c>
      <c r="H824" s="134"/>
      <c r="I824" s="135"/>
    </row>
    <row r="825" spans="1:9">
      <c r="A825" s="133" t="s">
        <v>1367</v>
      </c>
      <c r="B825" t="s">
        <v>1364</v>
      </c>
      <c r="C825" s="130">
        <v>31499</v>
      </c>
      <c r="D825" s="130">
        <v>31499</v>
      </c>
      <c r="E825" s="130">
        <v>31499</v>
      </c>
      <c r="F825" s="66" t="s">
        <v>663</v>
      </c>
      <c r="H825" s="134"/>
      <c r="I825" s="135"/>
    </row>
    <row r="826" spans="1:9">
      <c r="A826" s="133" t="s">
        <v>1367</v>
      </c>
      <c r="B826" t="s">
        <v>1365</v>
      </c>
      <c r="C826" s="130">
        <v>30999</v>
      </c>
      <c r="D826" s="130">
        <v>30999</v>
      </c>
      <c r="E826" s="130">
        <v>30999</v>
      </c>
      <c r="F826" s="66" t="s">
        <v>663</v>
      </c>
      <c r="H826" s="134"/>
      <c r="I826" s="135"/>
    </row>
    <row r="827" spans="1:9">
      <c r="A827" s="133" t="s">
        <v>1367</v>
      </c>
      <c r="B827" t="s">
        <v>1366</v>
      </c>
      <c r="C827" s="130">
        <v>33999</v>
      </c>
      <c r="D827" s="130">
        <v>33999</v>
      </c>
      <c r="E827" s="130">
        <v>33999</v>
      </c>
      <c r="F827" s="66" t="s">
        <v>663</v>
      </c>
      <c r="H827" s="134"/>
      <c r="I827" s="135"/>
    </row>
    <row r="828" spans="1:9">
      <c r="A828" s="133" t="s">
        <v>93</v>
      </c>
      <c r="B828" t="s">
        <v>1369</v>
      </c>
      <c r="C828" s="130">
        <v>3499</v>
      </c>
      <c r="D828" s="130">
        <v>3499</v>
      </c>
      <c r="E828" s="130">
        <v>3499</v>
      </c>
      <c r="F828" s="66" t="s">
        <v>663</v>
      </c>
      <c r="H828" s="134"/>
      <c r="I828" s="135"/>
    </row>
    <row r="829" spans="1:9">
      <c r="A829" s="133" t="s">
        <v>93</v>
      </c>
      <c r="B829" t="s">
        <v>1370</v>
      </c>
      <c r="C829" s="130">
        <v>2999</v>
      </c>
      <c r="D829" s="130">
        <v>2999</v>
      </c>
      <c r="E829" s="130">
        <v>2999</v>
      </c>
      <c r="F829" s="66" t="s">
        <v>663</v>
      </c>
      <c r="H829" s="134"/>
      <c r="I829" s="135"/>
    </row>
    <row r="830" spans="1:9">
      <c r="A830" s="133" t="s">
        <v>93</v>
      </c>
      <c r="B830" t="s">
        <v>1373</v>
      </c>
      <c r="C830" s="130">
        <v>2199</v>
      </c>
      <c r="D830" s="130">
        <v>2199</v>
      </c>
      <c r="E830" s="130">
        <v>2199</v>
      </c>
      <c r="F830" s="66" t="s">
        <v>663</v>
      </c>
      <c r="H830" s="134"/>
      <c r="I830" s="135"/>
    </row>
    <row r="831" spans="1:9">
      <c r="A831" s="133" t="s">
        <v>393</v>
      </c>
      <c r="B831" t="s">
        <v>1374</v>
      </c>
      <c r="C831" s="130">
        <v>15999</v>
      </c>
      <c r="D831" s="130">
        <v>15999</v>
      </c>
      <c r="E831" s="130">
        <v>15999</v>
      </c>
      <c r="F831" s="66" t="s">
        <v>663</v>
      </c>
      <c r="H831" s="134"/>
      <c r="I831" s="135"/>
    </row>
    <row r="832" spans="1:9">
      <c r="A832" s="133" t="s">
        <v>336</v>
      </c>
      <c r="B832" t="s">
        <v>1375</v>
      </c>
      <c r="C832" s="130">
        <v>6999</v>
      </c>
      <c r="D832" s="130">
        <v>6999</v>
      </c>
      <c r="E832" s="130">
        <v>6999</v>
      </c>
      <c r="F832" s="66" t="s">
        <v>663</v>
      </c>
      <c r="H832" s="134"/>
      <c r="I832" s="135"/>
    </row>
    <row r="833" spans="1:9">
      <c r="A833" s="133" t="s">
        <v>336</v>
      </c>
      <c r="B833" t="s">
        <v>1376</v>
      </c>
      <c r="C833" s="130">
        <v>32999</v>
      </c>
      <c r="D833" s="130">
        <v>32999</v>
      </c>
      <c r="E833" s="130">
        <v>32999</v>
      </c>
      <c r="F833" s="66" t="s">
        <v>663</v>
      </c>
      <c r="H833" s="134"/>
      <c r="I833" s="135"/>
    </row>
    <row r="834" spans="1:9">
      <c r="A834" s="133" t="s">
        <v>336</v>
      </c>
      <c r="B834" t="s">
        <v>1377</v>
      </c>
      <c r="C834" s="130">
        <v>48499</v>
      </c>
      <c r="D834" s="130">
        <v>48499</v>
      </c>
      <c r="E834" s="130">
        <v>48499</v>
      </c>
      <c r="F834" s="66" t="s">
        <v>663</v>
      </c>
      <c r="H834" s="134"/>
      <c r="I834" s="135"/>
    </row>
    <row r="835" spans="1:9">
      <c r="A835" s="133" t="s">
        <v>336</v>
      </c>
      <c r="B835" t="s">
        <v>1378</v>
      </c>
      <c r="C835" s="130">
        <v>53499</v>
      </c>
      <c r="D835" s="130">
        <v>53499</v>
      </c>
      <c r="E835" s="130">
        <v>53499</v>
      </c>
      <c r="F835" s="66" t="s">
        <v>663</v>
      </c>
      <c r="H835" s="134"/>
      <c r="I835" s="135"/>
    </row>
    <row r="836" spans="1:9">
      <c r="A836" s="133" t="s">
        <v>1153</v>
      </c>
      <c r="B836" t="s">
        <v>1379</v>
      </c>
      <c r="C836" s="130">
        <v>1299</v>
      </c>
      <c r="D836" s="130">
        <v>1299</v>
      </c>
      <c r="E836" s="130">
        <v>1299</v>
      </c>
      <c r="F836" s="66" t="s">
        <v>663</v>
      </c>
      <c r="H836" s="134"/>
      <c r="I836" s="135"/>
    </row>
    <row r="837" spans="1:9">
      <c r="A837" s="133" t="s">
        <v>336</v>
      </c>
      <c r="B837" t="s">
        <v>1381</v>
      </c>
      <c r="C837" s="130">
        <v>7999</v>
      </c>
      <c r="D837" s="130">
        <v>7999</v>
      </c>
      <c r="E837" s="130">
        <v>7999</v>
      </c>
      <c r="F837" s="66" t="s">
        <v>663</v>
      </c>
      <c r="H837" s="134"/>
      <c r="I837" s="135"/>
    </row>
    <row r="838" spans="1:9">
      <c r="A838" s="133" t="s">
        <v>496</v>
      </c>
      <c r="B838" t="s">
        <v>1380</v>
      </c>
      <c r="C838" s="130">
        <v>3999</v>
      </c>
      <c r="D838" s="130">
        <v>3999</v>
      </c>
      <c r="E838" s="130">
        <v>3999</v>
      </c>
      <c r="F838" s="66" t="s">
        <v>663</v>
      </c>
      <c r="H838" s="134"/>
      <c r="I838" s="135"/>
    </row>
    <row r="839" spans="1:9">
      <c r="A839" s="133" t="s">
        <v>385</v>
      </c>
      <c r="B839" t="s">
        <v>1382</v>
      </c>
      <c r="C839" s="130">
        <v>6499</v>
      </c>
      <c r="D839" s="130">
        <v>6499</v>
      </c>
      <c r="E839" s="130">
        <v>6499</v>
      </c>
      <c r="F839" s="66" t="s">
        <v>663</v>
      </c>
      <c r="H839" s="134"/>
      <c r="I839" s="135"/>
    </row>
    <row r="840" spans="1:9">
      <c r="A840" s="133" t="s">
        <v>393</v>
      </c>
      <c r="B840" t="s">
        <v>1383</v>
      </c>
      <c r="C840" s="130">
        <v>18999</v>
      </c>
      <c r="D840" s="130">
        <v>18999</v>
      </c>
      <c r="E840" s="130">
        <v>18999</v>
      </c>
      <c r="F840" s="66" t="s">
        <v>663</v>
      </c>
      <c r="H840" s="134"/>
      <c r="I840" s="135"/>
    </row>
    <row r="841" spans="1:9">
      <c r="A841" s="133" t="s">
        <v>385</v>
      </c>
      <c r="B841" t="s">
        <v>1393</v>
      </c>
      <c r="C841" s="130">
        <v>4999</v>
      </c>
      <c r="D841" s="130">
        <v>4999</v>
      </c>
      <c r="E841" s="130">
        <v>4999</v>
      </c>
      <c r="F841" s="66" t="s">
        <v>663</v>
      </c>
      <c r="H841" s="134"/>
      <c r="I841" s="135"/>
    </row>
    <row r="842" spans="1:9">
      <c r="A842" s="133" t="s">
        <v>496</v>
      </c>
      <c r="B842" t="s">
        <v>1384</v>
      </c>
      <c r="C842" s="130">
        <v>5499</v>
      </c>
      <c r="D842" s="130">
        <v>5499</v>
      </c>
      <c r="E842" s="130">
        <v>5499</v>
      </c>
      <c r="F842" s="66" t="s">
        <v>663</v>
      </c>
      <c r="H842" s="134"/>
      <c r="I842" s="135"/>
    </row>
    <row r="843" spans="1:9">
      <c r="A843" s="133" t="s">
        <v>496</v>
      </c>
      <c r="B843" t="s">
        <v>1385</v>
      </c>
      <c r="C843" s="130">
        <v>6499</v>
      </c>
      <c r="D843" s="130">
        <v>6499</v>
      </c>
      <c r="E843" s="130">
        <v>6499</v>
      </c>
      <c r="F843" s="66" t="s">
        <v>663</v>
      </c>
      <c r="H843" s="134"/>
      <c r="I843" s="135"/>
    </row>
    <row r="844" spans="1:9">
      <c r="A844" s="133" t="s">
        <v>336</v>
      </c>
      <c r="B844" t="s">
        <v>1386</v>
      </c>
      <c r="C844" s="130">
        <v>19299</v>
      </c>
      <c r="D844" s="130">
        <v>19299</v>
      </c>
      <c r="E844" s="130">
        <v>19299</v>
      </c>
      <c r="F844" s="66" t="s">
        <v>663</v>
      </c>
      <c r="H844" s="134"/>
      <c r="I844" s="135"/>
    </row>
    <row r="845" spans="1:9">
      <c r="A845" s="133" t="s">
        <v>358</v>
      </c>
      <c r="B845" t="s">
        <v>1389</v>
      </c>
      <c r="C845" s="130">
        <v>29999</v>
      </c>
      <c r="D845" s="130">
        <v>29999</v>
      </c>
      <c r="E845" s="130">
        <v>29999</v>
      </c>
      <c r="F845" s="66" t="s">
        <v>663</v>
      </c>
      <c r="H845" s="134"/>
      <c r="I845" s="135"/>
    </row>
    <row r="846" spans="1:9">
      <c r="A846" s="133" t="s">
        <v>358</v>
      </c>
      <c r="B846" t="s">
        <v>1390</v>
      </c>
      <c r="C846" s="130">
        <v>34999</v>
      </c>
      <c r="D846" s="130">
        <v>34999</v>
      </c>
      <c r="E846" s="130">
        <v>34999</v>
      </c>
      <c r="F846" s="66" t="s">
        <v>663</v>
      </c>
      <c r="H846" s="134"/>
      <c r="I846" s="135"/>
    </row>
    <row r="847" spans="1:9">
      <c r="A847" s="133" t="s">
        <v>358</v>
      </c>
      <c r="B847" t="s">
        <v>1391</v>
      </c>
      <c r="C847" s="130">
        <v>31999</v>
      </c>
      <c r="D847" s="130">
        <v>31999</v>
      </c>
      <c r="E847" s="130">
        <v>31999</v>
      </c>
      <c r="F847" s="66" t="s">
        <v>663</v>
      </c>
      <c r="H847" s="134"/>
      <c r="I847" s="135"/>
    </row>
    <row r="848" spans="1:9">
      <c r="A848" s="133" t="s">
        <v>358</v>
      </c>
      <c r="B848" t="s">
        <v>1392</v>
      </c>
      <c r="C848" s="130">
        <v>36999</v>
      </c>
      <c r="D848" s="130">
        <v>36999</v>
      </c>
      <c r="E848" s="130">
        <v>36999</v>
      </c>
      <c r="F848" s="66" t="s">
        <v>663</v>
      </c>
      <c r="H848" s="134"/>
      <c r="I848" s="135"/>
    </row>
    <row r="849" spans="1:9">
      <c r="A849" s="133" t="s">
        <v>496</v>
      </c>
      <c r="B849" t="s">
        <v>1394</v>
      </c>
      <c r="C849" s="130">
        <v>7499</v>
      </c>
      <c r="D849" s="130">
        <v>7499</v>
      </c>
      <c r="E849" s="130">
        <v>7499</v>
      </c>
      <c r="F849" s="66" t="s">
        <v>663</v>
      </c>
      <c r="H849" s="134"/>
      <c r="I849" s="135"/>
    </row>
    <row r="850" spans="1:9">
      <c r="F850"/>
    </row>
    <row r="851" spans="1:9">
      <c r="F851"/>
    </row>
    <row r="852" spans="1:9">
      <c r="F852"/>
    </row>
    <row r="853" spans="1:9">
      <c r="F853"/>
    </row>
    <row r="854" spans="1:9">
      <c r="F854"/>
    </row>
    <row r="855" spans="1:9">
      <c r="F855"/>
    </row>
    <row r="856" spans="1:9">
      <c r="F856"/>
    </row>
    <row r="857" spans="1:9">
      <c r="F857"/>
    </row>
    <row r="858" spans="1:9">
      <c r="F858"/>
    </row>
    <row r="859" spans="1:9">
      <c r="F859"/>
    </row>
    <row r="860" spans="1:9">
      <c r="F860"/>
    </row>
    <row r="861" spans="1:9">
      <c r="F861"/>
    </row>
    <row r="862" spans="1:9">
      <c r="F862"/>
    </row>
  </sheetData>
  <autoFilter ref="A1:I848" xr:uid="{6F29EDF3-DD87-443F-AA3B-4072869CC2C7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C14A-AEEC-43C1-88D1-30F5BD735000}">
  <sheetPr codeName="Hoja4"/>
  <dimension ref="A1:H601"/>
  <sheetViews>
    <sheetView workbookViewId="0">
      <pane ySplit="1" topLeftCell="A590" activePane="bottomLeft" state="frozen"/>
      <selection pane="bottomLeft" activeCell="A595" sqref="A595:A601"/>
    </sheetView>
  </sheetViews>
  <sheetFormatPr baseColWidth="10" defaultRowHeight="14.5"/>
  <cols>
    <col min="2" max="3" width="31.54296875" customWidth="1"/>
    <col min="4" max="4" width="13.26953125" style="90" customWidth="1"/>
    <col min="7" max="7" width="10.81640625" style="66"/>
  </cols>
  <sheetData>
    <row r="1" spans="1:8" ht="29">
      <c r="A1" s="22" t="s">
        <v>102</v>
      </c>
      <c r="B1" s="65" t="s">
        <v>103</v>
      </c>
      <c r="C1" s="81" t="s">
        <v>1043</v>
      </c>
      <c r="D1" s="92" t="s">
        <v>657</v>
      </c>
      <c r="E1" s="24" t="s">
        <v>657</v>
      </c>
      <c r="F1" s="80" t="s">
        <v>658</v>
      </c>
      <c r="G1" s="93" t="s">
        <v>662</v>
      </c>
    </row>
    <row r="2" spans="1:8">
      <c r="A2" s="45" t="s">
        <v>67</v>
      </c>
      <c r="B2" s="46" t="s">
        <v>213</v>
      </c>
      <c r="C2" s="82" t="s">
        <v>664</v>
      </c>
      <c r="D2" s="83">
        <v>26999</v>
      </c>
      <c r="E2" s="39">
        <v>26999</v>
      </c>
      <c r="F2" s="39">
        <v>26999</v>
      </c>
      <c r="G2" t="s">
        <v>663</v>
      </c>
      <c r="H2" s="91">
        <f>D2-E2</f>
        <v>0</v>
      </c>
    </row>
    <row r="3" spans="1:8">
      <c r="A3" s="3" t="s">
        <v>67</v>
      </c>
      <c r="B3" s="20" t="s">
        <v>176</v>
      </c>
      <c r="C3" s="82" t="s">
        <v>1045</v>
      </c>
      <c r="D3" s="84">
        <f>E3</f>
        <v>24799</v>
      </c>
      <c r="E3" s="25">
        <v>24799</v>
      </c>
      <c r="F3" s="25">
        <v>24799</v>
      </c>
      <c r="G3" t="s">
        <v>663</v>
      </c>
      <c r="H3" s="91">
        <f t="shared" ref="H3:H66" si="0">D3-E3</f>
        <v>0</v>
      </c>
    </row>
    <row r="4" spans="1:8">
      <c r="A4" s="32" t="s">
        <v>67</v>
      </c>
      <c r="B4" s="34" t="s">
        <v>212</v>
      </c>
      <c r="C4" s="82" t="s">
        <v>665</v>
      </c>
      <c r="D4" s="83">
        <v>23499</v>
      </c>
      <c r="E4" s="39">
        <v>23499</v>
      </c>
      <c r="F4" s="39">
        <v>23499</v>
      </c>
      <c r="G4" t="s">
        <v>663</v>
      </c>
      <c r="H4" s="91">
        <f t="shared" si="0"/>
        <v>0</v>
      </c>
    </row>
    <row r="5" spans="1:8">
      <c r="A5" s="23" t="s">
        <v>73</v>
      </c>
      <c r="B5" s="7" t="s">
        <v>207</v>
      </c>
      <c r="C5" s="82" t="s">
        <v>666</v>
      </c>
      <c r="D5" s="83">
        <v>22999</v>
      </c>
      <c r="E5" s="42">
        <v>22999</v>
      </c>
      <c r="F5" s="42">
        <v>22999</v>
      </c>
      <c r="G5" t="s">
        <v>663</v>
      </c>
      <c r="H5" s="91">
        <f t="shared" si="0"/>
        <v>0</v>
      </c>
    </row>
    <row r="6" spans="1:8">
      <c r="A6" s="19" t="s">
        <v>67</v>
      </c>
      <c r="B6" s="17" t="s">
        <v>153</v>
      </c>
      <c r="C6" s="82" t="s">
        <v>667</v>
      </c>
      <c r="D6" s="83">
        <v>22899</v>
      </c>
      <c r="E6" s="28">
        <v>22899</v>
      </c>
      <c r="F6" s="28">
        <v>22899</v>
      </c>
      <c r="G6" t="s">
        <v>663</v>
      </c>
      <c r="H6" s="91">
        <f t="shared" si="0"/>
        <v>0</v>
      </c>
    </row>
    <row r="7" spans="1:8">
      <c r="A7" s="32" t="s">
        <v>67</v>
      </c>
      <c r="B7" s="36" t="s">
        <v>206</v>
      </c>
      <c r="C7" s="82" t="s">
        <v>668</v>
      </c>
      <c r="D7" s="83">
        <v>22499</v>
      </c>
      <c r="E7" s="41">
        <v>22499</v>
      </c>
      <c r="F7" s="41">
        <v>22499</v>
      </c>
      <c r="G7" t="s">
        <v>663</v>
      </c>
      <c r="H7" s="91">
        <f t="shared" si="0"/>
        <v>0</v>
      </c>
    </row>
    <row r="8" spans="1:8">
      <c r="A8" s="18" t="s">
        <v>67</v>
      </c>
      <c r="B8" s="3" t="s">
        <v>68</v>
      </c>
      <c r="C8" s="82" t="s">
        <v>669</v>
      </c>
      <c r="D8" s="83">
        <v>20699</v>
      </c>
      <c r="E8" s="40">
        <v>20699</v>
      </c>
      <c r="F8" s="40">
        <v>20699</v>
      </c>
      <c r="G8" t="s">
        <v>663</v>
      </c>
      <c r="H8" s="91">
        <f t="shared" si="0"/>
        <v>0</v>
      </c>
    </row>
    <row r="9" spans="1:8">
      <c r="A9" s="3" t="s">
        <v>67</v>
      </c>
      <c r="B9" s="5" t="s">
        <v>152</v>
      </c>
      <c r="C9" s="82" t="s">
        <v>670</v>
      </c>
      <c r="D9" s="83">
        <v>20599</v>
      </c>
      <c r="E9" s="28">
        <v>20599</v>
      </c>
      <c r="F9" s="28">
        <v>20599</v>
      </c>
      <c r="G9" t="s">
        <v>663</v>
      </c>
      <c r="H9" s="91">
        <f t="shared" si="0"/>
        <v>0</v>
      </c>
    </row>
    <row r="10" spans="1:8">
      <c r="A10" s="3" t="s">
        <v>67</v>
      </c>
      <c r="B10" s="5" t="s">
        <v>150</v>
      </c>
      <c r="C10" s="82" t="s">
        <v>1044</v>
      </c>
      <c r="D10" s="84">
        <f t="shared" ref="D10:D11" si="1">E10</f>
        <v>20099</v>
      </c>
      <c r="E10" s="28">
        <v>20099</v>
      </c>
      <c r="F10" s="28">
        <v>20099</v>
      </c>
      <c r="G10" t="s">
        <v>663</v>
      </c>
      <c r="H10" s="91">
        <f t="shared" si="0"/>
        <v>0</v>
      </c>
    </row>
    <row r="11" spans="1:8">
      <c r="A11" s="19" t="s">
        <v>73</v>
      </c>
      <c r="B11" s="17" t="s">
        <v>168</v>
      </c>
      <c r="C11" s="82" t="s">
        <v>1047</v>
      </c>
      <c r="D11" s="84">
        <f t="shared" si="1"/>
        <v>19999</v>
      </c>
      <c r="E11" s="27">
        <v>19999</v>
      </c>
      <c r="F11" s="27">
        <v>19999</v>
      </c>
      <c r="G11" t="s">
        <v>663</v>
      </c>
      <c r="H11" s="91">
        <f t="shared" si="0"/>
        <v>0</v>
      </c>
    </row>
    <row r="12" spans="1:8">
      <c r="A12" s="35" t="s">
        <v>67</v>
      </c>
      <c r="B12" s="37" t="s">
        <v>204</v>
      </c>
      <c r="C12" s="82" t="s">
        <v>671</v>
      </c>
      <c r="D12" s="83">
        <v>19999</v>
      </c>
      <c r="E12" s="41">
        <v>19999</v>
      </c>
      <c r="F12" s="41">
        <v>19999</v>
      </c>
      <c r="G12" t="s">
        <v>663</v>
      </c>
      <c r="H12" s="91">
        <f t="shared" si="0"/>
        <v>0</v>
      </c>
    </row>
    <row r="13" spans="1:8">
      <c r="A13" s="6" t="s">
        <v>67</v>
      </c>
      <c r="B13" s="17" t="s">
        <v>69</v>
      </c>
      <c r="C13" s="82" t="s">
        <v>672</v>
      </c>
      <c r="D13" s="84">
        <f>E13</f>
        <v>19699</v>
      </c>
      <c r="E13" s="26">
        <v>19699</v>
      </c>
      <c r="F13" s="26">
        <v>19699</v>
      </c>
      <c r="G13" t="s">
        <v>663</v>
      </c>
      <c r="H13" s="91">
        <f t="shared" si="0"/>
        <v>0</v>
      </c>
    </row>
    <row r="14" spans="1:8">
      <c r="A14" s="6" t="s">
        <v>73</v>
      </c>
      <c r="B14" s="17" t="s">
        <v>182</v>
      </c>
      <c r="C14" s="82" t="s">
        <v>673</v>
      </c>
      <c r="D14" s="83">
        <v>19699</v>
      </c>
      <c r="E14" s="26">
        <v>19699</v>
      </c>
      <c r="F14" s="26">
        <v>19699</v>
      </c>
      <c r="G14" t="s">
        <v>663</v>
      </c>
      <c r="H14" s="91">
        <f t="shared" si="0"/>
        <v>0</v>
      </c>
    </row>
    <row r="15" spans="1:8">
      <c r="A15" s="35" t="s">
        <v>67</v>
      </c>
      <c r="B15" s="37" t="s">
        <v>205</v>
      </c>
      <c r="C15" s="82" t="s">
        <v>674</v>
      </c>
      <c r="D15" s="83">
        <v>19719</v>
      </c>
      <c r="E15" s="41">
        <v>18999</v>
      </c>
      <c r="F15" s="41">
        <v>18999</v>
      </c>
      <c r="G15" s="66">
        <v>44336</v>
      </c>
      <c r="H15" s="91">
        <f t="shared" si="0"/>
        <v>720</v>
      </c>
    </row>
    <row r="16" spans="1:8">
      <c r="A16" s="3" t="s">
        <v>67</v>
      </c>
      <c r="B16" s="5" t="s">
        <v>70</v>
      </c>
      <c r="C16" s="82" t="s">
        <v>675</v>
      </c>
      <c r="D16" s="83">
        <v>20599</v>
      </c>
      <c r="E16" s="28">
        <v>18499</v>
      </c>
      <c r="F16" s="28">
        <v>18499</v>
      </c>
      <c r="G16" s="66">
        <v>44336</v>
      </c>
      <c r="H16" s="91">
        <f t="shared" si="0"/>
        <v>2100</v>
      </c>
    </row>
    <row r="17" spans="1:8">
      <c r="A17" s="19" t="s">
        <v>67</v>
      </c>
      <c r="B17" s="17" t="s">
        <v>151</v>
      </c>
      <c r="C17" s="82" t="s">
        <v>676</v>
      </c>
      <c r="D17" s="83">
        <v>18299</v>
      </c>
      <c r="E17" s="28">
        <v>18299</v>
      </c>
      <c r="F17" s="28">
        <v>18299</v>
      </c>
      <c r="G17" t="s">
        <v>663</v>
      </c>
      <c r="H17" s="91">
        <f t="shared" si="0"/>
        <v>0</v>
      </c>
    </row>
    <row r="18" spans="1:8">
      <c r="A18" s="2" t="s">
        <v>74</v>
      </c>
      <c r="B18" s="5" t="s">
        <v>141</v>
      </c>
      <c r="C18" s="82" t="s">
        <v>677</v>
      </c>
      <c r="D18" s="83">
        <v>18299</v>
      </c>
      <c r="E18" s="28">
        <v>18299</v>
      </c>
      <c r="F18" s="28">
        <v>18299</v>
      </c>
      <c r="G18" t="s">
        <v>663</v>
      </c>
      <c r="H18" s="91">
        <f t="shared" si="0"/>
        <v>0</v>
      </c>
    </row>
    <row r="19" spans="1:8">
      <c r="A19" s="7" t="s">
        <v>67</v>
      </c>
      <c r="B19" s="17" t="s">
        <v>29</v>
      </c>
      <c r="C19" s="82" t="s">
        <v>678</v>
      </c>
      <c r="D19" s="83">
        <v>18499</v>
      </c>
      <c r="E19" s="26">
        <v>18199</v>
      </c>
      <c r="F19" s="26">
        <v>18199</v>
      </c>
      <c r="G19" s="66">
        <v>42748</v>
      </c>
      <c r="H19" s="91">
        <f t="shared" si="0"/>
        <v>300</v>
      </c>
    </row>
    <row r="20" spans="1:8">
      <c r="A20" s="6" t="s">
        <v>67</v>
      </c>
      <c r="B20" s="17" t="s">
        <v>71</v>
      </c>
      <c r="C20" s="82" t="s">
        <v>679</v>
      </c>
      <c r="D20" s="84">
        <f t="shared" ref="D20:D22" si="2">E20</f>
        <v>18099</v>
      </c>
      <c r="E20" s="26">
        <v>18099</v>
      </c>
      <c r="F20" s="26">
        <v>18099</v>
      </c>
      <c r="G20" t="s">
        <v>663</v>
      </c>
      <c r="H20" s="91">
        <f t="shared" si="0"/>
        <v>0</v>
      </c>
    </row>
    <row r="21" spans="1:8">
      <c r="A21" s="6" t="s">
        <v>67</v>
      </c>
      <c r="B21" s="17" t="s">
        <v>72</v>
      </c>
      <c r="C21" s="82" t="s">
        <v>680</v>
      </c>
      <c r="D21" s="84">
        <f t="shared" si="2"/>
        <v>17999</v>
      </c>
      <c r="E21" s="26">
        <v>17999</v>
      </c>
      <c r="F21" s="26">
        <v>17999</v>
      </c>
      <c r="G21" t="s">
        <v>663</v>
      </c>
      <c r="H21" s="91">
        <f t="shared" si="0"/>
        <v>0</v>
      </c>
    </row>
    <row r="22" spans="1:8">
      <c r="A22" s="3" t="s">
        <v>73</v>
      </c>
      <c r="B22" s="5" t="s">
        <v>140</v>
      </c>
      <c r="C22" s="82"/>
      <c r="D22" s="84">
        <f t="shared" si="2"/>
        <v>17989</v>
      </c>
      <c r="E22" s="28">
        <v>17989</v>
      </c>
      <c r="F22" s="28">
        <v>17989</v>
      </c>
      <c r="G22" t="s">
        <v>663</v>
      </c>
      <c r="H22" s="91">
        <f t="shared" si="0"/>
        <v>0</v>
      </c>
    </row>
    <row r="23" spans="1:8">
      <c r="A23" s="3" t="s">
        <v>67</v>
      </c>
      <c r="B23" s="5" t="s">
        <v>149</v>
      </c>
      <c r="C23" s="82" t="s">
        <v>681</v>
      </c>
      <c r="D23" s="83">
        <v>17799</v>
      </c>
      <c r="E23" s="28">
        <v>17799</v>
      </c>
      <c r="F23" s="28">
        <v>17799</v>
      </c>
      <c r="G23" t="s">
        <v>663</v>
      </c>
      <c r="H23" s="91">
        <f t="shared" si="0"/>
        <v>0</v>
      </c>
    </row>
    <row r="24" spans="1:8">
      <c r="A24" s="6" t="s">
        <v>73</v>
      </c>
      <c r="B24" s="17" t="s">
        <v>117</v>
      </c>
      <c r="C24" s="82" t="s">
        <v>1046</v>
      </c>
      <c r="D24" s="84">
        <f t="shared" ref="D24:D25" si="3">E24</f>
        <v>17699</v>
      </c>
      <c r="E24" s="26">
        <v>17699</v>
      </c>
      <c r="F24" s="26">
        <v>17699</v>
      </c>
      <c r="G24" t="s">
        <v>663</v>
      </c>
      <c r="H24" s="91">
        <f t="shared" si="0"/>
        <v>0</v>
      </c>
    </row>
    <row r="25" spans="1:8">
      <c r="A25" s="2" t="s">
        <v>67</v>
      </c>
      <c r="B25" s="5" t="s">
        <v>175</v>
      </c>
      <c r="C25" s="82"/>
      <c r="D25" s="84">
        <f t="shared" si="3"/>
        <v>17299</v>
      </c>
      <c r="E25" s="28">
        <v>17299</v>
      </c>
      <c r="F25" s="28">
        <v>17299</v>
      </c>
      <c r="G25" t="s">
        <v>663</v>
      </c>
      <c r="H25" s="91">
        <f t="shared" si="0"/>
        <v>0</v>
      </c>
    </row>
    <row r="26" spans="1:8">
      <c r="A26" s="7" t="s">
        <v>73</v>
      </c>
      <c r="B26" s="17" t="s">
        <v>181</v>
      </c>
      <c r="C26" s="82" t="s">
        <v>682</v>
      </c>
      <c r="D26" s="83">
        <v>17299</v>
      </c>
      <c r="E26" s="26">
        <v>17299</v>
      </c>
      <c r="F26" s="26">
        <v>17299</v>
      </c>
      <c r="G26" t="s">
        <v>663</v>
      </c>
      <c r="H26" s="91">
        <f t="shared" si="0"/>
        <v>0</v>
      </c>
    </row>
    <row r="27" spans="1:8">
      <c r="A27" s="23" t="s">
        <v>73</v>
      </c>
      <c r="B27" s="17" t="s">
        <v>30</v>
      </c>
      <c r="C27" s="82"/>
      <c r="D27" s="84">
        <f t="shared" ref="D27:D28" si="4">E27</f>
        <v>16899</v>
      </c>
      <c r="E27" s="28">
        <v>16899</v>
      </c>
      <c r="F27" s="28">
        <v>16899</v>
      </c>
      <c r="G27" t="s">
        <v>663</v>
      </c>
      <c r="H27" s="91">
        <f t="shared" si="0"/>
        <v>0</v>
      </c>
    </row>
    <row r="28" spans="1:8">
      <c r="A28" s="2" t="s">
        <v>73</v>
      </c>
      <c r="B28" s="5" t="s">
        <v>31</v>
      </c>
      <c r="C28" s="82"/>
      <c r="D28" s="84">
        <f t="shared" si="4"/>
        <v>16499</v>
      </c>
      <c r="E28" s="28">
        <v>16499</v>
      </c>
      <c r="F28" s="28">
        <v>16499</v>
      </c>
      <c r="G28" t="s">
        <v>663</v>
      </c>
      <c r="H28" s="91">
        <f t="shared" si="0"/>
        <v>0</v>
      </c>
    </row>
    <row r="29" spans="1:8">
      <c r="A29" s="34" t="s">
        <v>67</v>
      </c>
      <c r="B29" s="36" t="s">
        <v>203</v>
      </c>
      <c r="C29" s="82" t="s">
        <v>683</v>
      </c>
      <c r="D29" s="83">
        <v>16499</v>
      </c>
      <c r="E29" s="39">
        <v>16499</v>
      </c>
      <c r="F29" s="39">
        <v>16499</v>
      </c>
      <c r="G29" t="s">
        <v>663</v>
      </c>
      <c r="H29" s="91">
        <f t="shared" si="0"/>
        <v>0</v>
      </c>
    </row>
    <row r="30" spans="1:8">
      <c r="A30" s="7" t="s">
        <v>67</v>
      </c>
      <c r="B30" s="17" t="s">
        <v>33</v>
      </c>
      <c r="C30" s="82"/>
      <c r="D30" s="84">
        <f t="shared" ref="D30:D31" si="5">E30</f>
        <v>16299</v>
      </c>
      <c r="E30" s="26">
        <v>16299</v>
      </c>
      <c r="F30" s="26">
        <v>16299</v>
      </c>
      <c r="G30" t="s">
        <v>663</v>
      </c>
      <c r="H30" s="91">
        <f t="shared" si="0"/>
        <v>0</v>
      </c>
    </row>
    <row r="31" spans="1:8">
      <c r="A31" s="3" t="s">
        <v>83</v>
      </c>
      <c r="B31" s="5" t="s">
        <v>167</v>
      </c>
      <c r="C31" s="82"/>
      <c r="D31" s="84">
        <f t="shared" si="5"/>
        <v>15999</v>
      </c>
      <c r="E31" s="28">
        <v>15999</v>
      </c>
      <c r="F31" s="28">
        <v>15999</v>
      </c>
      <c r="G31" t="s">
        <v>663</v>
      </c>
      <c r="H31" s="91">
        <f t="shared" si="0"/>
        <v>0</v>
      </c>
    </row>
    <row r="32" spans="1:8">
      <c r="A32" s="7" t="s">
        <v>67</v>
      </c>
      <c r="B32" s="17" t="s">
        <v>32</v>
      </c>
      <c r="C32" s="82" t="s">
        <v>684</v>
      </c>
      <c r="D32" s="83">
        <v>16299</v>
      </c>
      <c r="E32" s="26">
        <v>15999</v>
      </c>
      <c r="F32" s="26">
        <v>15999</v>
      </c>
      <c r="G32" s="66">
        <v>44336</v>
      </c>
      <c r="H32" s="91">
        <f t="shared" si="0"/>
        <v>300</v>
      </c>
    </row>
    <row r="33" spans="1:8">
      <c r="A33" s="2" t="s">
        <v>74</v>
      </c>
      <c r="B33" s="5" t="s">
        <v>5</v>
      </c>
      <c r="C33" s="82"/>
      <c r="D33" s="84">
        <f t="shared" ref="D33:D35" si="6">E33</f>
        <v>15999</v>
      </c>
      <c r="E33" s="28">
        <v>15999</v>
      </c>
      <c r="F33" s="28">
        <v>15999</v>
      </c>
      <c r="G33" t="s">
        <v>663</v>
      </c>
      <c r="H33" s="91">
        <f t="shared" si="0"/>
        <v>0</v>
      </c>
    </row>
    <row r="34" spans="1:8">
      <c r="A34" s="7" t="s">
        <v>67</v>
      </c>
      <c r="B34" s="17" t="s">
        <v>34</v>
      </c>
      <c r="C34" s="82"/>
      <c r="D34" s="84">
        <f t="shared" si="6"/>
        <v>15799</v>
      </c>
      <c r="E34" s="26">
        <v>15799</v>
      </c>
      <c r="F34" s="26">
        <v>15799</v>
      </c>
      <c r="G34" t="s">
        <v>663</v>
      </c>
      <c r="H34" s="91">
        <f t="shared" si="0"/>
        <v>0</v>
      </c>
    </row>
    <row r="35" spans="1:8">
      <c r="A35" s="3" t="s">
        <v>67</v>
      </c>
      <c r="B35" s="5" t="s">
        <v>75</v>
      </c>
      <c r="C35" s="82" t="s">
        <v>685</v>
      </c>
      <c r="D35" s="84">
        <f t="shared" si="6"/>
        <v>15599</v>
      </c>
      <c r="E35" s="28">
        <v>15599</v>
      </c>
      <c r="F35" s="28">
        <v>15599</v>
      </c>
      <c r="G35" t="s">
        <v>663</v>
      </c>
      <c r="H35" s="91">
        <f t="shared" si="0"/>
        <v>0</v>
      </c>
    </row>
    <row r="36" spans="1:8">
      <c r="A36" s="3" t="s">
        <v>67</v>
      </c>
      <c r="B36" s="5" t="s">
        <v>148</v>
      </c>
      <c r="C36" s="82" t="s">
        <v>686</v>
      </c>
      <c r="D36" s="83">
        <v>15499</v>
      </c>
      <c r="E36" s="28">
        <v>15499</v>
      </c>
      <c r="F36" s="28">
        <v>15499</v>
      </c>
      <c r="G36" t="s">
        <v>663</v>
      </c>
      <c r="H36" s="91">
        <f t="shared" si="0"/>
        <v>0</v>
      </c>
    </row>
    <row r="37" spans="1:8">
      <c r="A37" s="6" t="s">
        <v>73</v>
      </c>
      <c r="B37" s="17" t="s">
        <v>116</v>
      </c>
      <c r="C37" s="82"/>
      <c r="D37" s="84">
        <f t="shared" ref="D37:D43" si="7">E37</f>
        <v>15479</v>
      </c>
      <c r="E37" s="26">
        <v>15479</v>
      </c>
      <c r="F37" s="26">
        <v>15479</v>
      </c>
      <c r="G37" t="s">
        <v>663</v>
      </c>
      <c r="H37" s="91">
        <f t="shared" si="0"/>
        <v>0</v>
      </c>
    </row>
    <row r="38" spans="1:8">
      <c r="A38" s="3" t="s">
        <v>83</v>
      </c>
      <c r="B38" s="5" t="s">
        <v>187</v>
      </c>
      <c r="C38" s="82"/>
      <c r="D38" s="84">
        <f t="shared" si="7"/>
        <v>15299</v>
      </c>
      <c r="E38" s="28">
        <v>15299</v>
      </c>
      <c r="F38" s="28">
        <v>15299</v>
      </c>
      <c r="G38" t="s">
        <v>663</v>
      </c>
      <c r="H38" s="91">
        <f t="shared" si="0"/>
        <v>0</v>
      </c>
    </row>
    <row r="39" spans="1:8">
      <c r="A39" s="7" t="s">
        <v>73</v>
      </c>
      <c r="B39" s="17" t="s">
        <v>35</v>
      </c>
      <c r="C39" s="82"/>
      <c r="D39" s="84">
        <f t="shared" si="7"/>
        <v>15299</v>
      </c>
      <c r="E39" s="26">
        <v>15299</v>
      </c>
      <c r="F39" s="26">
        <v>15299</v>
      </c>
      <c r="G39" t="s">
        <v>663</v>
      </c>
      <c r="H39" s="91">
        <f t="shared" si="0"/>
        <v>0</v>
      </c>
    </row>
    <row r="40" spans="1:8">
      <c r="A40" s="3" t="s">
        <v>67</v>
      </c>
      <c r="B40" s="5" t="s">
        <v>76</v>
      </c>
      <c r="C40" s="82" t="s">
        <v>687</v>
      </c>
      <c r="D40" s="84">
        <f t="shared" si="7"/>
        <v>15199</v>
      </c>
      <c r="E40" s="28">
        <v>15199</v>
      </c>
      <c r="F40" s="28">
        <v>15199</v>
      </c>
      <c r="G40" t="s">
        <v>663</v>
      </c>
      <c r="H40" s="91">
        <f t="shared" si="0"/>
        <v>0</v>
      </c>
    </row>
    <row r="41" spans="1:8">
      <c r="A41" s="3" t="s">
        <v>86</v>
      </c>
      <c r="B41" s="5" t="s">
        <v>192</v>
      </c>
      <c r="C41" s="82"/>
      <c r="D41" s="84">
        <f t="shared" si="7"/>
        <v>14999</v>
      </c>
      <c r="E41" s="28">
        <v>14999</v>
      </c>
      <c r="F41" s="28">
        <v>14999</v>
      </c>
      <c r="G41" t="s">
        <v>663</v>
      </c>
      <c r="H41" s="91">
        <f t="shared" si="0"/>
        <v>0</v>
      </c>
    </row>
    <row r="42" spans="1:8">
      <c r="A42" s="6" t="s">
        <v>73</v>
      </c>
      <c r="B42" s="17" t="s">
        <v>6</v>
      </c>
      <c r="C42" s="82"/>
      <c r="D42" s="84">
        <f t="shared" si="7"/>
        <v>14599</v>
      </c>
      <c r="E42" s="26">
        <v>14599</v>
      </c>
      <c r="F42" s="26">
        <v>14599</v>
      </c>
      <c r="G42" t="s">
        <v>663</v>
      </c>
      <c r="H42" s="91">
        <f t="shared" si="0"/>
        <v>0</v>
      </c>
    </row>
    <row r="43" spans="1:8">
      <c r="A43" s="3" t="s">
        <v>83</v>
      </c>
      <c r="B43" s="5" t="s">
        <v>184</v>
      </c>
      <c r="C43" s="82"/>
      <c r="D43" s="84">
        <f t="shared" si="7"/>
        <v>14499</v>
      </c>
      <c r="E43" s="28">
        <v>14499</v>
      </c>
      <c r="F43" s="28">
        <v>14499</v>
      </c>
      <c r="G43" t="s">
        <v>663</v>
      </c>
      <c r="H43" s="91">
        <f t="shared" si="0"/>
        <v>0</v>
      </c>
    </row>
    <row r="44" spans="1:8">
      <c r="A44" s="2" t="s">
        <v>67</v>
      </c>
      <c r="B44" s="5" t="s">
        <v>36</v>
      </c>
      <c r="C44" s="82" t="s">
        <v>688</v>
      </c>
      <c r="D44" s="83">
        <v>14099</v>
      </c>
      <c r="E44" s="28">
        <v>13899</v>
      </c>
      <c r="F44" s="28">
        <v>13899</v>
      </c>
      <c r="G44" s="66">
        <v>42748</v>
      </c>
      <c r="H44" s="91">
        <f t="shared" si="0"/>
        <v>200</v>
      </c>
    </row>
    <row r="45" spans="1:8">
      <c r="A45" s="7" t="s">
        <v>67</v>
      </c>
      <c r="B45" s="17" t="s">
        <v>37</v>
      </c>
      <c r="C45" s="82"/>
      <c r="D45" s="84">
        <f t="shared" ref="D45:D54" si="8">E45</f>
        <v>13899</v>
      </c>
      <c r="E45" s="26">
        <v>13899</v>
      </c>
      <c r="F45" s="26">
        <v>13899</v>
      </c>
      <c r="G45" t="s">
        <v>663</v>
      </c>
      <c r="H45" s="91">
        <f t="shared" si="0"/>
        <v>0</v>
      </c>
    </row>
    <row r="46" spans="1:8">
      <c r="A46" s="3" t="s">
        <v>67</v>
      </c>
      <c r="B46" s="5" t="s">
        <v>77</v>
      </c>
      <c r="C46" s="82" t="s">
        <v>689</v>
      </c>
      <c r="D46" s="84">
        <f t="shared" si="8"/>
        <v>13799</v>
      </c>
      <c r="E46" s="28">
        <v>13799</v>
      </c>
      <c r="F46" s="28">
        <v>13799</v>
      </c>
      <c r="G46" t="s">
        <v>663</v>
      </c>
      <c r="H46" s="91">
        <f t="shared" si="0"/>
        <v>0</v>
      </c>
    </row>
    <row r="47" spans="1:8">
      <c r="A47" s="7" t="s">
        <v>73</v>
      </c>
      <c r="B47" s="17" t="s">
        <v>38</v>
      </c>
      <c r="C47" s="82" t="s">
        <v>690</v>
      </c>
      <c r="D47" s="84">
        <f t="shared" si="8"/>
        <v>13299</v>
      </c>
      <c r="E47" s="26">
        <v>13299</v>
      </c>
      <c r="F47" s="26">
        <v>13299</v>
      </c>
      <c r="G47" t="s">
        <v>663</v>
      </c>
      <c r="H47" s="91">
        <f t="shared" si="0"/>
        <v>0</v>
      </c>
    </row>
    <row r="48" spans="1:8">
      <c r="A48" s="2" t="s">
        <v>67</v>
      </c>
      <c r="B48" s="5" t="s">
        <v>174</v>
      </c>
      <c r="C48" s="82"/>
      <c r="D48" s="84">
        <f t="shared" si="8"/>
        <v>12799</v>
      </c>
      <c r="E48" s="28">
        <v>12799</v>
      </c>
      <c r="F48" s="28">
        <v>12799</v>
      </c>
      <c r="G48" t="s">
        <v>663</v>
      </c>
      <c r="H48" s="91">
        <f t="shared" si="0"/>
        <v>0</v>
      </c>
    </row>
    <row r="49" spans="1:8">
      <c r="A49" s="3" t="s">
        <v>73</v>
      </c>
      <c r="B49" s="5" t="s">
        <v>78</v>
      </c>
      <c r="C49" s="82"/>
      <c r="D49" s="84">
        <f t="shared" si="8"/>
        <v>12699</v>
      </c>
      <c r="E49" s="28">
        <v>12699</v>
      </c>
      <c r="F49" s="28">
        <v>12699</v>
      </c>
      <c r="G49" t="s">
        <v>663</v>
      </c>
      <c r="H49" s="91">
        <f t="shared" si="0"/>
        <v>0</v>
      </c>
    </row>
    <row r="50" spans="1:8">
      <c r="A50" s="2" t="s">
        <v>67</v>
      </c>
      <c r="B50" s="5" t="s">
        <v>172</v>
      </c>
      <c r="C50" s="82"/>
      <c r="D50" s="84">
        <f t="shared" si="8"/>
        <v>12499</v>
      </c>
      <c r="E50" s="28">
        <v>12499</v>
      </c>
      <c r="F50" s="28">
        <v>12499</v>
      </c>
      <c r="G50" t="s">
        <v>663</v>
      </c>
      <c r="H50" s="91">
        <f t="shared" si="0"/>
        <v>0</v>
      </c>
    </row>
    <row r="51" spans="1:8">
      <c r="A51" s="2" t="s">
        <v>67</v>
      </c>
      <c r="B51" s="5" t="s">
        <v>39</v>
      </c>
      <c r="C51" s="82"/>
      <c r="D51" s="84">
        <f t="shared" si="8"/>
        <v>12399</v>
      </c>
      <c r="E51" s="28">
        <v>12399</v>
      </c>
      <c r="F51" s="28">
        <v>12399</v>
      </c>
      <c r="G51" t="s">
        <v>663</v>
      </c>
      <c r="H51" s="91">
        <f t="shared" si="0"/>
        <v>0</v>
      </c>
    </row>
    <row r="52" spans="1:8">
      <c r="A52" s="7" t="s">
        <v>67</v>
      </c>
      <c r="B52" s="17" t="s">
        <v>40</v>
      </c>
      <c r="C52" s="82"/>
      <c r="D52" s="84">
        <f t="shared" si="8"/>
        <v>12299</v>
      </c>
      <c r="E52" s="26">
        <v>12299</v>
      </c>
      <c r="F52" s="26">
        <v>12299</v>
      </c>
      <c r="G52" t="s">
        <v>663</v>
      </c>
      <c r="H52" s="91">
        <f t="shared" si="0"/>
        <v>0</v>
      </c>
    </row>
    <row r="53" spans="1:8">
      <c r="A53" s="7" t="s">
        <v>74</v>
      </c>
      <c r="B53" s="17" t="s">
        <v>7</v>
      </c>
      <c r="C53" s="82"/>
      <c r="D53" s="84">
        <f t="shared" si="8"/>
        <v>12199</v>
      </c>
      <c r="E53" s="26">
        <v>12199</v>
      </c>
      <c r="F53" s="26">
        <v>12199</v>
      </c>
      <c r="G53" t="s">
        <v>663</v>
      </c>
      <c r="H53" s="91">
        <f t="shared" si="0"/>
        <v>0</v>
      </c>
    </row>
    <row r="54" spans="1:8">
      <c r="A54" s="15" t="s">
        <v>79</v>
      </c>
      <c r="B54" s="16">
        <v>9900</v>
      </c>
      <c r="C54" s="82"/>
      <c r="D54" s="84">
        <f t="shared" si="8"/>
        <v>12103</v>
      </c>
      <c r="E54" s="25">
        <v>12103</v>
      </c>
      <c r="F54" s="25">
        <v>12103</v>
      </c>
      <c r="G54" t="s">
        <v>663</v>
      </c>
      <c r="H54" s="91">
        <f t="shared" si="0"/>
        <v>0</v>
      </c>
    </row>
    <row r="55" spans="1:8">
      <c r="A55" s="3" t="s">
        <v>83</v>
      </c>
      <c r="B55" s="3" t="s">
        <v>156</v>
      </c>
      <c r="C55" s="82" t="s">
        <v>691</v>
      </c>
      <c r="D55" s="83">
        <v>11999</v>
      </c>
      <c r="E55" s="29">
        <v>11999</v>
      </c>
      <c r="F55" s="29">
        <v>11999</v>
      </c>
      <c r="G55" t="s">
        <v>663</v>
      </c>
      <c r="H55" s="91">
        <f t="shared" si="0"/>
        <v>0</v>
      </c>
    </row>
    <row r="56" spans="1:8">
      <c r="A56" s="3" t="s">
        <v>73</v>
      </c>
      <c r="B56" s="3" t="s">
        <v>169</v>
      </c>
      <c r="C56" s="82"/>
      <c r="D56" s="84">
        <f t="shared" ref="D56:D59" si="9">E56</f>
        <v>11999</v>
      </c>
      <c r="E56" s="29">
        <v>11999</v>
      </c>
      <c r="F56" s="29">
        <v>11999</v>
      </c>
      <c r="G56" t="s">
        <v>663</v>
      </c>
      <c r="H56" s="91">
        <f t="shared" si="0"/>
        <v>0</v>
      </c>
    </row>
    <row r="57" spans="1:8">
      <c r="A57" s="2" t="s">
        <v>80</v>
      </c>
      <c r="B57" s="2" t="s">
        <v>81</v>
      </c>
      <c r="C57" s="82" t="s">
        <v>692</v>
      </c>
      <c r="D57" s="84">
        <f t="shared" si="9"/>
        <v>11899</v>
      </c>
      <c r="E57" s="29">
        <v>11899</v>
      </c>
      <c r="F57" s="29">
        <v>11899</v>
      </c>
      <c r="G57" t="s">
        <v>663</v>
      </c>
      <c r="H57" s="91">
        <f t="shared" si="0"/>
        <v>0</v>
      </c>
    </row>
    <row r="58" spans="1:8">
      <c r="A58" s="2" t="s">
        <v>67</v>
      </c>
      <c r="B58" s="3" t="s">
        <v>120</v>
      </c>
      <c r="C58" s="82"/>
      <c r="D58" s="84">
        <f t="shared" si="9"/>
        <v>11199</v>
      </c>
      <c r="E58" s="29">
        <v>11199</v>
      </c>
      <c r="F58" s="29">
        <v>11199</v>
      </c>
      <c r="G58" t="s">
        <v>663</v>
      </c>
      <c r="H58" s="91">
        <f t="shared" si="0"/>
        <v>0</v>
      </c>
    </row>
    <row r="59" spans="1:8">
      <c r="A59" s="7" t="s">
        <v>74</v>
      </c>
      <c r="B59" s="7" t="s">
        <v>41</v>
      </c>
      <c r="C59" s="82"/>
      <c r="D59" s="84">
        <f t="shared" si="9"/>
        <v>10999</v>
      </c>
      <c r="E59" s="25">
        <v>10999</v>
      </c>
      <c r="F59" s="25">
        <v>10999</v>
      </c>
      <c r="G59" t="s">
        <v>663</v>
      </c>
      <c r="H59" s="91">
        <f t="shared" si="0"/>
        <v>0</v>
      </c>
    </row>
    <row r="60" spans="1:8">
      <c r="A60" s="2" t="s">
        <v>74</v>
      </c>
      <c r="B60" s="3" t="s">
        <v>190</v>
      </c>
      <c r="C60" s="82" t="s">
        <v>693</v>
      </c>
      <c r="D60" s="83">
        <v>10999</v>
      </c>
      <c r="E60" s="29">
        <v>10999</v>
      </c>
      <c r="F60" s="29">
        <v>10999</v>
      </c>
      <c r="G60" t="s">
        <v>663</v>
      </c>
      <c r="H60" s="91">
        <f t="shared" si="0"/>
        <v>0</v>
      </c>
    </row>
    <row r="61" spans="1:8">
      <c r="A61" s="3" t="s">
        <v>83</v>
      </c>
      <c r="B61" s="3" t="s">
        <v>118</v>
      </c>
      <c r="C61" s="82"/>
      <c r="D61" s="84">
        <f t="shared" ref="D61:D62" si="10">E61</f>
        <v>10449</v>
      </c>
      <c r="E61" s="29">
        <v>10449</v>
      </c>
      <c r="F61" s="29">
        <v>10449</v>
      </c>
      <c r="G61" t="s">
        <v>663</v>
      </c>
      <c r="H61" s="91">
        <f t="shared" si="0"/>
        <v>0</v>
      </c>
    </row>
    <row r="62" spans="1:8">
      <c r="A62" s="7" t="s">
        <v>67</v>
      </c>
      <c r="B62" s="7" t="s">
        <v>42</v>
      </c>
      <c r="C62" s="82"/>
      <c r="D62" s="84">
        <f t="shared" si="10"/>
        <v>10399</v>
      </c>
      <c r="E62" s="25">
        <v>10399</v>
      </c>
      <c r="F62" s="25">
        <v>10399</v>
      </c>
      <c r="G62" t="s">
        <v>663</v>
      </c>
      <c r="H62" s="91">
        <f t="shared" si="0"/>
        <v>0</v>
      </c>
    </row>
    <row r="63" spans="1:8">
      <c r="A63" s="3" t="s">
        <v>73</v>
      </c>
      <c r="B63" s="3" t="s">
        <v>121</v>
      </c>
      <c r="C63" s="82" t="s">
        <v>694</v>
      </c>
      <c r="D63" s="83">
        <v>10399</v>
      </c>
      <c r="E63" s="29">
        <v>10399</v>
      </c>
      <c r="F63" s="29">
        <v>10399</v>
      </c>
      <c r="G63" t="s">
        <v>663</v>
      </c>
      <c r="H63" s="91">
        <f t="shared" si="0"/>
        <v>0</v>
      </c>
    </row>
    <row r="64" spans="1:8">
      <c r="A64" s="2" t="s">
        <v>74</v>
      </c>
      <c r="B64" s="3" t="s">
        <v>142</v>
      </c>
      <c r="C64" s="82" t="s">
        <v>695</v>
      </c>
      <c r="D64" s="83">
        <v>18299</v>
      </c>
      <c r="E64" s="29">
        <v>9949</v>
      </c>
      <c r="F64" s="29">
        <v>9949</v>
      </c>
      <c r="G64" s="66">
        <v>44318</v>
      </c>
      <c r="H64" s="91">
        <f t="shared" si="0"/>
        <v>8350</v>
      </c>
    </row>
    <row r="65" spans="1:8">
      <c r="A65" s="3" t="s">
        <v>83</v>
      </c>
      <c r="B65" s="3" t="s">
        <v>202</v>
      </c>
      <c r="C65" s="82" t="s">
        <v>696</v>
      </c>
      <c r="D65" s="83">
        <v>9909</v>
      </c>
      <c r="E65" s="29">
        <v>9909</v>
      </c>
      <c r="F65" s="29">
        <v>9909</v>
      </c>
      <c r="G65" t="s">
        <v>663</v>
      </c>
      <c r="H65" s="91">
        <f t="shared" si="0"/>
        <v>0</v>
      </c>
    </row>
    <row r="66" spans="1:8">
      <c r="A66" s="7" t="s">
        <v>67</v>
      </c>
      <c r="B66" s="6" t="s">
        <v>173</v>
      </c>
      <c r="C66" s="82"/>
      <c r="D66" s="84">
        <f t="shared" ref="D66:D77" si="11">E66</f>
        <v>9799</v>
      </c>
      <c r="E66" s="25">
        <v>9799</v>
      </c>
      <c r="F66" s="25">
        <v>9799</v>
      </c>
      <c r="G66" t="s">
        <v>663</v>
      </c>
      <c r="H66" s="91">
        <f t="shared" si="0"/>
        <v>0</v>
      </c>
    </row>
    <row r="67" spans="1:8">
      <c r="A67" s="2" t="s">
        <v>74</v>
      </c>
      <c r="B67" s="2" t="s">
        <v>43</v>
      </c>
      <c r="C67" s="82"/>
      <c r="D67" s="84">
        <f t="shared" si="11"/>
        <v>9799</v>
      </c>
      <c r="E67" s="29">
        <v>9799</v>
      </c>
      <c r="F67" s="29">
        <v>9799</v>
      </c>
      <c r="G67" t="s">
        <v>663</v>
      </c>
      <c r="H67" s="91">
        <f t="shared" ref="H67:H130" si="12">D67-E67</f>
        <v>0</v>
      </c>
    </row>
    <row r="68" spans="1:8">
      <c r="A68" s="2" t="s">
        <v>67</v>
      </c>
      <c r="B68" s="3" t="s">
        <v>119</v>
      </c>
      <c r="C68" s="82"/>
      <c r="D68" s="84">
        <f t="shared" si="11"/>
        <v>8999</v>
      </c>
      <c r="E68" s="29">
        <v>8999</v>
      </c>
      <c r="F68" s="29">
        <v>8999</v>
      </c>
      <c r="G68" t="s">
        <v>663</v>
      </c>
      <c r="H68" s="91">
        <f t="shared" si="12"/>
        <v>0</v>
      </c>
    </row>
    <row r="69" spans="1:8">
      <c r="A69" s="6" t="s">
        <v>83</v>
      </c>
      <c r="B69" s="6" t="s">
        <v>82</v>
      </c>
      <c r="C69" s="82"/>
      <c r="D69" s="84">
        <f t="shared" si="11"/>
        <v>8899</v>
      </c>
      <c r="E69" s="25">
        <v>8899</v>
      </c>
      <c r="F69" s="25">
        <v>8899</v>
      </c>
      <c r="G69" t="s">
        <v>663</v>
      </c>
      <c r="H69" s="91">
        <f t="shared" si="12"/>
        <v>0</v>
      </c>
    </row>
    <row r="70" spans="1:8">
      <c r="A70" s="2" t="s">
        <v>83</v>
      </c>
      <c r="B70" s="2" t="s">
        <v>44</v>
      </c>
      <c r="C70" s="82"/>
      <c r="D70" s="84">
        <f t="shared" si="11"/>
        <v>8899</v>
      </c>
      <c r="E70" s="29">
        <v>8899</v>
      </c>
      <c r="F70" s="29">
        <v>8899</v>
      </c>
      <c r="G70" t="s">
        <v>663</v>
      </c>
      <c r="H70" s="91">
        <f t="shared" si="12"/>
        <v>0</v>
      </c>
    </row>
    <row r="71" spans="1:8">
      <c r="A71" s="6" t="s">
        <v>73</v>
      </c>
      <c r="B71" s="6" t="s">
        <v>114</v>
      </c>
      <c r="C71" s="82"/>
      <c r="D71" s="84">
        <f t="shared" si="11"/>
        <v>8669</v>
      </c>
      <c r="E71" s="25">
        <v>8669</v>
      </c>
      <c r="F71" s="25">
        <v>8669</v>
      </c>
      <c r="G71" t="s">
        <v>663</v>
      </c>
      <c r="H71" s="91">
        <f t="shared" si="12"/>
        <v>0</v>
      </c>
    </row>
    <row r="72" spans="1:8">
      <c r="A72" s="3" t="s">
        <v>86</v>
      </c>
      <c r="B72" s="3" t="s">
        <v>131</v>
      </c>
      <c r="C72" s="82"/>
      <c r="D72" s="84">
        <f t="shared" si="11"/>
        <v>8499</v>
      </c>
      <c r="E72" s="29">
        <v>8499</v>
      </c>
      <c r="F72" s="29">
        <v>8499</v>
      </c>
      <c r="G72" t="s">
        <v>663</v>
      </c>
      <c r="H72" s="91">
        <f t="shared" si="12"/>
        <v>0</v>
      </c>
    </row>
    <row r="73" spans="1:8">
      <c r="A73" s="7" t="s">
        <v>83</v>
      </c>
      <c r="B73" s="7" t="s">
        <v>8</v>
      </c>
      <c r="C73" s="82"/>
      <c r="D73" s="84">
        <f t="shared" si="11"/>
        <v>8399</v>
      </c>
      <c r="E73" s="25">
        <v>8399</v>
      </c>
      <c r="F73" s="25">
        <v>8399</v>
      </c>
      <c r="G73" t="s">
        <v>663</v>
      </c>
      <c r="H73" s="91">
        <f t="shared" si="12"/>
        <v>0</v>
      </c>
    </row>
    <row r="74" spans="1:8">
      <c r="A74" s="2" t="s">
        <v>74</v>
      </c>
      <c r="B74" s="2" t="s">
        <v>45</v>
      </c>
      <c r="C74" s="82" t="s">
        <v>1010</v>
      </c>
      <c r="D74" s="84">
        <f t="shared" si="11"/>
        <v>8199</v>
      </c>
      <c r="E74" s="29">
        <v>8199</v>
      </c>
      <c r="F74" s="29">
        <v>8199</v>
      </c>
      <c r="G74" t="s">
        <v>663</v>
      </c>
      <c r="H74" s="91">
        <f t="shared" si="12"/>
        <v>0</v>
      </c>
    </row>
    <row r="75" spans="1:8">
      <c r="A75" s="6" t="s">
        <v>86</v>
      </c>
      <c r="B75" s="6" t="s">
        <v>155</v>
      </c>
      <c r="C75" s="82"/>
      <c r="D75" s="84">
        <f t="shared" si="11"/>
        <v>7949</v>
      </c>
      <c r="E75" s="25">
        <v>7949</v>
      </c>
      <c r="F75" s="25">
        <v>7949</v>
      </c>
      <c r="G75" t="s">
        <v>663</v>
      </c>
      <c r="H75" s="91">
        <f t="shared" si="12"/>
        <v>0</v>
      </c>
    </row>
    <row r="76" spans="1:8">
      <c r="A76" s="3" t="s">
        <v>73</v>
      </c>
      <c r="B76" s="3" t="s">
        <v>133</v>
      </c>
      <c r="C76" s="82"/>
      <c r="D76" s="84">
        <f t="shared" si="11"/>
        <v>7899</v>
      </c>
      <c r="E76" s="29">
        <v>7899</v>
      </c>
      <c r="F76" s="29">
        <v>7899</v>
      </c>
      <c r="G76" t="s">
        <v>663</v>
      </c>
      <c r="H76" s="91">
        <f t="shared" si="12"/>
        <v>0</v>
      </c>
    </row>
    <row r="77" spans="1:8">
      <c r="A77" s="15" t="s">
        <v>79</v>
      </c>
      <c r="B77" s="16">
        <v>9360</v>
      </c>
      <c r="C77" s="82"/>
      <c r="D77" s="84">
        <f t="shared" si="11"/>
        <v>7894</v>
      </c>
      <c r="E77" s="25">
        <v>7894</v>
      </c>
      <c r="F77" s="25">
        <v>7894</v>
      </c>
      <c r="G77" t="s">
        <v>663</v>
      </c>
      <c r="H77" s="91">
        <f t="shared" si="12"/>
        <v>0</v>
      </c>
    </row>
    <row r="78" spans="1:8">
      <c r="A78" s="7" t="s">
        <v>74</v>
      </c>
      <c r="B78" s="7" t="s">
        <v>46</v>
      </c>
      <c r="C78" s="82" t="s">
        <v>697</v>
      </c>
      <c r="D78" s="83">
        <v>7499</v>
      </c>
      <c r="E78" s="26">
        <v>7499</v>
      </c>
      <c r="F78" s="26">
        <v>7499</v>
      </c>
      <c r="G78" t="s">
        <v>663</v>
      </c>
      <c r="H78" s="91">
        <f t="shared" si="12"/>
        <v>0</v>
      </c>
    </row>
    <row r="79" spans="1:8">
      <c r="A79" s="3" t="s">
        <v>74</v>
      </c>
      <c r="B79" s="3" t="s">
        <v>84</v>
      </c>
      <c r="C79" s="82"/>
      <c r="D79" s="84">
        <f t="shared" ref="D79:D83" si="13">E79</f>
        <v>7499</v>
      </c>
      <c r="E79" s="28">
        <v>7499</v>
      </c>
      <c r="F79" s="28">
        <v>7499</v>
      </c>
      <c r="G79" t="s">
        <v>663</v>
      </c>
      <c r="H79" s="91">
        <f t="shared" si="12"/>
        <v>0</v>
      </c>
    </row>
    <row r="80" spans="1:8">
      <c r="A80" s="6" t="s">
        <v>74</v>
      </c>
      <c r="B80" s="6" t="s">
        <v>85</v>
      </c>
      <c r="C80" s="82"/>
      <c r="D80" s="84">
        <f t="shared" si="13"/>
        <v>7499</v>
      </c>
      <c r="E80" s="26">
        <v>7499</v>
      </c>
      <c r="F80" s="26">
        <v>7499</v>
      </c>
      <c r="G80" t="s">
        <v>663</v>
      </c>
      <c r="H80" s="91">
        <f t="shared" si="12"/>
        <v>0</v>
      </c>
    </row>
    <row r="81" spans="1:8">
      <c r="A81" s="5" t="s">
        <v>86</v>
      </c>
      <c r="B81" s="5" t="s">
        <v>10</v>
      </c>
      <c r="C81" s="82"/>
      <c r="D81" s="84">
        <f t="shared" si="13"/>
        <v>7299</v>
      </c>
      <c r="E81" s="28">
        <v>7299</v>
      </c>
      <c r="F81" s="28">
        <v>7299</v>
      </c>
      <c r="G81" t="s">
        <v>663</v>
      </c>
      <c r="H81" s="91">
        <f t="shared" si="12"/>
        <v>0</v>
      </c>
    </row>
    <row r="82" spans="1:8">
      <c r="A82" s="2" t="s">
        <v>87</v>
      </c>
      <c r="B82" s="2" t="s">
        <v>9</v>
      </c>
      <c r="C82" s="82"/>
      <c r="D82" s="84">
        <f t="shared" si="13"/>
        <v>7299</v>
      </c>
      <c r="E82" s="28">
        <v>7299</v>
      </c>
      <c r="F82" s="28">
        <v>7299</v>
      </c>
      <c r="G82" t="s">
        <v>663</v>
      </c>
      <c r="H82" s="91">
        <f t="shared" si="12"/>
        <v>0</v>
      </c>
    </row>
    <row r="83" spans="1:8">
      <c r="A83" s="3" t="s">
        <v>80</v>
      </c>
      <c r="B83" s="3" t="s">
        <v>88</v>
      </c>
      <c r="C83" s="82"/>
      <c r="D83" s="84">
        <f t="shared" si="13"/>
        <v>7099</v>
      </c>
      <c r="E83" s="28">
        <v>7099</v>
      </c>
      <c r="F83" s="28">
        <v>7099</v>
      </c>
      <c r="G83" t="s">
        <v>663</v>
      </c>
      <c r="H83" s="91">
        <f t="shared" si="12"/>
        <v>0</v>
      </c>
    </row>
    <row r="84" spans="1:8">
      <c r="A84" s="2" t="s">
        <v>74</v>
      </c>
      <c r="B84" s="3" t="s">
        <v>178</v>
      </c>
      <c r="C84" s="82" t="s">
        <v>698</v>
      </c>
      <c r="D84" s="83">
        <v>6999</v>
      </c>
      <c r="E84" s="29">
        <v>6999</v>
      </c>
      <c r="F84" s="29">
        <v>6999</v>
      </c>
      <c r="G84" t="s">
        <v>663</v>
      </c>
      <c r="H84" s="91">
        <f t="shared" si="12"/>
        <v>0</v>
      </c>
    </row>
    <row r="85" spans="1:8">
      <c r="A85" s="6" t="s">
        <v>67</v>
      </c>
      <c r="B85" s="6" t="s">
        <v>191</v>
      </c>
      <c r="C85" s="82"/>
      <c r="D85" s="84">
        <f>E85</f>
        <v>6999</v>
      </c>
      <c r="E85" s="26">
        <v>6999</v>
      </c>
      <c r="F85" s="26">
        <v>6999</v>
      </c>
      <c r="G85" t="s">
        <v>663</v>
      </c>
      <c r="H85" s="91">
        <f t="shared" si="12"/>
        <v>0</v>
      </c>
    </row>
    <row r="86" spans="1:8">
      <c r="A86" s="3" t="s">
        <v>73</v>
      </c>
      <c r="B86" s="3" t="s">
        <v>194</v>
      </c>
      <c r="C86" s="82" t="s">
        <v>699</v>
      </c>
      <c r="D86" s="83">
        <v>6999</v>
      </c>
      <c r="E86" s="29">
        <v>6999</v>
      </c>
      <c r="F86" s="29">
        <v>6999</v>
      </c>
      <c r="G86" t="s">
        <v>663</v>
      </c>
      <c r="H86" s="91">
        <f t="shared" si="12"/>
        <v>0</v>
      </c>
    </row>
    <row r="87" spans="1:8">
      <c r="A87" s="3" t="s">
        <v>73</v>
      </c>
      <c r="B87" s="3" t="s">
        <v>162</v>
      </c>
      <c r="C87" s="82" t="s">
        <v>700</v>
      </c>
      <c r="D87" s="83">
        <v>6919</v>
      </c>
      <c r="E87" s="29">
        <v>6919</v>
      </c>
      <c r="F87" s="29">
        <v>6919</v>
      </c>
      <c r="G87" t="s">
        <v>663</v>
      </c>
      <c r="H87" s="91">
        <f t="shared" si="12"/>
        <v>0</v>
      </c>
    </row>
    <row r="88" spans="1:8">
      <c r="A88" s="17" t="s">
        <v>83</v>
      </c>
      <c r="B88" s="17" t="s">
        <v>89</v>
      </c>
      <c r="C88" s="82" t="s">
        <v>701</v>
      </c>
      <c r="D88" s="83">
        <v>6960</v>
      </c>
      <c r="E88" s="26">
        <v>6899</v>
      </c>
      <c r="F88" s="26">
        <v>6899</v>
      </c>
      <c r="G88" s="66">
        <v>44307</v>
      </c>
      <c r="H88" s="91">
        <f t="shared" si="12"/>
        <v>61</v>
      </c>
    </row>
    <row r="89" spans="1:8">
      <c r="A89" s="2" t="s">
        <v>90</v>
      </c>
      <c r="B89" s="2" t="s">
        <v>47</v>
      </c>
      <c r="C89" s="82"/>
      <c r="D89" s="84">
        <f t="shared" ref="D89:D92" si="14">E89</f>
        <v>6899</v>
      </c>
      <c r="E89" s="28">
        <v>6899</v>
      </c>
      <c r="F89" s="28">
        <v>6899</v>
      </c>
      <c r="G89" t="s">
        <v>663</v>
      </c>
      <c r="H89" s="91">
        <f t="shared" si="12"/>
        <v>0</v>
      </c>
    </row>
    <row r="90" spans="1:8">
      <c r="A90" s="7" t="s">
        <v>67</v>
      </c>
      <c r="B90" s="7" t="s">
        <v>48</v>
      </c>
      <c r="C90" s="82"/>
      <c r="D90" s="84">
        <f t="shared" si="14"/>
        <v>6899</v>
      </c>
      <c r="E90" s="26">
        <v>6899</v>
      </c>
      <c r="F90" s="26">
        <v>6899</v>
      </c>
      <c r="G90" t="s">
        <v>663</v>
      </c>
      <c r="H90" s="91">
        <f t="shared" si="12"/>
        <v>0</v>
      </c>
    </row>
    <row r="91" spans="1:8">
      <c r="A91" s="4" t="s">
        <v>79</v>
      </c>
      <c r="B91" s="14">
        <v>9620</v>
      </c>
      <c r="C91" s="82"/>
      <c r="D91" s="84">
        <f t="shared" si="14"/>
        <v>6699</v>
      </c>
      <c r="E91" s="29">
        <v>6699</v>
      </c>
      <c r="F91" s="29">
        <v>6699</v>
      </c>
      <c r="G91" t="s">
        <v>663</v>
      </c>
      <c r="H91" s="91">
        <f t="shared" si="12"/>
        <v>0</v>
      </c>
    </row>
    <row r="92" spans="1:8">
      <c r="A92" s="3" t="s">
        <v>86</v>
      </c>
      <c r="B92" s="3" t="s">
        <v>147</v>
      </c>
      <c r="C92" s="82"/>
      <c r="D92" s="84">
        <f t="shared" si="14"/>
        <v>6599</v>
      </c>
      <c r="E92" s="29">
        <v>6599</v>
      </c>
      <c r="F92" s="29">
        <v>6599</v>
      </c>
      <c r="G92" t="s">
        <v>663</v>
      </c>
      <c r="H92" s="91">
        <f t="shared" si="12"/>
        <v>0</v>
      </c>
    </row>
    <row r="93" spans="1:8">
      <c r="A93" s="2" t="s">
        <v>73</v>
      </c>
      <c r="B93" s="3" t="s">
        <v>122</v>
      </c>
      <c r="C93" s="82" t="s">
        <v>702</v>
      </c>
      <c r="D93" s="83">
        <v>6579</v>
      </c>
      <c r="E93" s="29">
        <v>6579</v>
      </c>
      <c r="F93" s="29">
        <v>6579</v>
      </c>
      <c r="G93" t="s">
        <v>663</v>
      </c>
      <c r="H93" s="91">
        <f t="shared" si="12"/>
        <v>0</v>
      </c>
    </row>
    <row r="94" spans="1:8">
      <c r="A94" s="2" t="s">
        <v>74</v>
      </c>
      <c r="B94" s="2" t="s">
        <v>49</v>
      </c>
      <c r="C94" s="82" t="s">
        <v>1011</v>
      </c>
      <c r="D94" s="84">
        <f t="shared" ref="D94:D96" si="15">E94</f>
        <v>6499</v>
      </c>
      <c r="E94" s="29">
        <v>6499</v>
      </c>
      <c r="F94" s="29">
        <v>6499</v>
      </c>
      <c r="G94" t="s">
        <v>663</v>
      </c>
      <c r="H94" s="91">
        <f t="shared" si="12"/>
        <v>0</v>
      </c>
    </row>
    <row r="95" spans="1:8">
      <c r="A95" s="2" t="s">
        <v>73</v>
      </c>
      <c r="B95" s="2" t="s">
        <v>11</v>
      </c>
      <c r="C95" s="82"/>
      <c r="D95" s="84">
        <f t="shared" si="15"/>
        <v>6399</v>
      </c>
      <c r="E95" s="29">
        <v>6399</v>
      </c>
      <c r="F95" s="29">
        <v>6399</v>
      </c>
      <c r="G95" t="s">
        <v>663</v>
      </c>
      <c r="H95" s="91">
        <f t="shared" si="12"/>
        <v>0</v>
      </c>
    </row>
    <row r="96" spans="1:8">
      <c r="A96" s="6" t="s">
        <v>83</v>
      </c>
      <c r="B96" s="6" t="s">
        <v>135</v>
      </c>
      <c r="C96" s="82"/>
      <c r="D96" s="84">
        <f t="shared" si="15"/>
        <v>6299</v>
      </c>
      <c r="E96" s="25">
        <v>6299</v>
      </c>
      <c r="F96" s="25">
        <v>6299</v>
      </c>
      <c r="G96" t="s">
        <v>663</v>
      </c>
      <c r="H96" s="91">
        <f t="shared" si="12"/>
        <v>0</v>
      </c>
    </row>
    <row r="97" spans="1:8">
      <c r="A97" s="6" t="s">
        <v>73</v>
      </c>
      <c r="B97" s="6" t="s">
        <v>161</v>
      </c>
      <c r="C97" s="82" t="s">
        <v>703</v>
      </c>
      <c r="D97" s="83">
        <v>6600</v>
      </c>
      <c r="E97" s="25">
        <v>5999</v>
      </c>
      <c r="F97" s="25">
        <v>5999</v>
      </c>
      <c r="G97" s="66">
        <v>44307</v>
      </c>
      <c r="H97" s="91">
        <f t="shared" si="12"/>
        <v>601</v>
      </c>
    </row>
    <row r="98" spans="1:8">
      <c r="A98" s="7" t="s">
        <v>73</v>
      </c>
      <c r="B98" s="7" t="s">
        <v>12</v>
      </c>
      <c r="C98" s="82" t="s">
        <v>704</v>
      </c>
      <c r="D98" s="83">
        <v>5799</v>
      </c>
      <c r="E98" s="25">
        <v>5799</v>
      </c>
      <c r="F98" s="25">
        <v>5799</v>
      </c>
      <c r="G98" t="s">
        <v>663</v>
      </c>
      <c r="H98" s="91">
        <f t="shared" si="12"/>
        <v>0</v>
      </c>
    </row>
    <row r="99" spans="1:8">
      <c r="A99" s="3" t="s">
        <v>87</v>
      </c>
      <c r="B99" s="3" t="s">
        <v>144</v>
      </c>
      <c r="C99" s="82" t="s">
        <v>705</v>
      </c>
      <c r="D99" s="83">
        <v>5699</v>
      </c>
      <c r="E99" s="29">
        <v>5699</v>
      </c>
      <c r="F99" s="29">
        <v>5699</v>
      </c>
      <c r="G99" t="s">
        <v>663</v>
      </c>
      <c r="H99" s="91">
        <f t="shared" si="12"/>
        <v>0</v>
      </c>
    </row>
    <row r="100" spans="1:8">
      <c r="A100" s="2" t="s">
        <v>74</v>
      </c>
      <c r="B100" s="3" t="s">
        <v>177</v>
      </c>
      <c r="C100" s="82" t="s">
        <v>706</v>
      </c>
      <c r="D100" s="83">
        <v>5599</v>
      </c>
      <c r="E100" s="29">
        <v>5599</v>
      </c>
      <c r="F100" s="29">
        <v>5599</v>
      </c>
      <c r="G100" t="s">
        <v>663</v>
      </c>
      <c r="H100" s="91">
        <f t="shared" si="12"/>
        <v>0</v>
      </c>
    </row>
    <row r="101" spans="1:8">
      <c r="A101" s="2" t="s">
        <v>74</v>
      </c>
      <c r="B101" s="2" t="s">
        <v>51</v>
      </c>
      <c r="C101" s="82"/>
      <c r="D101" s="84">
        <f t="shared" ref="D101:D105" si="16">E101</f>
        <v>5299</v>
      </c>
      <c r="E101" s="29">
        <v>5299</v>
      </c>
      <c r="F101" s="29">
        <v>5299</v>
      </c>
      <c r="G101" t="s">
        <v>663</v>
      </c>
      <c r="H101" s="91">
        <f t="shared" si="12"/>
        <v>0</v>
      </c>
    </row>
    <row r="102" spans="1:8">
      <c r="A102" s="7" t="s">
        <v>74</v>
      </c>
      <c r="B102" s="7" t="s">
        <v>52</v>
      </c>
      <c r="C102" s="82"/>
      <c r="D102" s="84">
        <f t="shared" si="16"/>
        <v>5299</v>
      </c>
      <c r="E102" s="25">
        <v>5299</v>
      </c>
      <c r="F102" s="25">
        <v>5299</v>
      </c>
      <c r="G102" t="s">
        <v>663</v>
      </c>
      <c r="H102" s="91">
        <f t="shared" si="12"/>
        <v>0</v>
      </c>
    </row>
    <row r="103" spans="1:8">
      <c r="A103" s="2" t="s">
        <v>74</v>
      </c>
      <c r="B103" s="2" t="s">
        <v>53</v>
      </c>
      <c r="C103" s="82"/>
      <c r="D103" s="84">
        <f t="shared" si="16"/>
        <v>5199</v>
      </c>
      <c r="E103" s="29">
        <v>5199</v>
      </c>
      <c r="F103" s="29">
        <v>5199</v>
      </c>
      <c r="G103" t="s">
        <v>663</v>
      </c>
      <c r="H103" s="91">
        <f t="shared" si="12"/>
        <v>0</v>
      </c>
    </row>
    <row r="104" spans="1:8">
      <c r="A104" s="2" t="s">
        <v>83</v>
      </c>
      <c r="B104" s="2" t="s">
        <v>13</v>
      </c>
      <c r="C104" s="82"/>
      <c r="D104" s="84">
        <f t="shared" si="16"/>
        <v>5199</v>
      </c>
      <c r="E104" s="29">
        <v>5199</v>
      </c>
      <c r="F104" s="29">
        <v>5199</v>
      </c>
      <c r="G104" t="s">
        <v>663</v>
      </c>
      <c r="H104" s="91">
        <f t="shared" si="12"/>
        <v>0</v>
      </c>
    </row>
    <row r="105" spans="1:8">
      <c r="A105" s="2" t="s">
        <v>74</v>
      </c>
      <c r="B105" s="2" t="s">
        <v>0</v>
      </c>
      <c r="C105" s="82" t="s">
        <v>1012</v>
      </c>
      <c r="D105" s="84">
        <f t="shared" si="16"/>
        <v>5199</v>
      </c>
      <c r="E105" s="29">
        <v>5199</v>
      </c>
      <c r="F105" s="29">
        <v>5199</v>
      </c>
      <c r="G105" t="s">
        <v>663</v>
      </c>
      <c r="H105" s="91">
        <f t="shared" si="12"/>
        <v>0</v>
      </c>
    </row>
    <row r="106" spans="1:8">
      <c r="A106" s="7" t="s">
        <v>86</v>
      </c>
      <c r="B106" s="7" t="s">
        <v>195</v>
      </c>
      <c r="C106" s="82" t="s">
        <v>707</v>
      </c>
      <c r="D106" s="83">
        <v>5199</v>
      </c>
      <c r="E106" s="25">
        <v>5199</v>
      </c>
      <c r="F106" s="25">
        <v>5199</v>
      </c>
      <c r="G106" t="s">
        <v>663</v>
      </c>
      <c r="H106" s="91">
        <f t="shared" si="12"/>
        <v>0</v>
      </c>
    </row>
    <row r="107" spans="1:8">
      <c r="A107" s="7" t="s">
        <v>73</v>
      </c>
      <c r="B107" s="7" t="s">
        <v>199</v>
      </c>
      <c r="C107" s="82" t="s">
        <v>708</v>
      </c>
      <c r="D107" s="83">
        <v>5139</v>
      </c>
      <c r="E107" s="25">
        <v>5139</v>
      </c>
      <c r="F107" s="25">
        <v>5139</v>
      </c>
      <c r="G107" t="s">
        <v>663</v>
      </c>
      <c r="H107" s="91">
        <f t="shared" si="12"/>
        <v>0</v>
      </c>
    </row>
    <row r="108" spans="1:8">
      <c r="A108" s="6" t="s">
        <v>83</v>
      </c>
      <c r="B108" s="6" t="s">
        <v>218</v>
      </c>
      <c r="C108" s="82" t="s">
        <v>709</v>
      </c>
      <c r="D108" s="83">
        <v>5499</v>
      </c>
      <c r="E108" s="25">
        <v>4999</v>
      </c>
      <c r="F108" s="25">
        <v>4999</v>
      </c>
      <c r="G108" s="66">
        <v>44368</v>
      </c>
      <c r="H108" s="91">
        <f t="shared" si="12"/>
        <v>500</v>
      </c>
    </row>
    <row r="109" spans="1:8">
      <c r="A109" s="6" t="s">
        <v>87</v>
      </c>
      <c r="B109" s="6" t="s">
        <v>154</v>
      </c>
      <c r="C109" s="82"/>
      <c r="D109" s="84">
        <f t="shared" ref="D109:D111" si="17">E109</f>
        <v>4949</v>
      </c>
      <c r="E109" s="25">
        <v>4949</v>
      </c>
      <c r="F109" s="25">
        <v>4949</v>
      </c>
      <c r="G109" t="s">
        <v>663</v>
      </c>
      <c r="H109" s="91">
        <f t="shared" si="12"/>
        <v>0</v>
      </c>
    </row>
    <row r="110" spans="1:8">
      <c r="A110" s="2" t="s">
        <v>74</v>
      </c>
      <c r="B110" s="2" t="s">
        <v>54</v>
      </c>
      <c r="C110" s="82"/>
      <c r="D110" s="84">
        <f t="shared" si="17"/>
        <v>4799</v>
      </c>
      <c r="E110" s="29">
        <v>4799</v>
      </c>
      <c r="F110" s="29">
        <v>4799</v>
      </c>
      <c r="G110" t="s">
        <v>663</v>
      </c>
      <c r="H110" s="91">
        <f t="shared" si="12"/>
        <v>0</v>
      </c>
    </row>
    <row r="111" spans="1:8">
      <c r="A111" s="2" t="s">
        <v>73</v>
      </c>
      <c r="B111" s="2" t="s">
        <v>14</v>
      </c>
      <c r="C111" s="82"/>
      <c r="D111" s="84">
        <f t="shared" si="17"/>
        <v>4799</v>
      </c>
      <c r="E111" s="29">
        <v>4799</v>
      </c>
      <c r="F111" s="29">
        <v>4799</v>
      </c>
      <c r="G111" t="s">
        <v>663</v>
      </c>
      <c r="H111" s="91">
        <f t="shared" si="12"/>
        <v>0</v>
      </c>
    </row>
    <row r="112" spans="1:8">
      <c r="A112" s="6" t="s">
        <v>74</v>
      </c>
      <c r="B112" s="6" t="s">
        <v>129</v>
      </c>
      <c r="C112" s="82" t="s">
        <v>710</v>
      </c>
      <c r="D112" s="83">
        <v>13529</v>
      </c>
      <c r="E112" s="25">
        <v>4799</v>
      </c>
      <c r="F112" s="25">
        <v>4799</v>
      </c>
      <c r="G112" s="66">
        <v>44318</v>
      </c>
      <c r="H112" s="91">
        <f t="shared" si="12"/>
        <v>8730</v>
      </c>
    </row>
    <row r="113" spans="1:8">
      <c r="A113" s="3" t="s">
        <v>87</v>
      </c>
      <c r="B113" s="3" t="s">
        <v>139</v>
      </c>
      <c r="C113" s="82" t="s">
        <v>711</v>
      </c>
      <c r="D113" s="83">
        <v>4779</v>
      </c>
      <c r="E113" s="29">
        <v>4779</v>
      </c>
      <c r="F113" s="29">
        <v>4779</v>
      </c>
      <c r="G113" t="s">
        <v>663</v>
      </c>
      <c r="H113" s="91">
        <f t="shared" si="12"/>
        <v>0</v>
      </c>
    </row>
    <row r="114" spans="1:8">
      <c r="A114" s="7" t="s">
        <v>83</v>
      </c>
      <c r="B114" s="6" t="s">
        <v>146</v>
      </c>
      <c r="C114" s="82" t="s">
        <v>712</v>
      </c>
      <c r="D114" s="83">
        <v>4699</v>
      </c>
      <c r="E114" s="25">
        <v>4699</v>
      </c>
      <c r="F114" s="25">
        <v>4699</v>
      </c>
      <c r="G114" t="s">
        <v>663</v>
      </c>
      <c r="H114" s="91">
        <f t="shared" si="12"/>
        <v>0</v>
      </c>
    </row>
    <row r="115" spans="1:8">
      <c r="A115" s="7" t="s">
        <v>73</v>
      </c>
      <c r="B115" s="7" t="s">
        <v>16</v>
      </c>
      <c r="C115" s="82" t="s">
        <v>713</v>
      </c>
      <c r="D115" s="84">
        <f>E115</f>
        <v>4699</v>
      </c>
      <c r="E115" s="25">
        <v>4699</v>
      </c>
      <c r="F115" s="25">
        <v>4699</v>
      </c>
      <c r="G115" t="s">
        <v>663</v>
      </c>
      <c r="H115" s="91">
        <f t="shared" si="12"/>
        <v>0</v>
      </c>
    </row>
    <row r="116" spans="1:8">
      <c r="A116" s="2" t="s">
        <v>91</v>
      </c>
      <c r="B116" s="2" t="s">
        <v>55</v>
      </c>
      <c r="C116" s="82" t="s">
        <v>714</v>
      </c>
      <c r="D116" s="83">
        <v>4699</v>
      </c>
      <c r="E116" s="29">
        <v>4699</v>
      </c>
      <c r="F116" s="29">
        <v>4699</v>
      </c>
      <c r="G116" t="s">
        <v>663</v>
      </c>
      <c r="H116" s="91">
        <f t="shared" si="12"/>
        <v>0</v>
      </c>
    </row>
    <row r="117" spans="1:8">
      <c r="A117" s="3" t="s">
        <v>86</v>
      </c>
      <c r="B117" s="3" t="s">
        <v>158</v>
      </c>
      <c r="C117" s="82" t="s">
        <v>715</v>
      </c>
      <c r="D117" s="83">
        <v>4649</v>
      </c>
      <c r="E117" s="29">
        <v>4649</v>
      </c>
      <c r="F117" s="29">
        <v>4649</v>
      </c>
      <c r="G117" t="s">
        <v>663</v>
      </c>
      <c r="H117" s="91">
        <f t="shared" si="12"/>
        <v>0</v>
      </c>
    </row>
    <row r="118" spans="1:8">
      <c r="A118" s="6" t="s">
        <v>73</v>
      </c>
      <c r="B118" s="6" t="s">
        <v>134</v>
      </c>
      <c r="C118" s="82"/>
      <c r="D118" s="84">
        <f>E118</f>
        <v>4299</v>
      </c>
      <c r="E118" s="25">
        <v>4299</v>
      </c>
      <c r="F118" s="25">
        <v>4299</v>
      </c>
      <c r="G118" t="s">
        <v>663</v>
      </c>
      <c r="H118" s="91">
        <f t="shared" si="12"/>
        <v>0</v>
      </c>
    </row>
    <row r="119" spans="1:8">
      <c r="A119" s="3" t="s">
        <v>73</v>
      </c>
      <c r="B119" s="3" t="s">
        <v>123</v>
      </c>
      <c r="C119" s="82" t="s">
        <v>716</v>
      </c>
      <c r="D119" s="83">
        <v>4299</v>
      </c>
      <c r="E119" s="29">
        <v>4299</v>
      </c>
      <c r="F119" s="29">
        <v>4299</v>
      </c>
      <c r="G119" t="s">
        <v>663</v>
      </c>
      <c r="H119" s="91">
        <f t="shared" si="12"/>
        <v>0</v>
      </c>
    </row>
    <row r="120" spans="1:8">
      <c r="A120" s="3" t="s">
        <v>73</v>
      </c>
      <c r="B120" s="3" t="s">
        <v>92</v>
      </c>
      <c r="C120" s="82"/>
      <c r="D120" s="84">
        <f>E120</f>
        <v>4299</v>
      </c>
      <c r="E120" s="29">
        <v>4299</v>
      </c>
      <c r="F120" s="29">
        <v>4299</v>
      </c>
      <c r="G120" t="s">
        <v>663</v>
      </c>
      <c r="H120" s="91">
        <f t="shared" si="12"/>
        <v>0</v>
      </c>
    </row>
    <row r="121" spans="1:8">
      <c r="A121" s="6" t="s">
        <v>93</v>
      </c>
      <c r="B121" s="6" t="s">
        <v>193</v>
      </c>
      <c r="C121" s="82" t="s">
        <v>717</v>
      </c>
      <c r="D121" s="83">
        <v>4189</v>
      </c>
      <c r="E121" s="25">
        <v>4189</v>
      </c>
      <c r="F121" s="25">
        <v>4189</v>
      </c>
      <c r="G121" t="s">
        <v>663</v>
      </c>
      <c r="H121" s="91">
        <f t="shared" si="12"/>
        <v>0</v>
      </c>
    </row>
    <row r="122" spans="1:8">
      <c r="A122" s="2" t="s">
        <v>91</v>
      </c>
      <c r="B122" s="3" t="s">
        <v>145</v>
      </c>
      <c r="C122" s="82"/>
      <c r="D122" s="84">
        <f>E122</f>
        <v>3999</v>
      </c>
      <c r="E122" s="29">
        <v>3999</v>
      </c>
      <c r="F122" s="29">
        <v>3999</v>
      </c>
      <c r="G122" t="s">
        <v>663</v>
      </c>
      <c r="H122" s="91">
        <f t="shared" si="12"/>
        <v>0</v>
      </c>
    </row>
    <row r="123" spans="1:8">
      <c r="A123" s="7" t="s">
        <v>83</v>
      </c>
      <c r="B123" s="7" t="s">
        <v>17</v>
      </c>
      <c r="C123" s="82" t="s">
        <v>718</v>
      </c>
      <c r="D123" s="83">
        <v>3999</v>
      </c>
      <c r="E123" s="25">
        <v>3999</v>
      </c>
      <c r="F123" s="25">
        <v>3999</v>
      </c>
      <c r="G123" t="s">
        <v>663</v>
      </c>
      <c r="H123" s="91">
        <f t="shared" si="12"/>
        <v>0</v>
      </c>
    </row>
    <row r="124" spans="1:8">
      <c r="A124" s="2" t="s">
        <v>83</v>
      </c>
      <c r="B124" s="2" t="s">
        <v>1</v>
      </c>
      <c r="C124" s="82" t="s">
        <v>1013</v>
      </c>
      <c r="D124" s="84">
        <f t="shared" ref="D124:D126" si="18">E124</f>
        <v>3999</v>
      </c>
      <c r="E124" s="29">
        <v>3999</v>
      </c>
      <c r="F124" s="29">
        <v>3999</v>
      </c>
      <c r="G124" t="s">
        <v>663</v>
      </c>
      <c r="H124" s="91">
        <f t="shared" si="12"/>
        <v>0</v>
      </c>
    </row>
    <row r="125" spans="1:8">
      <c r="A125" s="2" t="s">
        <v>83</v>
      </c>
      <c r="B125" s="2" t="s">
        <v>2</v>
      </c>
      <c r="C125" s="82" t="s">
        <v>1014</v>
      </c>
      <c r="D125" s="84">
        <f t="shared" si="18"/>
        <v>3999</v>
      </c>
      <c r="E125" s="29">
        <v>3999</v>
      </c>
      <c r="F125" s="29">
        <v>3999</v>
      </c>
      <c r="G125" t="s">
        <v>663</v>
      </c>
      <c r="H125" s="91">
        <f t="shared" si="12"/>
        <v>0</v>
      </c>
    </row>
    <row r="126" spans="1:8">
      <c r="A126" s="6" t="s">
        <v>80</v>
      </c>
      <c r="B126" s="6" t="s">
        <v>113</v>
      </c>
      <c r="C126" s="82"/>
      <c r="D126" s="84">
        <f t="shared" si="18"/>
        <v>3999</v>
      </c>
      <c r="E126" s="25">
        <v>3999</v>
      </c>
      <c r="F126" s="25">
        <v>3999</v>
      </c>
      <c r="G126" t="s">
        <v>663</v>
      </c>
      <c r="H126" s="91">
        <f t="shared" si="12"/>
        <v>0</v>
      </c>
    </row>
    <row r="127" spans="1:8">
      <c r="A127" s="6" t="s">
        <v>83</v>
      </c>
      <c r="B127" s="6" t="s">
        <v>201</v>
      </c>
      <c r="C127" s="82" t="s">
        <v>719</v>
      </c>
      <c r="D127" s="83">
        <v>3999</v>
      </c>
      <c r="E127" s="25">
        <v>3999</v>
      </c>
      <c r="F127" s="25">
        <v>3999</v>
      </c>
      <c r="G127" t="s">
        <v>663</v>
      </c>
      <c r="H127" s="91">
        <f t="shared" si="12"/>
        <v>0</v>
      </c>
    </row>
    <row r="128" spans="1:8">
      <c r="A128" s="7" t="s">
        <v>74</v>
      </c>
      <c r="B128" s="7" t="s">
        <v>56</v>
      </c>
      <c r="C128" s="82" t="s">
        <v>720</v>
      </c>
      <c r="D128" s="84">
        <f>E128</f>
        <v>3899</v>
      </c>
      <c r="E128" s="25">
        <v>3899</v>
      </c>
      <c r="F128" s="25">
        <v>3899</v>
      </c>
      <c r="G128" t="s">
        <v>663</v>
      </c>
      <c r="H128" s="91">
        <f t="shared" si="12"/>
        <v>0</v>
      </c>
    </row>
    <row r="129" spans="1:8">
      <c r="A129" s="2" t="s">
        <v>74</v>
      </c>
      <c r="B129" s="3" t="s">
        <v>143</v>
      </c>
      <c r="C129" s="82" t="s">
        <v>721</v>
      </c>
      <c r="D129" s="83">
        <v>3799</v>
      </c>
      <c r="E129" s="29">
        <v>3799</v>
      </c>
      <c r="F129" s="29">
        <v>3799</v>
      </c>
      <c r="G129" t="s">
        <v>663</v>
      </c>
      <c r="H129" s="91">
        <f t="shared" si="12"/>
        <v>0</v>
      </c>
    </row>
    <row r="130" spans="1:8">
      <c r="A130" s="6" t="s">
        <v>127</v>
      </c>
      <c r="B130" s="6" t="s">
        <v>128</v>
      </c>
      <c r="C130" s="82"/>
      <c r="D130" s="84">
        <f>E130</f>
        <v>3699</v>
      </c>
      <c r="E130" s="25">
        <v>3699</v>
      </c>
      <c r="F130" s="25">
        <v>3699</v>
      </c>
      <c r="G130" t="s">
        <v>663</v>
      </c>
      <c r="H130" s="91">
        <f t="shared" si="12"/>
        <v>0</v>
      </c>
    </row>
    <row r="131" spans="1:8">
      <c r="A131" s="2" t="s">
        <v>74</v>
      </c>
      <c r="B131" s="3" t="s">
        <v>189</v>
      </c>
      <c r="C131" s="82" t="s">
        <v>722</v>
      </c>
      <c r="D131" s="83">
        <v>3599</v>
      </c>
      <c r="E131" s="29">
        <v>3599</v>
      </c>
      <c r="F131" s="29">
        <v>3599</v>
      </c>
      <c r="G131" t="s">
        <v>663</v>
      </c>
      <c r="H131" s="91">
        <f t="shared" ref="H131:H194" si="19">D131-E131</f>
        <v>0</v>
      </c>
    </row>
    <row r="132" spans="1:8">
      <c r="A132" s="6" t="s">
        <v>87</v>
      </c>
      <c r="B132" s="6" t="s">
        <v>164</v>
      </c>
      <c r="C132" s="82" t="s">
        <v>723</v>
      </c>
      <c r="D132" s="83">
        <v>3549</v>
      </c>
      <c r="E132" s="25">
        <v>3549</v>
      </c>
      <c r="F132" s="25">
        <v>3549</v>
      </c>
      <c r="G132" t="s">
        <v>663</v>
      </c>
      <c r="H132" s="91">
        <f t="shared" si="19"/>
        <v>0</v>
      </c>
    </row>
    <row r="133" spans="1:8">
      <c r="A133" s="3" t="s">
        <v>73</v>
      </c>
      <c r="B133" s="3" t="s">
        <v>160</v>
      </c>
      <c r="C133" s="82" t="s">
        <v>724</v>
      </c>
      <c r="D133" s="83">
        <v>3499</v>
      </c>
      <c r="E133" s="29">
        <v>3499</v>
      </c>
      <c r="F133" s="29">
        <v>3499</v>
      </c>
      <c r="G133" t="s">
        <v>663</v>
      </c>
      <c r="H133" s="91">
        <f t="shared" si="19"/>
        <v>0</v>
      </c>
    </row>
    <row r="134" spans="1:8">
      <c r="A134" s="6" t="s">
        <v>93</v>
      </c>
      <c r="B134" s="6" t="s">
        <v>18</v>
      </c>
      <c r="C134" s="82" t="s">
        <v>725</v>
      </c>
      <c r="D134" s="83">
        <v>3399</v>
      </c>
      <c r="E134" s="25">
        <v>3399</v>
      </c>
      <c r="F134" s="25">
        <v>3399</v>
      </c>
      <c r="G134" t="s">
        <v>663</v>
      </c>
      <c r="H134" s="91">
        <f t="shared" si="19"/>
        <v>0</v>
      </c>
    </row>
    <row r="135" spans="1:8">
      <c r="A135" s="2" t="s">
        <v>83</v>
      </c>
      <c r="B135" s="2" t="s">
        <v>57</v>
      </c>
      <c r="C135" s="82" t="s">
        <v>1015</v>
      </c>
      <c r="D135" s="84">
        <f t="shared" ref="D135:D136" si="20">E135</f>
        <v>3399</v>
      </c>
      <c r="E135" s="29">
        <v>3399</v>
      </c>
      <c r="F135" s="29">
        <v>3399</v>
      </c>
      <c r="G135" t="s">
        <v>663</v>
      </c>
      <c r="H135" s="91">
        <f t="shared" si="19"/>
        <v>0</v>
      </c>
    </row>
    <row r="136" spans="1:8">
      <c r="A136" s="2" t="s">
        <v>83</v>
      </c>
      <c r="B136" s="2" t="s">
        <v>58</v>
      </c>
      <c r="C136" s="82" t="s">
        <v>1016</v>
      </c>
      <c r="D136" s="84">
        <f t="shared" si="20"/>
        <v>3399</v>
      </c>
      <c r="E136" s="29">
        <v>3399</v>
      </c>
      <c r="F136" s="29">
        <v>3399</v>
      </c>
      <c r="G136" t="s">
        <v>663</v>
      </c>
      <c r="H136" s="91">
        <f t="shared" si="19"/>
        <v>0</v>
      </c>
    </row>
    <row r="137" spans="1:8">
      <c r="A137" s="7" t="s">
        <v>73</v>
      </c>
      <c r="B137" s="6" t="s">
        <v>125</v>
      </c>
      <c r="C137" s="82" t="s">
        <v>726</v>
      </c>
      <c r="D137" s="83">
        <v>3299</v>
      </c>
      <c r="E137" s="25">
        <v>3299</v>
      </c>
      <c r="F137" s="25">
        <v>3299</v>
      </c>
      <c r="G137" t="s">
        <v>663</v>
      </c>
      <c r="H137" s="91">
        <f t="shared" si="19"/>
        <v>0</v>
      </c>
    </row>
    <row r="138" spans="1:8">
      <c r="A138" s="7" t="s">
        <v>83</v>
      </c>
      <c r="B138" s="6" t="s">
        <v>159</v>
      </c>
      <c r="C138" s="82"/>
      <c r="D138" s="84">
        <f>E138</f>
        <v>3199</v>
      </c>
      <c r="E138" s="25">
        <v>3199</v>
      </c>
      <c r="F138" s="25">
        <v>3199</v>
      </c>
      <c r="G138" t="s">
        <v>663</v>
      </c>
      <c r="H138" s="91">
        <f t="shared" si="19"/>
        <v>0</v>
      </c>
    </row>
    <row r="139" spans="1:8">
      <c r="A139" s="3" t="s">
        <v>83</v>
      </c>
      <c r="B139" s="3" t="s">
        <v>200</v>
      </c>
      <c r="C139" s="82" t="s">
        <v>727</v>
      </c>
      <c r="D139" s="83">
        <v>3099</v>
      </c>
      <c r="E139" s="29">
        <v>3099</v>
      </c>
      <c r="F139" s="29">
        <v>3099</v>
      </c>
      <c r="G139" t="s">
        <v>663</v>
      </c>
      <c r="H139" s="91">
        <f t="shared" si="19"/>
        <v>0</v>
      </c>
    </row>
    <row r="140" spans="1:8">
      <c r="A140" s="7" t="s">
        <v>73</v>
      </c>
      <c r="B140" s="7" t="s">
        <v>20</v>
      </c>
      <c r="C140" s="82" t="s">
        <v>728</v>
      </c>
      <c r="D140" s="84">
        <f>E140</f>
        <v>2999</v>
      </c>
      <c r="E140" s="25">
        <v>2999</v>
      </c>
      <c r="F140" s="25">
        <v>2999</v>
      </c>
      <c r="G140" t="s">
        <v>663</v>
      </c>
      <c r="H140" s="91">
        <f t="shared" si="19"/>
        <v>0</v>
      </c>
    </row>
    <row r="141" spans="1:8">
      <c r="A141" s="3" t="s">
        <v>165</v>
      </c>
      <c r="B141" s="3" t="s">
        <v>208</v>
      </c>
      <c r="C141" s="82" t="s">
        <v>729</v>
      </c>
      <c r="D141" s="83">
        <v>2999</v>
      </c>
      <c r="E141" s="41">
        <v>2999</v>
      </c>
      <c r="F141" s="41">
        <v>2999</v>
      </c>
      <c r="G141" t="s">
        <v>663</v>
      </c>
      <c r="H141" s="91">
        <f t="shared" si="19"/>
        <v>0</v>
      </c>
    </row>
    <row r="142" spans="1:8">
      <c r="A142" s="6" t="s">
        <v>91</v>
      </c>
      <c r="B142" s="6" t="s">
        <v>180</v>
      </c>
      <c r="C142" s="82"/>
      <c r="D142" s="84">
        <f>E142</f>
        <v>2899</v>
      </c>
      <c r="E142" s="25">
        <v>2899</v>
      </c>
      <c r="F142" s="25">
        <v>2899</v>
      </c>
      <c r="G142" t="s">
        <v>663</v>
      </c>
      <c r="H142" s="91">
        <f t="shared" si="19"/>
        <v>0</v>
      </c>
    </row>
    <row r="143" spans="1:8">
      <c r="A143" s="7" t="s">
        <v>83</v>
      </c>
      <c r="B143" s="6" t="s">
        <v>210</v>
      </c>
      <c r="C143" s="82" t="s">
        <v>730</v>
      </c>
      <c r="D143" s="83">
        <v>2799</v>
      </c>
      <c r="E143" s="25">
        <v>2799</v>
      </c>
      <c r="F143" s="25">
        <v>2799</v>
      </c>
      <c r="G143" t="s">
        <v>663</v>
      </c>
      <c r="H143" s="91">
        <f t="shared" si="19"/>
        <v>0</v>
      </c>
    </row>
    <row r="144" spans="1:8">
      <c r="A144" s="3" t="s">
        <v>83</v>
      </c>
      <c r="B144" s="3" t="s">
        <v>138</v>
      </c>
      <c r="C144" s="82" t="s">
        <v>731</v>
      </c>
      <c r="D144" s="83">
        <v>2699</v>
      </c>
      <c r="E144" s="29">
        <v>2699</v>
      </c>
      <c r="F144" s="29">
        <v>2699</v>
      </c>
      <c r="G144" t="s">
        <v>663</v>
      </c>
      <c r="H144" s="91">
        <f t="shared" si="19"/>
        <v>0</v>
      </c>
    </row>
    <row r="145" spans="1:8">
      <c r="A145" s="6" t="s">
        <v>165</v>
      </c>
      <c r="B145" s="6" t="s">
        <v>171</v>
      </c>
      <c r="C145" s="82" t="s">
        <v>732</v>
      </c>
      <c r="D145" s="83">
        <v>2599</v>
      </c>
      <c r="E145" s="25">
        <v>2599</v>
      </c>
      <c r="F145" s="25">
        <v>2599</v>
      </c>
      <c r="G145" t="s">
        <v>663</v>
      </c>
      <c r="H145" s="91">
        <f t="shared" si="19"/>
        <v>0</v>
      </c>
    </row>
    <row r="146" spans="1:8">
      <c r="A146" s="3" t="s">
        <v>214</v>
      </c>
      <c r="B146" s="3" t="s">
        <v>216</v>
      </c>
      <c r="C146" s="82" t="s">
        <v>733</v>
      </c>
      <c r="D146" s="83">
        <v>2599</v>
      </c>
      <c r="E146" s="29">
        <v>2599</v>
      </c>
      <c r="F146" s="29">
        <v>2599</v>
      </c>
      <c r="G146" t="s">
        <v>663</v>
      </c>
      <c r="H146" s="91">
        <f t="shared" si="19"/>
        <v>0</v>
      </c>
    </row>
    <row r="147" spans="1:8">
      <c r="A147" s="6" t="s">
        <v>91</v>
      </c>
      <c r="B147" s="6" t="s">
        <v>21</v>
      </c>
      <c r="C147" s="82" t="s">
        <v>734</v>
      </c>
      <c r="D147" s="83">
        <v>2499</v>
      </c>
      <c r="E147" s="25">
        <v>2499</v>
      </c>
      <c r="F147" s="25">
        <v>2499</v>
      </c>
      <c r="G147" t="s">
        <v>663</v>
      </c>
      <c r="H147" s="91">
        <f t="shared" si="19"/>
        <v>0</v>
      </c>
    </row>
    <row r="148" spans="1:8">
      <c r="A148" s="3" t="s">
        <v>93</v>
      </c>
      <c r="B148" s="3" t="s">
        <v>94</v>
      </c>
      <c r="C148" s="82" t="s">
        <v>735</v>
      </c>
      <c r="D148" s="83">
        <v>2499</v>
      </c>
      <c r="E148" s="29">
        <v>2499</v>
      </c>
      <c r="F148" s="29">
        <v>2499</v>
      </c>
      <c r="G148" t="s">
        <v>663</v>
      </c>
      <c r="H148" s="91">
        <f t="shared" si="19"/>
        <v>0</v>
      </c>
    </row>
    <row r="149" spans="1:8">
      <c r="A149" s="2" t="s">
        <v>74</v>
      </c>
      <c r="B149" s="2" t="s">
        <v>59</v>
      </c>
      <c r="C149" s="82"/>
      <c r="D149" s="84">
        <f t="shared" ref="D149:D152" si="21">E149</f>
        <v>2499</v>
      </c>
      <c r="E149" s="29">
        <v>2499</v>
      </c>
      <c r="F149" s="29">
        <v>2499</v>
      </c>
      <c r="G149" t="s">
        <v>663</v>
      </c>
      <c r="H149" s="91">
        <f t="shared" si="19"/>
        <v>0</v>
      </c>
    </row>
    <row r="150" spans="1:8">
      <c r="A150" s="2" t="s">
        <v>83</v>
      </c>
      <c r="B150" s="2" t="s">
        <v>3</v>
      </c>
      <c r="C150" s="82" t="s">
        <v>1017</v>
      </c>
      <c r="D150" s="84">
        <f t="shared" si="21"/>
        <v>2499</v>
      </c>
      <c r="E150" s="29">
        <v>2499</v>
      </c>
      <c r="F150" s="29">
        <v>2499</v>
      </c>
      <c r="G150" t="s">
        <v>663</v>
      </c>
      <c r="H150" s="91">
        <f t="shared" si="19"/>
        <v>0</v>
      </c>
    </row>
    <row r="151" spans="1:8">
      <c r="A151" s="2" t="s">
        <v>74</v>
      </c>
      <c r="B151" s="2" t="s">
        <v>22</v>
      </c>
      <c r="C151" s="82" t="s">
        <v>736</v>
      </c>
      <c r="D151" s="84">
        <f t="shared" si="21"/>
        <v>2499</v>
      </c>
      <c r="E151" s="29">
        <v>2499</v>
      </c>
      <c r="F151" s="29">
        <v>2499</v>
      </c>
      <c r="G151" t="s">
        <v>663</v>
      </c>
      <c r="H151" s="91">
        <f t="shared" si="19"/>
        <v>0</v>
      </c>
    </row>
    <row r="152" spans="1:8">
      <c r="A152" s="2" t="s">
        <v>74</v>
      </c>
      <c r="B152" s="2" t="s">
        <v>60</v>
      </c>
      <c r="C152" s="82" t="s">
        <v>1018</v>
      </c>
      <c r="D152" s="84">
        <f t="shared" si="21"/>
        <v>2499</v>
      </c>
      <c r="E152" s="29">
        <v>2499</v>
      </c>
      <c r="F152" s="29">
        <v>2499</v>
      </c>
      <c r="G152" t="s">
        <v>663</v>
      </c>
      <c r="H152" s="91">
        <f t="shared" si="19"/>
        <v>0</v>
      </c>
    </row>
    <row r="153" spans="1:8">
      <c r="A153" s="2" t="s">
        <v>74</v>
      </c>
      <c r="B153" s="3" t="s">
        <v>188</v>
      </c>
      <c r="C153" s="82" t="s">
        <v>737</v>
      </c>
      <c r="D153" s="83">
        <v>2499</v>
      </c>
      <c r="E153" s="29">
        <v>2499</v>
      </c>
      <c r="F153" s="29">
        <v>2499</v>
      </c>
      <c r="G153" t="s">
        <v>663</v>
      </c>
      <c r="H153" s="91">
        <f t="shared" si="19"/>
        <v>0</v>
      </c>
    </row>
    <row r="154" spans="1:8">
      <c r="A154" s="6" t="s">
        <v>93</v>
      </c>
      <c r="B154" s="3" t="s">
        <v>196</v>
      </c>
      <c r="C154" s="82" t="s">
        <v>738</v>
      </c>
      <c r="D154" s="83">
        <v>2499</v>
      </c>
      <c r="E154" s="25">
        <v>2499</v>
      </c>
      <c r="F154" s="25">
        <v>2499</v>
      </c>
      <c r="G154" t="s">
        <v>663</v>
      </c>
      <c r="H154" s="91">
        <f t="shared" si="19"/>
        <v>0</v>
      </c>
    </row>
    <row r="155" spans="1:8">
      <c r="A155" s="7" t="s">
        <v>74</v>
      </c>
      <c r="B155" s="7" t="s">
        <v>61</v>
      </c>
      <c r="C155" s="82" t="s">
        <v>1019</v>
      </c>
      <c r="D155" s="84">
        <f>E155</f>
        <v>2399</v>
      </c>
      <c r="E155" s="25">
        <v>2399</v>
      </c>
      <c r="F155" s="25">
        <v>2399</v>
      </c>
      <c r="G155" t="s">
        <v>663</v>
      </c>
      <c r="H155" s="91">
        <f t="shared" si="19"/>
        <v>0</v>
      </c>
    </row>
    <row r="156" spans="1:8">
      <c r="A156" s="7" t="s">
        <v>73</v>
      </c>
      <c r="B156" s="7" t="s">
        <v>19</v>
      </c>
      <c r="C156" s="82" t="s">
        <v>739</v>
      </c>
      <c r="D156" s="83">
        <v>2399</v>
      </c>
      <c r="E156" s="25">
        <v>2399</v>
      </c>
      <c r="F156" s="25">
        <v>2399</v>
      </c>
      <c r="G156" t="s">
        <v>663</v>
      </c>
      <c r="H156" s="91">
        <f t="shared" si="19"/>
        <v>0</v>
      </c>
    </row>
    <row r="157" spans="1:8">
      <c r="A157" s="6" t="s">
        <v>170</v>
      </c>
      <c r="B157" s="6" t="s">
        <v>170</v>
      </c>
      <c r="C157" s="82"/>
      <c r="D157" s="84">
        <f t="shared" ref="D157:D158" si="22">E157</f>
        <v>2399</v>
      </c>
      <c r="E157" s="25">
        <v>2399</v>
      </c>
      <c r="F157" s="25">
        <v>2399</v>
      </c>
      <c r="G157" t="s">
        <v>663</v>
      </c>
      <c r="H157" s="91">
        <f t="shared" si="19"/>
        <v>0</v>
      </c>
    </row>
    <row r="158" spans="1:8">
      <c r="A158" s="3" t="s">
        <v>97</v>
      </c>
      <c r="B158" s="3" t="s">
        <v>124</v>
      </c>
      <c r="C158" s="82"/>
      <c r="D158" s="84">
        <f t="shared" si="22"/>
        <v>2299</v>
      </c>
      <c r="E158" s="29">
        <v>2299</v>
      </c>
      <c r="F158" s="29">
        <v>2299</v>
      </c>
      <c r="G158" t="s">
        <v>663</v>
      </c>
      <c r="H158" s="91">
        <f t="shared" si="19"/>
        <v>0</v>
      </c>
    </row>
    <row r="159" spans="1:8">
      <c r="A159" s="7" t="s">
        <v>83</v>
      </c>
      <c r="B159" s="7" t="s">
        <v>198</v>
      </c>
      <c r="C159" s="82" t="s">
        <v>740</v>
      </c>
      <c r="D159" s="83">
        <v>2299</v>
      </c>
      <c r="E159" s="25">
        <v>2299</v>
      </c>
      <c r="F159" s="25">
        <v>2299</v>
      </c>
      <c r="G159" t="s">
        <v>663</v>
      </c>
      <c r="H159" s="91">
        <f t="shared" si="19"/>
        <v>0</v>
      </c>
    </row>
    <row r="160" spans="1:8">
      <c r="A160" s="3" t="s">
        <v>83</v>
      </c>
      <c r="B160" s="3" t="s">
        <v>95</v>
      </c>
      <c r="C160" s="82"/>
      <c r="D160" s="84">
        <f>E160</f>
        <v>2199</v>
      </c>
      <c r="E160" s="29">
        <v>2199</v>
      </c>
      <c r="F160" s="29">
        <v>2199</v>
      </c>
      <c r="G160" t="s">
        <v>663</v>
      </c>
      <c r="H160" s="91">
        <f t="shared" si="19"/>
        <v>0</v>
      </c>
    </row>
    <row r="161" spans="1:8">
      <c r="A161" s="3" t="s">
        <v>165</v>
      </c>
      <c r="B161" s="3" t="s">
        <v>166</v>
      </c>
      <c r="C161" s="82" t="s">
        <v>741</v>
      </c>
      <c r="D161" s="83">
        <v>2199</v>
      </c>
      <c r="E161" s="25">
        <v>2199</v>
      </c>
      <c r="F161" s="25">
        <v>2199</v>
      </c>
      <c r="G161" t="s">
        <v>663</v>
      </c>
      <c r="H161" s="91">
        <f t="shared" si="19"/>
        <v>0</v>
      </c>
    </row>
    <row r="162" spans="1:8">
      <c r="A162" s="3" t="s">
        <v>93</v>
      </c>
      <c r="B162" s="3" t="s">
        <v>163</v>
      </c>
      <c r="C162" s="82" t="s">
        <v>742</v>
      </c>
      <c r="D162" s="83">
        <v>2159</v>
      </c>
      <c r="E162" s="25">
        <v>2159</v>
      </c>
      <c r="F162" s="25">
        <v>2159</v>
      </c>
      <c r="G162" t="s">
        <v>663</v>
      </c>
      <c r="H162" s="91">
        <f t="shared" si="19"/>
        <v>0</v>
      </c>
    </row>
    <row r="163" spans="1:8">
      <c r="A163" s="3" t="s">
        <v>112</v>
      </c>
      <c r="B163" s="3" t="s">
        <v>25</v>
      </c>
      <c r="C163" s="82"/>
      <c r="D163" s="84">
        <f>E163</f>
        <v>2099</v>
      </c>
      <c r="E163" s="29">
        <v>2099</v>
      </c>
      <c r="F163" s="29">
        <v>2099</v>
      </c>
      <c r="G163" t="s">
        <v>663</v>
      </c>
      <c r="H163" s="91">
        <f t="shared" si="19"/>
        <v>0</v>
      </c>
    </row>
    <row r="164" spans="1:8">
      <c r="A164" s="2" t="s">
        <v>83</v>
      </c>
      <c r="B164" s="3" t="s">
        <v>23</v>
      </c>
      <c r="C164" s="82" t="s">
        <v>743</v>
      </c>
      <c r="D164" s="83">
        <v>1999</v>
      </c>
      <c r="E164" s="29">
        <v>1999</v>
      </c>
      <c r="F164" s="29">
        <v>1999</v>
      </c>
      <c r="G164" t="s">
        <v>663</v>
      </c>
      <c r="H164" s="91">
        <f t="shared" si="19"/>
        <v>0</v>
      </c>
    </row>
    <row r="165" spans="1:8">
      <c r="A165" s="6" t="s">
        <v>93</v>
      </c>
      <c r="B165" s="6" t="s">
        <v>96</v>
      </c>
      <c r="C165" s="82" t="s">
        <v>744</v>
      </c>
      <c r="D165" s="83">
        <v>1999</v>
      </c>
      <c r="E165" s="25">
        <v>1999</v>
      </c>
      <c r="F165" s="25">
        <v>1999</v>
      </c>
      <c r="G165" t="s">
        <v>663</v>
      </c>
      <c r="H165" s="91">
        <f t="shared" si="19"/>
        <v>0</v>
      </c>
    </row>
    <row r="166" spans="1:8">
      <c r="A166" s="3" t="s">
        <v>91</v>
      </c>
      <c r="B166" s="3" t="s">
        <v>100</v>
      </c>
      <c r="C166" s="82"/>
      <c r="D166" s="84">
        <f t="shared" ref="D166:D168" si="23">E166</f>
        <v>1999</v>
      </c>
      <c r="E166" s="29">
        <v>1999</v>
      </c>
      <c r="F166" s="29">
        <v>1999</v>
      </c>
      <c r="G166" t="s">
        <v>663</v>
      </c>
      <c r="H166" s="91">
        <f t="shared" si="19"/>
        <v>0</v>
      </c>
    </row>
    <row r="167" spans="1:8">
      <c r="A167" s="7" t="s">
        <v>83</v>
      </c>
      <c r="B167" s="7" t="s">
        <v>24</v>
      </c>
      <c r="C167" s="82"/>
      <c r="D167" s="84">
        <f t="shared" si="23"/>
        <v>1999</v>
      </c>
      <c r="E167" s="25">
        <v>1999</v>
      </c>
      <c r="F167" s="25">
        <v>1999</v>
      </c>
      <c r="G167" t="s">
        <v>663</v>
      </c>
      <c r="H167" s="91">
        <f t="shared" si="19"/>
        <v>0</v>
      </c>
    </row>
    <row r="168" spans="1:8">
      <c r="A168" s="3" t="s">
        <v>83</v>
      </c>
      <c r="B168" s="3" t="s">
        <v>137</v>
      </c>
      <c r="C168" s="82"/>
      <c r="D168" s="84">
        <f t="shared" si="23"/>
        <v>1999</v>
      </c>
      <c r="E168" s="29">
        <v>1999</v>
      </c>
      <c r="F168" s="29">
        <v>1999</v>
      </c>
      <c r="G168" t="s">
        <v>663</v>
      </c>
      <c r="H168" s="91">
        <f t="shared" si="19"/>
        <v>0</v>
      </c>
    </row>
    <row r="169" spans="1:8">
      <c r="A169" s="3" t="s">
        <v>219</v>
      </c>
      <c r="B169" s="3" t="s">
        <v>220</v>
      </c>
      <c r="C169" s="82" t="s">
        <v>745</v>
      </c>
      <c r="D169" s="83">
        <v>1999</v>
      </c>
      <c r="E169" s="29">
        <v>1999</v>
      </c>
      <c r="F169" s="29">
        <v>1999</v>
      </c>
      <c r="G169" t="s">
        <v>663</v>
      </c>
      <c r="H169" s="91">
        <f t="shared" si="19"/>
        <v>0</v>
      </c>
    </row>
    <row r="170" spans="1:8">
      <c r="A170" s="3" t="s">
        <v>91</v>
      </c>
      <c r="B170" s="3" t="s">
        <v>209</v>
      </c>
      <c r="C170" s="82"/>
      <c r="D170" s="84">
        <f t="shared" ref="D170:D174" si="24">E170</f>
        <v>1899</v>
      </c>
      <c r="E170" s="29">
        <v>1899</v>
      </c>
      <c r="F170" s="29">
        <v>1899</v>
      </c>
      <c r="G170" t="s">
        <v>663</v>
      </c>
      <c r="H170" s="91">
        <f t="shared" si="19"/>
        <v>0</v>
      </c>
    </row>
    <row r="171" spans="1:8">
      <c r="A171" s="3" t="s">
        <v>127</v>
      </c>
      <c r="B171" s="3" t="s">
        <v>157</v>
      </c>
      <c r="C171" s="82"/>
      <c r="D171" s="84">
        <f t="shared" si="24"/>
        <v>1849</v>
      </c>
      <c r="E171" s="29">
        <v>1849</v>
      </c>
      <c r="F171" s="29">
        <v>1849</v>
      </c>
      <c r="G171" t="s">
        <v>663</v>
      </c>
      <c r="H171" s="91">
        <f t="shared" si="19"/>
        <v>0</v>
      </c>
    </row>
    <row r="172" spans="1:8">
      <c r="A172" s="3" t="s">
        <v>97</v>
      </c>
      <c r="B172" s="3" t="s">
        <v>115</v>
      </c>
      <c r="C172" s="82"/>
      <c r="D172" s="84">
        <f t="shared" si="24"/>
        <v>1799</v>
      </c>
      <c r="E172" s="29">
        <v>1799</v>
      </c>
      <c r="F172" s="29">
        <v>1799</v>
      </c>
      <c r="G172" t="s">
        <v>663</v>
      </c>
      <c r="H172" s="91">
        <f t="shared" si="19"/>
        <v>0</v>
      </c>
    </row>
    <row r="173" spans="1:8">
      <c r="A173" s="3" t="s">
        <v>83</v>
      </c>
      <c r="B173" s="3" t="s">
        <v>136</v>
      </c>
      <c r="C173" s="82"/>
      <c r="D173" s="84">
        <f t="shared" si="24"/>
        <v>1799</v>
      </c>
      <c r="E173" s="29">
        <v>1799</v>
      </c>
      <c r="F173" s="29">
        <v>1799</v>
      </c>
      <c r="G173" t="s">
        <v>663</v>
      </c>
      <c r="H173" s="91">
        <f t="shared" si="19"/>
        <v>0</v>
      </c>
    </row>
    <row r="174" spans="1:8">
      <c r="A174" s="3" t="s">
        <v>97</v>
      </c>
      <c r="B174" s="3" t="s">
        <v>26</v>
      </c>
      <c r="C174" s="82"/>
      <c r="D174" s="84">
        <f t="shared" si="24"/>
        <v>1779</v>
      </c>
      <c r="E174" s="29">
        <v>1779</v>
      </c>
      <c r="F174" s="29">
        <v>1779</v>
      </c>
      <c r="G174" t="s">
        <v>663</v>
      </c>
      <c r="H174" s="91">
        <f t="shared" si="19"/>
        <v>0</v>
      </c>
    </row>
    <row r="175" spans="1:8">
      <c r="A175" s="3" t="s">
        <v>91</v>
      </c>
      <c r="B175" s="38">
        <v>5010</v>
      </c>
      <c r="C175" s="82" t="s">
        <v>746</v>
      </c>
      <c r="D175" s="83">
        <v>1699</v>
      </c>
      <c r="E175" s="29">
        <v>1699</v>
      </c>
      <c r="F175" s="29">
        <v>1699</v>
      </c>
      <c r="G175" t="s">
        <v>663</v>
      </c>
      <c r="H175" s="91">
        <f t="shared" si="19"/>
        <v>0</v>
      </c>
    </row>
    <row r="176" spans="1:8">
      <c r="A176" s="2" t="s">
        <v>83</v>
      </c>
      <c r="B176" s="2" t="s">
        <v>4</v>
      </c>
      <c r="C176" s="82" t="s">
        <v>1020</v>
      </c>
      <c r="D176" s="84">
        <f>E176</f>
        <v>1699</v>
      </c>
      <c r="E176" s="29">
        <v>1699</v>
      </c>
      <c r="F176" s="29">
        <v>1699</v>
      </c>
      <c r="G176" t="s">
        <v>663</v>
      </c>
      <c r="H176" s="91">
        <f t="shared" si="19"/>
        <v>0</v>
      </c>
    </row>
    <row r="177" spans="1:8">
      <c r="A177" s="18" t="s">
        <v>215</v>
      </c>
      <c r="B177" s="18" t="s">
        <v>217</v>
      </c>
      <c r="C177" s="82" t="s">
        <v>747</v>
      </c>
      <c r="D177" s="83">
        <v>1699</v>
      </c>
      <c r="E177" s="40">
        <v>1699</v>
      </c>
      <c r="F177" s="40">
        <v>1699</v>
      </c>
      <c r="G177" t="s">
        <v>663</v>
      </c>
      <c r="H177" s="91">
        <f t="shared" si="19"/>
        <v>0</v>
      </c>
    </row>
    <row r="178" spans="1:8">
      <c r="A178" s="18" t="s">
        <v>165</v>
      </c>
      <c r="B178" s="18" t="s">
        <v>183</v>
      </c>
      <c r="C178" s="82" t="s">
        <v>748</v>
      </c>
      <c r="D178" s="83">
        <v>1499</v>
      </c>
      <c r="E178" s="40">
        <v>1499</v>
      </c>
      <c r="F178" s="40">
        <v>1499</v>
      </c>
      <c r="G178" t="s">
        <v>663</v>
      </c>
      <c r="H178" s="91">
        <f t="shared" si="19"/>
        <v>0</v>
      </c>
    </row>
    <row r="179" spans="1:8">
      <c r="A179" s="18" t="s">
        <v>93</v>
      </c>
      <c r="B179" s="18" t="s">
        <v>179</v>
      </c>
      <c r="C179" s="82" t="s">
        <v>749</v>
      </c>
      <c r="D179" s="84">
        <f t="shared" ref="D179:D190" si="25">E179</f>
        <v>1099</v>
      </c>
      <c r="E179" s="40">
        <v>1099</v>
      </c>
      <c r="F179" s="40">
        <v>1099</v>
      </c>
      <c r="G179" t="s">
        <v>663</v>
      </c>
      <c r="H179" s="91">
        <f t="shared" si="19"/>
        <v>0</v>
      </c>
    </row>
    <row r="180" spans="1:8">
      <c r="A180" s="18" t="s">
        <v>112</v>
      </c>
      <c r="B180" s="33" t="s">
        <v>27</v>
      </c>
      <c r="C180" s="82"/>
      <c r="D180" s="84">
        <f t="shared" si="25"/>
        <v>1099</v>
      </c>
      <c r="E180" s="40">
        <v>1099</v>
      </c>
      <c r="F180" s="40">
        <v>1099</v>
      </c>
      <c r="G180" t="s">
        <v>663</v>
      </c>
      <c r="H180" s="91">
        <f t="shared" si="19"/>
        <v>0</v>
      </c>
    </row>
    <row r="181" spans="1:8">
      <c r="A181" s="18" t="s">
        <v>83</v>
      </c>
      <c r="B181" s="18" t="s">
        <v>98</v>
      </c>
      <c r="C181" s="82"/>
      <c r="D181" s="84">
        <f t="shared" si="25"/>
        <v>999</v>
      </c>
      <c r="E181" s="40">
        <v>999</v>
      </c>
      <c r="F181" s="40">
        <v>999</v>
      </c>
      <c r="G181" t="s">
        <v>663</v>
      </c>
      <c r="H181" s="91">
        <f t="shared" si="19"/>
        <v>0</v>
      </c>
    </row>
    <row r="182" spans="1:8">
      <c r="A182" s="18" t="s">
        <v>97</v>
      </c>
      <c r="B182" s="18" t="s">
        <v>28</v>
      </c>
      <c r="C182" s="82"/>
      <c r="D182" s="84">
        <f t="shared" si="25"/>
        <v>999</v>
      </c>
      <c r="E182" s="40">
        <v>999</v>
      </c>
      <c r="F182" s="40">
        <v>999</v>
      </c>
      <c r="G182" t="s">
        <v>663</v>
      </c>
      <c r="H182" s="91">
        <f t="shared" si="19"/>
        <v>0</v>
      </c>
    </row>
    <row r="183" spans="1:8">
      <c r="A183" s="18" t="s">
        <v>91</v>
      </c>
      <c r="B183" s="18" t="s">
        <v>99</v>
      </c>
      <c r="C183" s="82"/>
      <c r="D183" s="84">
        <f t="shared" si="25"/>
        <v>999</v>
      </c>
      <c r="E183" s="40">
        <v>999</v>
      </c>
      <c r="F183" s="40">
        <v>999</v>
      </c>
      <c r="G183" t="s">
        <v>663</v>
      </c>
      <c r="H183" s="91">
        <f t="shared" si="19"/>
        <v>0</v>
      </c>
    </row>
    <row r="184" spans="1:8">
      <c r="A184" s="18" t="s">
        <v>91</v>
      </c>
      <c r="B184" s="43">
        <v>2038</v>
      </c>
      <c r="C184" s="82"/>
      <c r="D184" s="84">
        <f t="shared" si="25"/>
        <v>799</v>
      </c>
      <c r="E184" s="40">
        <v>799</v>
      </c>
      <c r="F184" s="40">
        <v>799</v>
      </c>
      <c r="G184" t="s">
        <v>663</v>
      </c>
      <c r="H184" s="91">
        <f t="shared" si="19"/>
        <v>0</v>
      </c>
    </row>
    <row r="185" spans="1:8">
      <c r="A185" s="18" t="s">
        <v>186</v>
      </c>
      <c r="B185" s="18" t="s">
        <v>185</v>
      </c>
      <c r="C185" s="82"/>
      <c r="D185" s="84">
        <f t="shared" si="25"/>
        <v>749</v>
      </c>
      <c r="E185" s="40">
        <v>749</v>
      </c>
      <c r="F185" s="40">
        <v>749</v>
      </c>
      <c r="G185" t="s">
        <v>663</v>
      </c>
      <c r="H185" s="91">
        <f t="shared" si="19"/>
        <v>0</v>
      </c>
    </row>
    <row r="186" spans="1:8">
      <c r="A186" s="33" t="s">
        <v>83</v>
      </c>
      <c r="B186" s="33" t="s">
        <v>62</v>
      </c>
      <c r="C186" s="82" t="s">
        <v>1021</v>
      </c>
      <c r="D186" s="84">
        <f t="shared" si="25"/>
        <v>599</v>
      </c>
      <c r="E186" s="40">
        <v>599</v>
      </c>
      <c r="F186" s="40">
        <v>599</v>
      </c>
      <c r="G186" t="s">
        <v>663</v>
      </c>
      <c r="H186" s="91">
        <f t="shared" si="19"/>
        <v>0</v>
      </c>
    </row>
    <row r="187" spans="1:8">
      <c r="A187" s="33" t="s">
        <v>83</v>
      </c>
      <c r="B187" s="33" t="s">
        <v>63</v>
      </c>
      <c r="C187" s="82" t="s">
        <v>1022</v>
      </c>
      <c r="D187" s="84">
        <f t="shared" si="25"/>
        <v>499</v>
      </c>
      <c r="E187" s="40">
        <v>499</v>
      </c>
      <c r="F187" s="40">
        <v>499</v>
      </c>
      <c r="G187" t="s">
        <v>663</v>
      </c>
      <c r="H187" s="91">
        <f t="shared" si="19"/>
        <v>0</v>
      </c>
    </row>
    <row r="188" spans="1:8">
      <c r="A188" s="33" t="s">
        <v>83</v>
      </c>
      <c r="B188" s="33" t="s">
        <v>64</v>
      </c>
      <c r="C188" s="82" t="s">
        <v>1023</v>
      </c>
      <c r="D188" s="84">
        <f t="shared" si="25"/>
        <v>499</v>
      </c>
      <c r="E188" s="40">
        <v>499</v>
      </c>
      <c r="F188" s="40">
        <v>499</v>
      </c>
      <c r="G188" t="s">
        <v>663</v>
      </c>
      <c r="H188" s="91">
        <f t="shared" si="19"/>
        <v>0</v>
      </c>
    </row>
    <row r="189" spans="1:8">
      <c r="A189" s="33" t="s">
        <v>83</v>
      </c>
      <c r="B189" s="33" t="s">
        <v>65</v>
      </c>
      <c r="C189" s="82"/>
      <c r="D189" s="84">
        <f t="shared" si="25"/>
        <v>499</v>
      </c>
      <c r="E189" s="40">
        <v>499</v>
      </c>
      <c r="F189" s="40">
        <v>499</v>
      </c>
      <c r="G189" t="s">
        <v>663</v>
      </c>
      <c r="H189" s="91">
        <f t="shared" si="19"/>
        <v>0</v>
      </c>
    </row>
    <row r="190" spans="1:8">
      <c r="A190" s="33" t="s">
        <v>83</v>
      </c>
      <c r="B190" s="33" t="s">
        <v>66</v>
      </c>
      <c r="C190" s="82" t="s">
        <v>1024</v>
      </c>
      <c r="D190" s="84">
        <f t="shared" si="25"/>
        <v>499</v>
      </c>
      <c r="E190" s="40">
        <v>499</v>
      </c>
      <c r="F190" s="40">
        <v>499</v>
      </c>
      <c r="G190" t="s">
        <v>663</v>
      </c>
      <c r="H190" s="91">
        <f t="shared" si="19"/>
        <v>0</v>
      </c>
    </row>
    <row r="191" spans="1:8">
      <c r="A191" s="18" t="s">
        <v>93</v>
      </c>
      <c r="B191" s="18" t="s">
        <v>221</v>
      </c>
      <c r="C191" s="82" t="s">
        <v>750</v>
      </c>
      <c r="D191" s="83">
        <v>3599</v>
      </c>
      <c r="E191" s="40">
        <v>3599</v>
      </c>
      <c r="F191" s="40">
        <v>3599</v>
      </c>
      <c r="G191" t="s">
        <v>663</v>
      </c>
      <c r="H191" s="91">
        <f t="shared" si="19"/>
        <v>0</v>
      </c>
    </row>
    <row r="192" spans="1:8">
      <c r="A192" s="18" t="s">
        <v>83</v>
      </c>
      <c r="B192" s="18" t="s">
        <v>222</v>
      </c>
      <c r="C192" s="82" t="s">
        <v>751</v>
      </c>
      <c r="D192" s="83">
        <v>14999</v>
      </c>
      <c r="E192" s="40">
        <v>14000</v>
      </c>
      <c r="F192" s="40">
        <v>14000</v>
      </c>
      <c r="G192" s="66">
        <v>44410</v>
      </c>
      <c r="H192" s="91">
        <f t="shared" si="19"/>
        <v>999</v>
      </c>
    </row>
    <row r="193" spans="1:8">
      <c r="A193" s="18" t="s">
        <v>83</v>
      </c>
      <c r="B193" s="18" t="s">
        <v>223</v>
      </c>
      <c r="C193" s="82" t="s">
        <v>752</v>
      </c>
      <c r="D193" s="83">
        <v>7199</v>
      </c>
      <c r="E193" s="40">
        <v>7199</v>
      </c>
      <c r="F193" s="40">
        <v>7199</v>
      </c>
      <c r="G193" t="s">
        <v>663</v>
      </c>
      <c r="H193" s="91">
        <f t="shared" si="19"/>
        <v>0</v>
      </c>
    </row>
    <row r="194" spans="1:8">
      <c r="A194" s="18" t="s">
        <v>73</v>
      </c>
      <c r="B194" s="18" t="s">
        <v>224</v>
      </c>
      <c r="C194" s="82" t="s">
        <v>753</v>
      </c>
      <c r="D194" s="83">
        <v>12999</v>
      </c>
      <c r="E194" s="40">
        <v>12999</v>
      </c>
      <c r="F194" s="40">
        <v>12999</v>
      </c>
      <c r="G194" t="s">
        <v>663</v>
      </c>
      <c r="H194" s="91">
        <f t="shared" si="19"/>
        <v>0</v>
      </c>
    </row>
    <row r="195" spans="1:8">
      <c r="A195" s="20" t="s">
        <v>73</v>
      </c>
      <c r="B195" s="20" t="s">
        <v>225</v>
      </c>
      <c r="C195" s="82" t="s">
        <v>754</v>
      </c>
      <c r="D195" s="83">
        <v>10999</v>
      </c>
      <c r="E195" s="47">
        <v>10999</v>
      </c>
      <c r="F195" s="47">
        <v>10999</v>
      </c>
      <c r="G195" t="s">
        <v>663</v>
      </c>
      <c r="H195" s="91">
        <f t="shared" ref="H195:H258" si="26">D195-E195</f>
        <v>0</v>
      </c>
    </row>
    <row r="196" spans="1:8">
      <c r="A196" s="20" t="s">
        <v>91</v>
      </c>
      <c r="B196" s="20" t="s">
        <v>226</v>
      </c>
      <c r="C196" s="82" t="s">
        <v>755</v>
      </c>
      <c r="D196" s="83">
        <v>2799</v>
      </c>
      <c r="E196" s="47">
        <v>2799</v>
      </c>
      <c r="F196" s="47">
        <v>2799</v>
      </c>
      <c r="G196" t="s">
        <v>663</v>
      </c>
      <c r="H196" s="91">
        <f t="shared" si="26"/>
        <v>0</v>
      </c>
    </row>
    <row r="197" spans="1:8">
      <c r="A197" s="18" t="s">
        <v>165</v>
      </c>
      <c r="B197" s="18" t="s">
        <v>227</v>
      </c>
      <c r="C197" s="82" t="s">
        <v>756</v>
      </c>
      <c r="D197" s="83">
        <v>4159</v>
      </c>
      <c r="E197" s="48">
        <v>4159</v>
      </c>
      <c r="F197" s="48">
        <v>4159</v>
      </c>
      <c r="G197" t="s">
        <v>663</v>
      </c>
      <c r="H197" s="91">
        <f t="shared" si="26"/>
        <v>0</v>
      </c>
    </row>
    <row r="198" spans="1:8">
      <c r="A198" s="18" t="s">
        <v>73</v>
      </c>
      <c r="B198" s="18" t="s">
        <v>228</v>
      </c>
      <c r="C198" s="82" t="s">
        <v>757</v>
      </c>
      <c r="D198" s="83">
        <v>18169</v>
      </c>
      <c r="E198" s="48">
        <v>18169</v>
      </c>
      <c r="F198" s="48">
        <v>18169</v>
      </c>
      <c r="G198" t="s">
        <v>663</v>
      </c>
      <c r="H198" s="91">
        <f t="shared" si="26"/>
        <v>0</v>
      </c>
    </row>
    <row r="199" spans="1:8">
      <c r="A199" s="18" t="s">
        <v>73</v>
      </c>
      <c r="B199" s="18" t="s">
        <v>229</v>
      </c>
      <c r="C199" s="82" t="s">
        <v>758</v>
      </c>
      <c r="D199" s="83">
        <v>22399</v>
      </c>
      <c r="E199" s="48">
        <v>20999</v>
      </c>
      <c r="F199" s="48">
        <v>20999</v>
      </c>
      <c r="G199" s="66">
        <v>44336</v>
      </c>
      <c r="H199" s="91">
        <f t="shared" si="26"/>
        <v>1400</v>
      </c>
    </row>
    <row r="200" spans="1:8">
      <c r="A200" s="33" t="s">
        <v>83</v>
      </c>
      <c r="B200" s="18" t="s">
        <v>231</v>
      </c>
      <c r="C200" s="82"/>
      <c r="D200" s="84">
        <f>E200</f>
        <v>5499</v>
      </c>
      <c r="E200" s="40">
        <v>5499</v>
      </c>
      <c r="F200" s="40">
        <v>5499</v>
      </c>
      <c r="G200" t="s">
        <v>663</v>
      </c>
      <c r="H200" s="91">
        <f t="shared" si="26"/>
        <v>0</v>
      </c>
    </row>
    <row r="201" spans="1:8">
      <c r="A201" s="33" t="s">
        <v>83</v>
      </c>
      <c r="B201" s="18" t="s">
        <v>230</v>
      </c>
      <c r="C201" s="82" t="s">
        <v>759</v>
      </c>
      <c r="D201" s="83">
        <v>16999</v>
      </c>
      <c r="E201" s="40">
        <v>16999</v>
      </c>
      <c r="F201" s="40">
        <v>16999</v>
      </c>
      <c r="G201" t="s">
        <v>663</v>
      </c>
      <c r="H201" s="91">
        <f t="shared" si="26"/>
        <v>0</v>
      </c>
    </row>
    <row r="202" spans="1:8">
      <c r="A202" s="33" t="s">
        <v>83</v>
      </c>
      <c r="B202" s="18" t="s">
        <v>232</v>
      </c>
      <c r="C202" s="82" t="s">
        <v>760</v>
      </c>
      <c r="D202" s="83">
        <v>4299</v>
      </c>
      <c r="E202" s="40">
        <v>4299</v>
      </c>
      <c r="F202" s="40">
        <v>4299</v>
      </c>
      <c r="G202" t="s">
        <v>663</v>
      </c>
      <c r="H202" s="91">
        <f t="shared" si="26"/>
        <v>0</v>
      </c>
    </row>
    <row r="203" spans="1:8">
      <c r="A203" s="33" t="s">
        <v>83</v>
      </c>
      <c r="B203" s="18" t="s">
        <v>233</v>
      </c>
      <c r="C203" s="82" t="s">
        <v>761</v>
      </c>
      <c r="D203" s="83">
        <v>13799</v>
      </c>
      <c r="E203" s="40">
        <v>13799</v>
      </c>
      <c r="F203" s="40">
        <v>13799</v>
      </c>
      <c r="G203" t="s">
        <v>663</v>
      </c>
      <c r="H203" s="91">
        <f t="shared" si="26"/>
        <v>0</v>
      </c>
    </row>
    <row r="204" spans="1:8">
      <c r="A204" s="33" t="s">
        <v>74</v>
      </c>
      <c r="B204" s="18" t="s">
        <v>234</v>
      </c>
      <c r="C204" s="82" t="s">
        <v>762</v>
      </c>
      <c r="D204" s="83">
        <v>7299</v>
      </c>
      <c r="E204" s="40">
        <v>7299</v>
      </c>
      <c r="F204" s="40">
        <v>7299</v>
      </c>
      <c r="G204" t="s">
        <v>663</v>
      </c>
      <c r="H204" s="91">
        <f t="shared" si="26"/>
        <v>0</v>
      </c>
    </row>
    <row r="205" spans="1:8">
      <c r="A205" s="33" t="s">
        <v>83</v>
      </c>
      <c r="B205" s="18" t="s">
        <v>235</v>
      </c>
      <c r="C205" s="82" t="s">
        <v>763</v>
      </c>
      <c r="D205" s="83">
        <v>6499</v>
      </c>
      <c r="E205" s="48">
        <v>6499</v>
      </c>
      <c r="F205" s="48">
        <v>6499</v>
      </c>
      <c r="G205" t="s">
        <v>663</v>
      </c>
      <c r="H205" s="91">
        <f t="shared" si="26"/>
        <v>0</v>
      </c>
    </row>
    <row r="206" spans="1:8">
      <c r="A206" s="33" t="s">
        <v>74</v>
      </c>
      <c r="B206" s="18" t="s">
        <v>236</v>
      </c>
      <c r="C206" s="82" t="s">
        <v>764</v>
      </c>
      <c r="D206" s="83">
        <v>7299</v>
      </c>
      <c r="E206" s="40">
        <v>4999</v>
      </c>
      <c r="F206" s="40">
        <v>4999</v>
      </c>
      <c r="G206" s="66">
        <v>44318</v>
      </c>
      <c r="H206" s="91">
        <f t="shared" si="26"/>
        <v>2300</v>
      </c>
    </row>
    <row r="207" spans="1:8">
      <c r="A207" s="33" t="s">
        <v>74</v>
      </c>
      <c r="B207" s="18" t="s">
        <v>237</v>
      </c>
      <c r="C207" s="82" t="s">
        <v>765</v>
      </c>
      <c r="D207" s="83">
        <v>3699</v>
      </c>
      <c r="E207" s="40">
        <v>3699</v>
      </c>
      <c r="F207" s="40">
        <v>3699</v>
      </c>
      <c r="G207" t="s">
        <v>663</v>
      </c>
      <c r="H207" s="91">
        <f t="shared" si="26"/>
        <v>0</v>
      </c>
    </row>
    <row r="208" spans="1:8">
      <c r="A208" s="33" t="s">
        <v>74</v>
      </c>
      <c r="B208" s="18" t="s">
        <v>238</v>
      </c>
      <c r="C208" s="82" t="s">
        <v>766</v>
      </c>
      <c r="D208" s="83">
        <v>11499</v>
      </c>
      <c r="E208" s="40">
        <v>11499</v>
      </c>
      <c r="F208" s="40">
        <v>11499</v>
      </c>
      <c r="G208" t="s">
        <v>663</v>
      </c>
      <c r="H208" s="91">
        <f t="shared" si="26"/>
        <v>0</v>
      </c>
    </row>
    <row r="209" spans="1:8">
      <c r="A209" s="18" t="s">
        <v>73</v>
      </c>
      <c r="B209" s="18" t="s">
        <v>239</v>
      </c>
      <c r="C209" s="82" t="s">
        <v>767</v>
      </c>
      <c r="D209" s="83">
        <v>4299</v>
      </c>
      <c r="E209" s="40">
        <v>4299</v>
      </c>
      <c r="F209" s="40">
        <v>4299</v>
      </c>
      <c r="G209" t="s">
        <v>663</v>
      </c>
      <c r="H209" s="91">
        <f t="shared" si="26"/>
        <v>0</v>
      </c>
    </row>
    <row r="210" spans="1:8">
      <c r="A210" s="18" t="s">
        <v>73</v>
      </c>
      <c r="B210" s="18" t="s">
        <v>240</v>
      </c>
      <c r="C210" s="82" t="s">
        <v>768</v>
      </c>
      <c r="D210" s="83">
        <v>5499</v>
      </c>
      <c r="E210" s="40">
        <v>5499</v>
      </c>
      <c r="F210" s="40">
        <v>5499</v>
      </c>
      <c r="G210" t="s">
        <v>663</v>
      </c>
      <c r="H210" s="91">
        <f t="shared" si="26"/>
        <v>0</v>
      </c>
    </row>
    <row r="211" spans="1:8">
      <c r="A211" s="18" t="s">
        <v>73</v>
      </c>
      <c r="B211" s="18" t="s">
        <v>241</v>
      </c>
      <c r="C211" s="82" t="s">
        <v>769</v>
      </c>
      <c r="D211" s="83">
        <v>7999</v>
      </c>
      <c r="E211" s="40">
        <v>7999</v>
      </c>
      <c r="F211" s="40">
        <v>7999</v>
      </c>
      <c r="G211" t="s">
        <v>663</v>
      </c>
      <c r="H211" s="91">
        <f t="shared" si="26"/>
        <v>0</v>
      </c>
    </row>
    <row r="212" spans="1:8">
      <c r="A212" s="18" t="s">
        <v>73</v>
      </c>
      <c r="B212" s="18" t="s">
        <v>242</v>
      </c>
      <c r="C212" s="82" t="s">
        <v>758</v>
      </c>
      <c r="D212" s="83">
        <v>22399</v>
      </c>
      <c r="E212" s="40">
        <v>22399</v>
      </c>
      <c r="F212" s="40">
        <v>22399</v>
      </c>
      <c r="G212" t="s">
        <v>663</v>
      </c>
      <c r="H212" s="91">
        <f t="shared" si="26"/>
        <v>0</v>
      </c>
    </row>
    <row r="213" spans="1:8">
      <c r="A213" s="18" t="s">
        <v>83</v>
      </c>
      <c r="B213" s="18" t="s">
        <v>243</v>
      </c>
      <c r="C213" s="82"/>
      <c r="D213" s="84">
        <f>E213</f>
        <v>2100</v>
      </c>
      <c r="E213" s="40">
        <v>2100</v>
      </c>
      <c r="F213" s="40">
        <v>2100</v>
      </c>
      <c r="G213" t="s">
        <v>663</v>
      </c>
      <c r="H213" s="91">
        <f t="shared" si="26"/>
        <v>0</v>
      </c>
    </row>
    <row r="214" spans="1:8">
      <c r="A214" s="49" t="s">
        <v>67</v>
      </c>
      <c r="B214" s="49" t="s">
        <v>246</v>
      </c>
      <c r="C214" s="82"/>
      <c r="D214" s="85">
        <f t="shared" ref="D214:D219" si="27">E214</f>
        <v>11299</v>
      </c>
      <c r="E214" s="50">
        <v>11299</v>
      </c>
      <c r="F214" s="50">
        <v>11299</v>
      </c>
      <c r="G214" t="s">
        <v>663</v>
      </c>
      <c r="H214" s="91">
        <f t="shared" si="26"/>
        <v>0</v>
      </c>
    </row>
    <row r="215" spans="1:8">
      <c r="A215" s="49" t="s">
        <v>67</v>
      </c>
      <c r="B215" s="49" t="s">
        <v>247</v>
      </c>
      <c r="C215" s="82"/>
      <c r="D215" s="85">
        <f t="shared" si="27"/>
        <v>13799</v>
      </c>
      <c r="E215" s="50">
        <v>13799</v>
      </c>
      <c r="F215" s="50">
        <v>13799</v>
      </c>
      <c r="G215" t="s">
        <v>663</v>
      </c>
      <c r="H215" s="91">
        <f t="shared" si="26"/>
        <v>0</v>
      </c>
    </row>
    <row r="216" spans="1:8">
      <c r="A216" s="49" t="s">
        <v>67</v>
      </c>
      <c r="B216" s="49" t="s">
        <v>248</v>
      </c>
      <c r="C216" s="82"/>
      <c r="D216" s="85">
        <f t="shared" si="27"/>
        <v>22299</v>
      </c>
      <c r="E216" s="50">
        <v>22299</v>
      </c>
      <c r="F216" s="50">
        <v>22299</v>
      </c>
      <c r="G216" t="s">
        <v>663</v>
      </c>
      <c r="H216" s="91">
        <f t="shared" si="26"/>
        <v>0</v>
      </c>
    </row>
    <row r="217" spans="1:8">
      <c r="A217" s="49" t="s">
        <v>67</v>
      </c>
      <c r="B217" s="49" t="s">
        <v>249</v>
      </c>
      <c r="C217" s="82"/>
      <c r="D217" s="85">
        <f t="shared" si="27"/>
        <v>25799</v>
      </c>
      <c r="E217" s="50">
        <v>25799</v>
      </c>
      <c r="F217" s="50">
        <v>25799</v>
      </c>
      <c r="G217" t="s">
        <v>663</v>
      </c>
      <c r="H217" s="91">
        <f t="shared" si="26"/>
        <v>0</v>
      </c>
    </row>
    <row r="218" spans="1:8">
      <c r="A218" s="49" t="s">
        <v>67</v>
      </c>
      <c r="B218" s="49" t="s">
        <v>244</v>
      </c>
      <c r="C218" s="82"/>
      <c r="D218" s="85">
        <f t="shared" si="27"/>
        <v>8999</v>
      </c>
      <c r="E218" s="50">
        <v>8999</v>
      </c>
      <c r="F218" s="50">
        <v>8999</v>
      </c>
      <c r="G218" t="s">
        <v>663</v>
      </c>
      <c r="H218" s="91">
        <f t="shared" si="26"/>
        <v>0</v>
      </c>
    </row>
    <row r="219" spans="1:8">
      <c r="A219" s="49" t="s">
        <v>67</v>
      </c>
      <c r="B219" s="49" t="s">
        <v>245</v>
      </c>
      <c r="C219" s="82"/>
      <c r="D219" s="85">
        <f t="shared" si="27"/>
        <v>9699</v>
      </c>
      <c r="E219" s="50">
        <v>9699</v>
      </c>
      <c r="F219" s="50">
        <v>9699</v>
      </c>
      <c r="G219" t="s">
        <v>663</v>
      </c>
      <c r="H219" s="91">
        <f t="shared" si="26"/>
        <v>0</v>
      </c>
    </row>
    <row r="220" spans="1:8">
      <c r="A220" s="49" t="s">
        <v>73</v>
      </c>
      <c r="B220" s="49" t="s">
        <v>250</v>
      </c>
      <c r="C220" s="82" t="s">
        <v>770</v>
      </c>
      <c r="D220" s="83">
        <v>6499</v>
      </c>
      <c r="E220" s="50">
        <v>6499</v>
      </c>
      <c r="F220" s="50">
        <v>6499</v>
      </c>
      <c r="G220" t="s">
        <v>663</v>
      </c>
      <c r="H220" s="91">
        <f t="shared" si="26"/>
        <v>0</v>
      </c>
    </row>
    <row r="221" spans="1:8">
      <c r="A221" s="49" t="s">
        <v>73</v>
      </c>
      <c r="B221" s="49" t="s">
        <v>251</v>
      </c>
      <c r="C221" s="82"/>
      <c r="D221" s="85">
        <f>E221</f>
        <v>6900</v>
      </c>
      <c r="E221" s="50">
        <v>6900</v>
      </c>
      <c r="F221" s="50">
        <v>6900</v>
      </c>
      <c r="G221" t="s">
        <v>663</v>
      </c>
      <c r="H221" s="91">
        <f t="shared" si="26"/>
        <v>0</v>
      </c>
    </row>
    <row r="222" spans="1:8">
      <c r="A222" s="49" t="s">
        <v>74</v>
      </c>
      <c r="B222" s="49" t="s">
        <v>257</v>
      </c>
      <c r="C222" s="82" t="s">
        <v>257</v>
      </c>
      <c r="D222" s="83">
        <f>E222</f>
        <v>3000</v>
      </c>
      <c r="E222" s="50">
        <v>3000</v>
      </c>
      <c r="F222" s="50">
        <v>3000</v>
      </c>
      <c r="G222" t="s">
        <v>663</v>
      </c>
      <c r="H222" s="91">
        <f t="shared" si="26"/>
        <v>0</v>
      </c>
    </row>
    <row r="223" spans="1:8">
      <c r="A223" s="49" t="s">
        <v>253</v>
      </c>
      <c r="B223" s="49" t="s">
        <v>254</v>
      </c>
      <c r="C223" s="82" t="s">
        <v>771</v>
      </c>
      <c r="D223" s="83">
        <v>2699</v>
      </c>
      <c r="E223" s="50">
        <v>2699</v>
      </c>
      <c r="F223" s="50">
        <v>2699</v>
      </c>
      <c r="G223" t="s">
        <v>663</v>
      </c>
      <c r="H223" s="91">
        <f t="shared" si="26"/>
        <v>0</v>
      </c>
    </row>
    <row r="224" spans="1:8">
      <c r="A224" s="49" t="s">
        <v>83</v>
      </c>
      <c r="B224" s="49" t="s">
        <v>255</v>
      </c>
      <c r="C224" s="82"/>
      <c r="D224" s="85">
        <f>E224</f>
        <v>4800</v>
      </c>
      <c r="E224" s="50">
        <v>4800</v>
      </c>
      <c r="F224" s="50">
        <v>4800</v>
      </c>
      <c r="G224" t="s">
        <v>663</v>
      </c>
      <c r="H224" s="91">
        <f t="shared" si="26"/>
        <v>0</v>
      </c>
    </row>
    <row r="225" spans="1:8">
      <c r="A225" s="49" t="s">
        <v>83</v>
      </c>
      <c r="B225" s="49" t="s">
        <v>256</v>
      </c>
      <c r="C225" s="82" t="s">
        <v>772</v>
      </c>
      <c r="D225" s="83">
        <v>10999</v>
      </c>
      <c r="E225" s="50">
        <v>10999</v>
      </c>
      <c r="F225" s="50">
        <v>10999</v>
      </c>
      <c r="G225" t="s">
        <v>663</v>
      </c>
      <c r="H225" s="91">
        <f t="shared" si="26"/>
        <v>0</v>
      </c>
    </row>
    <row r="226" spans="1:8">
      <c r="A226" s="49" t="s">
        <v>74</v>
      </c>
      <c r="B226" s="49" t="s">
        <v>258</v>
      </c>
      <c r="C226" s="82" t="s">
        <v>257</v>
      </c>
      <c r="D226" s="83">
        <f>E226</f>
        <v>3000</v>
      </c>
      <c r="E226" s="50">
        <v>3000</v>
      </c>
      <c r="F226" s="50">
        <v>3000</v>
      </c>
      <c r="G226" t="s">
        <v>663</v>
      </c>
      <c r="H226" s="91">
        <f t="shared" si="26"/>
        <v>0</v>
      </c>
    </row>
    <row r="227" spans="1:8">
      <c r="A227" s="49" t="s">
        <v>73</v>
      </c>
      <c r="B227" s="49" t="s">
        <v>252</v>
      </c>
      <c r="C227" s="82" t="s">
        <v>773</v>
      </c>
      <c r="D227" s="83">
        <v>24999</v>
      </c>
      <c r="E227" s="50">
        <v>24999</v>
      </c>
      <c r="F227" s="50">
        <v>24999</v>
      </c>
      <c r="G227" t="s">
        <v>663</v>
      </c>
      <c r="H227" s="91">
        <f t="shared" si="26"/>
        <v>0</v>
      </c>
    </row>
    <row r="228" spans="1:8">
      <c r="A228" s="49" t="s">
        <v>67</v>
      </c>
      <c r="B228" s="49" t="s">
        <v>259</v>
      </c>
      <c r="C228" s="82" t="s">
        <v>774</v>
      </c>
      <c r="D228" s="83">
        <v>24499</v>
      </c>
      <c r="E228" s="50">
        <v>24499</v>
      </c>
      <c r="F228" s="50">
        <v>24499</v>
      </c>
      <c r="G228" t="s">
        <v>663</v>
      </c>
      <c r="H228" s="91">
        <f t="shared" si="26"/>
        <v>0</v>
      </c>
    </row>
    <row r="229" spans="1:8">
      <c r="A229" s="49" t="s">
        <v>67</v>
      </c>
      <c r="B229" s="49" t="s">
        <v>260</v>
      </c>
      <c r="C229" s="82" t="s">
        <v>775</v>
      </c>
      <c r="D229" s="83">
        <v>28199</v>
      </c>
      <c r="E229" s="50">
        <v>28199</v>
      </c>
      <c r="F229" s="50">
        <v>28199</v>
      </c>
      <c r="G229" t="s">
        <v>663</v>
      </c>
      <c r="H229" s="91">
        <f t="shared" si="26"/>
        <v>0</v>
      </c>
    </row>
    <row r="230" spans="1:8">
      <c r="A230" s="49" t="s">
        <v>67</v>
      </c>
      <c r="B230" s="49" t="s">
        <v>261</v>
      </c>
      <c r="C230" s="82" t="s">
        <v>776</v>
      </c>
      <c r="D230" s="83">
        <f>E230</f>
        <v>32999</v>
      </c>
      <c r="E230" s="50">
        <v>32999</v>
      </c>
      <c r="F230" s="50">
        <v>32999</v>
      </c>
      <c r="G230" t="s">
        <v>663</v>
      </c>
      <c r="H230" s="91">
        <f t="shared" si="26"/>
        <v>0</v>
      </c>
    </row>
    <row r="231" spans="1:8">
      <c r="A231" s="49" t="s">
        <v>67</v>
      </c>
      <c r="B231" s="49" t="s">
        <v>262</v>
      </c>
      <c r="C231" s="82" t="s">
        <v>777</v>
      </c>
      <c r="D231" s="83">
        <v>26999</v>
      </c>
      <c r="E231" s="50">
        <v>26999</v>
      </c>
      <c r="F231" s="50">
        <v>26999</v>
      </c>
      <c r="G231" t="s">
        <v>663</v>
      </c>
      <c r="H231" s="91">
        <f t="shared" si="26"/>
        <v>0</v>
      </c>
    </row>
    <row r="232" spans="1:8">
      <c r="A232" s="49" t="s">
        <v>67</v>
      </c>
      <c r="B232" s="49" t="s">
        <v>263</v>
      </c>
      <c r="C232" s="82" t="s">
        <v>778</v>
      </c>
      <c r="D232" s="83">
        <v>30699</v>
      </c>
      <c r="E232" s="50">
        <v>30699</v>
      </c>
      <c r="F232" s="50">
        <v>30699</v>
      </c>
      <c r="G232" t="s">
        <v>663</v>
      </c>
      <c r="H232" s="91">
        <f t="shared" si="26"/>
        <v>0</v>
      </c>
    </row>
    <row r="233" spans="1:8">
      <c r="A233" s="49" t="s">
        <v>67</v>
      </c>
      <c r="B233" s="49" t="s">
        <v>264</v>
      </c>
      <c r="C233" s="82" t="s">
        <v>779</v>
      </c>
      <c r="D233" s="83">
        <f>E233</f>
        <v>35499</v>
      </c>
      <c r="E233" s="50">
        <v>35499</v>
      </c>
      <c r="F233" s="50">
        <v>35499</v>
      </c>
      <c r="G233" t="s">
        <v>663</v>
      </c>
      <c r="H233" s="91">
        <f t="shared" si="26"/>
        <v>0</v>
      </c>
    </row>
    <row r="234" spans="1:8">
      <c r="A234" s="49" t="s">
        <v>74</v>
      </c>
      <c r="B234" s="49" t="s">
        <v>265</v>
      </c>
      <c r="C234" s="82" t="s">
        <v>692</v>
      </c>
      <c r="D234" s="83">
        <v>7999</v>
      </c>
      <c r="E234" s="50">
        <v>7999</v>
      </c>
      <c r="F234" s="50">
        <v>7999</v>
      </c>
      <c r="G234" t="s">
        <v>663</v>
      </c>
      <c r="H234" s="91">
        <f t="shared" si="26"/>
        <v>0</v>
      </c>
    </row>
    <row r="235" spans="1:8">
      <c r="A235" s="49" t="s">
        <v>83</v>
      </c>
      <c r="B235" s="49" t="s">
        <v>266</v>
      </c>
      <c r="C235" s="82" t="s">
        <v>780</v>
      </c>
      <c r="D235" s="83">
        <v>7199</v>
      </c>
      <c r="E235" s="50">
        <v>7199</v>
      </c>
      <c r="F235" s="50">
        <v>7199</v>
      </c>
      <c r="G235" t="s">
        <v>663</v>
      </c>
      <c r="H235" s="91">
        <f t="shared" si="26"/>
        <v>0</v>
      </c>
    </row>
    <row r="236" spans="1:8">
      <c r="A236" s="49" t="s">
        <v>73</v>
      </c>
      <c r="B236" s="49" t="s">
        <v>267</v>
      </c>
      <c r="C236" s="82" t="s">
        <v>781</v>
      </c>
      <c r="D236" s="83">
        <v>5299</v>
      </c>
      <c r="E236" s="50">
        <v>5299</v>
      </c>
      <c r="F236" s="50">
        <v>5299</v>
      </c>
      <c r="G236" t="s">
        <v>663</v>
      </c>
      <c r="H236" s="91">
        <f t="shared" si="26"/>
        <v>0</v>
      </c>
    </row>
    <row r="237" spans="1:8">
      <c r="A237" s="49" t="s">
        <v>67</v>
      </c>
      <c r="B237" s="49" t="s">
        <v>268</v>
      </c>
      <c r="C237" s="82" t="s">
        <v>782</v>
      </c>
      <c r="D237" s="83">
        <v>22199</v>
      </c>
      <c r="E237" s="50">
        <v>22199</v>
      </c>
      <c r="F237" s="50">
        <v>22199</v>
      </c>
      <c r="G237" t="s">
        <v>663</v>
      </c>
      <c r="H237" s="91">
        <f t="shared" si="26"/>
        <v>0</v>
      </c>
    </row>
    <row r="238" spans="1:8">
      <c r="A238" s="49" t="s">
        <v>67</v>
      </c>
      <c r="B238" s="49" t="s">
        <v>269</v>
      </c>
      <c r="C238" s="82" t="s">
        <v>783</v>
      </c>
      <c r="D238" s="83">
        <v>19699</v>
      </c>
      <c r="E238" s="50">
        <v>19699</v>
      </c>
      <c r="F238" s="50">
        <v>19699</v>
      </c>
      <c r="G238" t="s">
        <v>663</v>
      </c>
      <c r="H238" s="91">
        <f t="shared" si="26"/>
        <v>0</v>
      </c>
    </row>
    <row r="239" spans="1:8">
      <c r="A239" s="49" t="s">
        <v>67</v>
      </c>
      <c r="B239" s="49" t="s">
        <v>270</v>
      </c>
      <c r="C239" s="82" t="s">
        <v>784</v>
      </c>
      <c r="D239" s="83">
        <v>18499</v>
      </c>
      <c r="E239" s="50">
        <v>18499</v>
      </c>
      <c r="F239" s="50">
        <v>18499</v>
      </c>
      <c r="G239" t="s">
        <v>663</v>
      </c>
      <c r="H239" s="91">
        <f t="shared" si="26"/>
        <v>0</v>
      </c>
    </row>
    <row r="240" spans="1:8">
      <c r="A240" s="49" t="s">
        <v>253</v>
      </c>
      <c r="B240" s="49" t="s">
        <v>272</v>
      </c>
      <c r="C240" s="82"/>
      <c r="D240" s="85">
        <f>E240</f>
        <v>15999</v>
      </c>
      <c r="E240" s="50">
        <v>15999</v>
      </c>
      <c r="F240" s="50">
        <v>15999</v>
      </c>
      <c r="G240" t="s">
        <v>663</v>
      </c>
      <c r="H240" s="91">
        <f t="shared" si="26"/>
        <v>0</v>
      </c>
    </row>
    <row r="241" spans="1:8">
      <c r="A241" s="49" t="s">
        <v>271</v>
      </c>
      <c r="B241" s="49" t="s">
        <v>273</v>
      </c>
      <c r="C241" s="82" t="s">
        <v>785</v>
      </c>
      <c r="D241" s="83">
        <v>1899</v>
      </c>
      <c r="E241" s="50">
        <v>1899</v>
      </c>
      <c r="F241" s="50">
        <v>1899</v>
      </c>
      <c r="G241" t="s">
        <v>663</v>
      </c>
      <c r="H241" s="91">
        <f t="shared" si="26"/>
        <v>0</v>
      </c>
    </row>
    <row r="242" spans="1:8">
      <c r="A242" s="49" t="s">
        <v>73</v>
      </c>
      <c r="B242" s="49" t="s">
        <v>274</v>
      </c>
      <c r="C242" s="82" t="s">
        <v>786</v>
      </c>
      <c r="D242" s="83">
        <v>4699</v>
      </c>
      <c r="E242" s="50">
        <v>4699</v>
      </c>
      <c r="F242" s="50">
        <v>4699</v>
      </c>
      <c r="G242" t="s">
        <v>663</v>
      </c>
      <c r="H242" s="91">
        <f t="shared" si="26"/>
        <v>0</v>
      </c>
    </row>
    <row r="243" spans="1:8">
      <c r="A243" s="49" t="s">
        <v>73</v>
      </c>
      <c r="B243" s="49" t="s">
        <v>275</v>
      </c>
      <c r="C243" s="82" t="s">
        <v>787</v>
      </c>
      <c r="D243" s="83">
        <v>7999</v>
      </c>
      <c r="E243" s="50">
        <v>7999</v>
      </c>
      <c r="F243" s="50">
        <v>7999</v>
      </c>
      <c r="G243" t="s">
        <v>663</v>
      </c>
      <c r="H243" s="91">
        <f t="shared" si="26"/>
        <v>0</v>
      </c>
    </row>
    <row r="244" spans="1:8">
      <c r="A244" s="49" t="s">
        <v>271</v>
      </c>
      <c r="B244" s="49" t="s">
        <v>276</v>
      </c>
      <c r="C244" s="82" t="s">
        <v>788</v>
      </c>
      <c r="D244" s="83">
        <v>2799</v>
      </c>
      <c r="E244" s="48">
        <v>2799</v>
      </c>
      <c r="F244" s="48">
        <v>2799</v>
      </c>
      <c r="G244" t="s">
        <v>663</v>
      </c>
      <c r="H244" s="91">
        <f t="shared" si="26"/>
        <v>0</v>
      </c>
    </row>
    <row r="245" spans="1:8">
      <c r="A245" s="49" t="s">
        <v>253</v>
      </c>
      <c r="B245" s="49" t="s">
        <v>277</v>
      </c>
      <c r="C245" s="82"/>
      <c r="D245" s="85">
        <f t="shared" ref="D245:D246" si="28">E245</f>
        <v>5999</v>
      </c>
      <c r="E245" s="48">
        <v>5999</v>
      </c>
      <c r="F245" s="48">
        <v>5999</v>
      </c>
      <c r="G245" t="s">
        <v>663</v>
      </c>
      <c r="H245" s="91">
        <f t="shared" si="26"/>
        <v>0</v>
      </c>
    </row>
    <row r="246" spans="1:8">
      <c r="A246" s="49" t="s">
        <v>253</v>
      </c>
      <c r="B246" s="49" t="s">
        <v>278</v>
      </c>
      <c r="C246" s="82"/>
      <c r="D246" s="85">
        <f t="shared" si="28"/>
        <v>20999</v>
      </c>
      <c r="E246" s="48">
        <v>20999</v>
      </c>
      <c r="F246" s="48">
        <v>20999</v>
      </c>
      <c r="G246" t="s">
        <v>663</v>
      </c>
      <c r="H246" s="91">
        <f t="shared" si="26"/>
        <v>0</v>
      </c>
    </row>
    <row r="247" spans="1:8">
      <c r="A247" s="49" t="s">
        <v>73</v>
      </c>
      <c r="B247" s="49" t="s">
        <v>279</v>
      </c>
      <c r="C247" s="82" t="s">
        <v>789</v>
      </c>
      <c r="D247" s="83">
        <v>3329</v>
      </c>
      <c r="E247" s="48">
        <v>3329</v>
      </c>
      <c r="F247" s="48">
        <v>3329</v>
      </c>
      <c r="G247" t="s">
        <v>663</v>
      </c>
      <c r="H247" s="91">
        <f t="shared" si="26"/>
        <v>0</v>
      </c>
    </row>
    <row r="248" spans="1:8">
      <c r="A248" s="49" t="s">
        <v>74</v>
      </c>
      <c r="B248" s="49" t="s">
        <v>280</v>
      </c>
      <c r="C248" s="82" t="s">
        <v>790</v>
      </c>
      <c r="D248" s="83">
        <v>5599</v>
      </c>
      <c r="E248" s="48">
        <v>5599</v>
      </c>
      <c r="F248" s="48">
        <v>5599</v>
      </c>
      <c r="G248" t="s">
        <v>663</v>
      </c>
      <c r="H248" s="91">
        <f t="shared" si="26"/>
        <v>0</v>
      </c>
    </row>
    <row r="249" spans="1:8">
      <c r="A249" s="49" t="s">
        <v>74</v>
      </c>
      <c r="B249" s="49" t="s">
        <v>281</v>
      </c>
      <c r="C249" s="82" t="s">
        <v>791</v>
      </c>
      <c r="D249" s="83">
        <v>7599</v>
      </c>
      <c r="E249" s="48">
        <v>7599</v>
      </c>
      <c r="F249" s="48">
        <v>7599</v>
      </c>
      <c r="G249" t="s">
        <v>663</v>
      </c>
      <c r="H249" s="91">
        <f t="shared" si="26"/>
        <v>0</v>
      </c>
    </row>
    <row r="250" spans="1:8">
      <c r="A250" s="49" t="s">
        <v>83</v>
      </c>
      <c r="B250" s="49" t="s">
        <v>282</v>
      </c>
      <c r="C250" s="82" t="s">
        <v>792</v>
      </c>
      <c r="D250" s="83">
        <v>4799</v>
      </c>
      <c r="E250" s="50">
        <v>4799</v>
      </c>
      <c r="F250" s="50">
        <v>4799</v>
      </c>
      <c r="G250" t="s">
        <v>663</v>
      </c>
      <c r="H250" s="91">
        <f t="shared" si="26"/>
        <v>0</v>
      </c>
    </row>
    <row r="251" spans="1:8">
      <c r="A251" s="49" t="s">
        <v>283</v>
      </c>
      <c r="B251" s="49" t="s">
        <v>284</v>
      </c>
      <c r="C251" s="82" t="s">
        <v>793</v>
      </c>
      <c r="D251" s="83">
        <v>2499</v>
      </c>
      <c r="E251" s="48">
        <v>2499</v>
      </c>
      <c r="F251" s="48">
        <v>2499</v>
      </c>
      <c r="G251" t="s">
        <v>663</v>
      </c>
      <c r="H251" s="91">
        <f t="shared" si="26"/>
        <v>0</v>
      </c>
    </row>
    <row r="252" spans="1:8">
      <c r="A252" s="49" t="s">
        <v>73</v>
      </c>
      <c r="B252" s="49" t="s">
        <v>285</v>
      </c>
      <c r="C252" s="82" t="s">
        <v>794</v>
      </c>
      <c r="D252" s="83">
        <v>21499</v>
      </c>
      <c r="E252" s="48">
        <v>15999</v>
      </c>
      <c r="F252" s="48">
        <v>15999</v>
      </c>
      <c r="G252" s="66">
        <v>44336</v>
      </c>
      <c r="H252" s="91">
        <f t="shared" si="26"/>
        <v>5500</v>
      </c>
    </row>
    <row r="253" spans="1:8">
      <c r="A253" s="49" t="s">
        <v>73</v>
      </c>
      <c r="B253" s="49" t="s">
        <v>286</v>
      </c>
      <c r="C253" s="82" t="s">
        <v>795</v>
      </c>
      <c r="D253" s="83">
        <v>21499</v>
      </c>
      <c r="E253" s="48">
        <v>21499</v>
      </c>
      <c r="F253" s="48">
        <v>21499</v>
      </c>
      <c r="G253" t="s">
        <v>663</v>
      </c>
      <c r="H253" s="91">
        <f t="shared" si="26"/>
        <v>0</v>
      </c>
    </row>
    <row r="254" spans="1:8">
      <c r="A254" s="49" t="s">
        <v>73</v>
      </c>
      <c r="B254" s="49" t="s">
        <v>287</v>
      </c>
      <c r="C254" s="82"/>
      <c r="D254" s="85">
        <f t="shared" ref="D254:D255" si="29">E254</f>
        <v>23999</v>
      </c>
      <c r="E254" s="48">
        <v>23999</v>
      </c>
      <c r="F254" s="48">
        <v>23999</v>
      </c>
      <c r="G254" t="s">
        <v>663</v>
      </c>
      <c r="H254" s="91">
        <f t="shared" si="26"/>
        <v>0</v>
      </c>
    </row>
    <row r="255" spans="1:8">
      <c r="A255" s="49" t="s">
        <v>73</v>
      </c>
      <c r="B255" s="49" t="s">
        <v>288</v>
      </c>
      <c r="C255" s="82"/>
      <c r="D255" s="85">
        <f t="shared" si="29"/>
        <v>29999</v>
      </c>
      <c r="E255" s="48">
        <v>29999</v>
      </c>
      <c r="F255" s="48">
        <v>29999</v>
      </c>
      <c r="G255" t="s">
        <v>663</v>
      </c>
      <c r="H255" s="91">
        <f t="shared" si="26"/>
        <v>0</v>
      </c>
    </row>
    <row r="256" spans="1:8">
      <c r="A256" s="49" t="s">
        <v>73</v>
      </c>
      <c r="B256" s="49" t="s">
        <v>289</v>
      </c>
      <c r="C256" s="82" t="s">
        <v>796</v>
      </c>
      <c r="D256" s="83">
        <v>5499</v>
      </c>
      <c r="E256" s="48">
        <v>5499</v>
      </c>
      <c r="F256" s="48">
        <v>5499</v>
      </c>
      <c r="G256" t="s">
        <v>663</v>
      </c>
      <c r="H256" s="91">
        <f t="shared" si="26"/>
        <v>0</v>
      </c>
    </row>
    <row r="257" spans="1:8">
      <c r="A257" s="49" t="s">
        <v>73</v>
      </c>
      <c r="B257" s="49" t="s">
        <v>290</v>
      </c>
      <c r="C257" s="82" t="s">
        <v>797</v>
      </c>
      <c r="D257" s="83">
        <v>7999</v>
      </c>
      <c r="E257" s="48">
        <v>7999</v>
      </c>
      <c r="F257" s="48">
        <v>7999</v>
      </c>
      <c r="G257" t="s">
        <v>663</v>
      </c>
      <c r="H257" s="91">
        <f t="shared" si="26"/>
        <v>0</v>
      </c>
    </row>
    <row r="258" spans="1:8">
      <c r="A258" s="49" t="s">
        <v>283</v>
      </c>
      <c r="B258" s="49" t="s">
        <v>291</v>
      </c>
      <c r="C258" s="82" t="s">
        <v>798</v>
      </c>
      <c r="D258" s="83">
        <v>3999</v>
      </c>
      <c r="E258" s="48">
        <v>3999</v>
      </c>
      <c r="F258" s="48">
        <v>3999</v>
      </c>
      <c r="G258" t="s">
        <v>663</v>
      </c>
      <c r="H258" s="91">
        <f t="shared" si="26"/>
        <v>0</v>
      </c>
    </row>
    <row r="259" spans="1:8">
      <c r="A259" s="49" t="s">
        <v>283</v>
      </c>
      <c r="B259" s="49" t="s">
        <v>292</v>
      </c>
      <c r="C259" s="82" t="s">
        <v>799</v>
      </c>
      <c r="D259" s="83">
        <v>1599</v>
      </c>
      <c r="E259" s="48">
        <v>1599</v>
      </c>
      <c r="F259" s="48">
        <v>1599</v>
      </c>
      <c r="G259" t="s">
        <v>663</v>
      </c>
      <c r="H259" s="91">
        <f t="shared" ref="H259:H322" si="30">D259-E259</f>
        <v>0</v>
      </c>
    </row>
    <row r="260" spans="1:8">
      <c r="A260" s="49" t="s">
        <v>283</v>
      </c>
      <c r="B260" s="49" t="s">
        <v>293</v>
      </c>
      <c r="C260" s="82" t="s">
        <v>800</v>
      </c>
      <c r="D260" s="83">
        <v>1199</v>
      </c>
      <c r="E260" s="48">
        <v>1199</v>
      </c>
      <c r="F260" s="48">
        <v>1199</v>
      </c>
      <c r="G260" t="s">
        <v>663</v>
      </c>
      <c r="H260" s="91">
        <f t="shared" si="30"/>
        <v>0</v>
      </c>
    </row>
    <row r="261" spans="1:8">
      <c r="A261" s="49" t="s">
        <v>253</v>
      </c>
      <c r="B261" s="49" t="s">
        <v>294</v>
      </c>
      <c r="C261" s="82" t="s">
        <v>801</v>
      </c>
      <c r="D261" s="83">
        <v>15949</v>
      </c>
      <c r="E261" s="48">
        <v>15949</v>
      </c>
      <c r="F261" s="48">
        <v>15949</v>
      </c>
      <c r="G261" t="s">
        <v>663</v>
      </c>
      <c r="H261" s="91">
        <f t="shared" si="30"/>
        <v>0</v>
      </c>
    </row>
    <row r="262" spans="1:8">
      <c r="A262" s="49" t="s">
        <v>253</v>
      </c>
      <c r="B262" s="49" t="s">
        <v>295</v>
      </c>
      <c r="C262" s="82" t="s">
        <v>802</v>
      </c>
      <c r="D262" s="83">
        <v>7499</v>
      </c>
      <c r="E262" s="48">
        <v>6599</v>
      </c>
      <c r="F262" s="48">
        <v>6599</v>
      </c>
      <c r="G262" s="66">
        <v>44318</v>
      </c>
      <c r="H262" s="91">
        <f t="shared" si="30"/>
        <v>900</v>
      </c>
    </row>
    <row r="263" spans="1:8">
      <c r="A263" s="49" t="s">
        <v>253</v>
      </c>
      <c r="B263" s="49" t="s">
        <v>296</v>
      </c>
      <c r="C263" s="82" t="s">
        <v>803</v>
      </c>
      <c r="D263" s="83">
        <f>E263</f>
        <v>22499</v>
      </c>
      <c r="E263" s="48">
        <v>22499</v>
      </c>
      <c r="F263" s="48">
        <v>22499</v>
      </c>
      <c r="G263" t="s">
        <v>663</v>
      </c>
      <c r="H263" s="91">
        <f t="shared" si="30"/>
        <v>0</v>
      </c>
    </row>
    <row r="264" spans="1:8">
      <c r="A264" s="49" t="s">
        <v>73</v>
      </c>
      <c r="B264" s="49" t="s">
        <v>297</v>
      </c>
      <c r="C264" s="82" t="s">
        <v>804</v>
      </c>
      <c r="D264" s="83">
        <v>3499</v>
      </c>
      <c r="E264" s="48">
        <v>3499</v>
      </c>
      <c r="F264" s="48">
        <v>3499</v>
      </c>
      <c r="G264" t="s">
        <v>663</v>
      </c>
      <c r="H264" s="91">
        <f t="shared" si="30"/>
        <v>0</v>
      </c>
    </row>
    <row r="265" spans="1:8">
      <c r="A265" s="49" t="s">
        <v>73</v>
      </c>
      <c r="B265" s="49" t="s">
        <v>298</v>
      </c>
      <c r="C265" s="82"/>
      <c r="D265" s="85">
        <f t="shared" ref="D265:D267" si="31">E265</f>
        <v>4499</v>
      </c>
      <c r="E265" s="48">
        <v>4499</v>
      </c>
      <c r="F265" s="48">
        <v>4499</v>
      </c>
      <c r="G265" t="s">
        <v>663</v>
      </c>
      <c r="H265" s="91">
        <f t="shared" si="30"/>
        <v>0</v>
      </c>
    </row>
    <row r="266" spans="1:8">
      <c r="A266" s="49" t="s">
        <v>299</v>
      </c>
      <c r="B266" s="49" t="s">
        <v>300</v>
      </c>
      <c r="C266" s="82"/>
      <c r="D266" s="85">
        <f t="shared" si="31"/>
        <v>1999</v>
      </c>
      <c r="E266" s="48">
        <v>1999</v>
      </c>
      <c r="F266" s="48">
        <v>1999</v>
      </c>
      <c r="G266" t="s">
        <v>663</v>
      </c>
      <c r="H266" s="91">
        <f t="shared" si="30"/>
        <v>0</v>
      </c>
    </row>
    <row r="267" spans="1:8">
      <c r="A267" s="49" t="s">
        <v>299</v>
      </c>
      <c r="B267" s="49" t="s">
        <v>580</v>
      </c>
      <c r="C267" s="82"/>
      <c r="D267" s="85">
        <f t="shared" si="31"/>
        <v>1999</v>
      </c>
      <c r="E267" s="48">
        <v>1999</v>
      </c>
      <c r="F267" s="48">
        <v>1999</v>
      </c>
      <c r="G267" t="s">
        <v>663</v>
      </c>
      <c r="H267" s="91">
        <f t="shared" si="30"/>
        <v>0</v>
      </c>
    </row>
    <row r="268" spans="1:8">
      <c r="A268" s="49" t="s">
        <v>74</v>
      </c>
      <c r="B268" s="49" t="s">
        <v>302</v>
      </c>
      <c r="C268" s="82" t="s">
        <v>805</v>
      </c>
      <c r="D268" s="83">
        <v>9999</v>
      </c>
      <c r="E268" s="48">
        <v>9999</v>
      </c>
      <c r="F268" s="48">
        <v>9999</v>
      </c>
      <c r="G268" t="s">
        <v>663</v>
      </c>
      <c r="H268" s="91">
        <f t="shared" si="30"/>
        <v>0</v>
      </c>
    </row>
    <row r="269" spans="1:8">
      <c r="A269" s="49" t="s">
        <v>303</v>
      </c>
      <c r="B269" s="49" t="s">
        <v>304</v>
      </c>
      <c r="C269" s="82"/>
      <c r="D269" s="85">
        <f>E269</f>
        <v>9999</v>
      </c>
      <c r="E269" s="48">
        <v>9999</v>
      </c>
      <c r="F269" s="48">
        <v>9999</v>
      </c>
      <c r="G269" t="s">
        <v>663</v>
      </c>
      <c r="H269" s="91">
        <f t="shared" si="30"/>
        <v>0</v>
      </c>
    </row>
    <row r="270" spans="1:8">
      <c r="A270" s="49" t="s">
        <v>74</v>
      </c>
      <c r="B270" s="49" t="s">
        <v>305</v>
      </c>
      <c r="C270" s="82" t="s">
        <v>806</v>
      </c>
      <c r="D270" s="83">
        <v>3999</v>
      </c>
      <c r="E270" s="48">
        <v>3999</v>
      </c>
      <c r="F270" s="48">
        <v>3999</v>
      </c>
      <c r="G270" t="s">
        <v>663</v>
      </c>
      <c r="H270" s="91">
        <f t="shared" si="30"/>
        <v>0</v>
      </c>
    </row>
    <row r="271" spans="1:8">
      <c r="A271" s="49" t="s">
        <v>83</v>
      </c>
      <c r="B271" s="49" t="s">
        <v>306</v>
      </c>
      <c r="C271" s="82" t="s">
        <v>807</v>
      </c>
      <c r="D271" s="83">
        <v>2199</v>
      </c>
      <c r="E271" s="48">
        <v>2199</v>
      </c>
      <c r="F271" s="48">
        <v>2199</v>
      </c>
      <c r="G271" t="s">
        <v>663</v>
      </c>
      <c r="H271" s="91">
        <f t="shared" si="30"/>
        <v>0</v>
      </c>
    </row>
    <row r="272" spans="1:8">
      <c r="A272" s="49" t="s">
        <v>73</v>
      </c>
      <c r="B272" s="49" t="s">
        <v>307</v>
      </c>
      <c r="C272" s="82" t="s">
        <v>808</v>
      </c>
      <c r="D272" s="83">
        <v>16999</v>
      </c>
      <c r="E272" s="48">
        <v>16999</v>
      </c>
      <c r="F272" s="48">
        <v>16999</v>
      </c>
      <c r="G272" t="s">
        <v>663</v>
      </c>
      <c r="H272" s="91">
        <f t="shared" si="30"/>
        <v>0</v>
      </c>
    </row>
    <row r="273" spans="1:8">
      <c r="A273" s="49" t="s">
        <v>165</v>
      </c>
      <c r="B273" s="49" t="s">
        <v>308</v>
      </c>
      <c r="C273" s="82" t="s">
        <v>809</v>
      </c>
      <c r="D273" s="83">
        <v>2999</v>
      </c>
      <c r="E273" s="48">
        <v>2999</v>
      </c>
      <c r="F273" s="48">
        <v>2999</v>
      </c>
      <c r="G273" t="s">
        <v>663</v>
      </c>
      <c r="H273" s="91">
        <f t="shared" si="30"/>
        <v>0</v>
      </c>
    </row>
    <row r="274" spans="1:8">
      <c r="A274" s="49" t="s">
        <v>165</v>
      </c>
      <c r="B274" s="49" t="s">
        <v>309</v>
      </c>
      <c r="C274" s="82" t="s">
        <v>810</v>
      </c>
      <c r="D274" s="83">
        <v>3499</v>
      </c>
      <c r="E274" s="48">
        <v>3499</v>
      </c>
      <c r="F274" s="48">
        <v>3499</v>
      </c>
      <c r="G274" t="s">
        <v>663</v>
      </c>
      <c r="H274" s="91">
        <f t="shared" si="30"/>
        <v>0</v>
      </c>
    </row>
    <row r="275" spans="1:8">
      <c r="A275" s="49" t="s">
        <v>165</v>
      </c>
      <c r="B275" s="49" t="s">
        <v>310</v>
      </c>
      <c r="C275" s="82" t="s">
        <v>811</v>
      </c>
      <c r="D275" s="83">
        <v>5999</v>
      </c>
      <c r="E275" s="48">
        <v>5999</v>
      </c>
      <c r="F275" s="48">
        <v>5999</v>
      </c>
      <c r="G275" t="s">
        <v>663</v>
      </c>
      <c r="H275" s="91">
        <f t="shared" si="30"/>
        <v>0</v>
      </c>
    </row>
    <row r="276" spans="1:8">
      <c r="A276" s="49" t="s">
        <v>303</v>
      </c>
      <c r="B276" s="49" t="s">
        <v>311</v>
      </c>
      <c r="C276" s="82" t="s">
        <v>812</v>
      </c>
      <c r="D276" s="83">
        <v>7499</v>
      </c>
      <c r="E276" s="48">
        <v>7499</v>
      </c>
      <c r="F276" s="48">
        <v>7499</v>
      </c>
      <c r="G276" t="s">
        <v>663</v>
      </c>
      <c r="H276" s="91">
        <f t="shared" si="30"/>
        <v>0</v>
      </c>
    </row>
    <row r="277" spans="1:8">
      <c r="A277" s="49" t="s">
        <v>74</v>
      </c>
      <c r="B277" s="49" t="s">
        <v>312</v>
      </c>
      <c r="C277" s="82"/>
      <c r="D277" s="85">
        <f t="shared" ref="D277:D278" si="32">E277</f>
        <v>10999</v>
      </c>
      <c r="E277" s="48">
        <v>10999</v>
      </c>
      <c r="F277" s="48">
        <v>10999</v>
      </c>
      <c r="G277" t="s">
        <v>663</v>
      </c>
      <c r="H277" s="91">
        <f t="shared" si="30"/>
        <v>0</v>
      </c>
    </row>
    <row r="278" spans="1:8">
      <c r="A278" s="49" t="s">
        <v>73</v>
      </c>
      <c r="B278" s="51" t="s">
        <v>313</v>
      </c>
      <c r="C278" s="82"/>
      <c r="D278" s="86">
        <f t="shared" si="32"/>
        <v>22999</v>
      </c>
      <c r="E278" s="48">
        <v>22999</v>
      </c>
      <c r="F278" s="48">
        <v>22999</v>
      </c>
      <c r="G278" t="s">
        <v>663</v>
      </c>
      <c r="H278" s="91">
        <f t="shared" si="30"/>
        <v>0</v>
      </c>
    </row>
    <row r="279" spans="1:8">
      <c r="A279" s="49" t="s">
        <v>73</v>
      </c>
      <c r="B279" s="51" t="s">
        <v>314</v>
      </c>
      <c r="C279" s="82" t="s">
        <v>813</v>
      </c>
      <c r="D279" s="83">
        <v>27999</v>
      </c>
      <c r="E279" s="48">
        <v>27999</v>
      </c>
      <c r="F279" s="48">
        <v>27999</v>
      </c>
      <c r="G279" t="s">
        <v>663</v>
      </c>
      <c r="H279" s="91">
        <f t="shared" si="30"/>
        <v>0</v>
      </c>
    </row>
    <row r="280" spans="1:8">
      <c r="A280" s="49" t="s">
        <v>74</v>
      </c>
      <c r="B280" s="49" t="s">
        <v>315</v>
      </c>
      <c r="C280" s="82" t="s">
        <v>814</v>
      </c>
      <c r="D280" s="83">
        <v>3699</v>
      </c>
      <c r="E280" s="48">
        <v>3699</v>
      </c>
      <c r="F280" s="48">
        <v>3699</v>
      </c>
      <c r="G280" t="s">
        <v>663</v>
      </c>
      <c r="H280" s="91">
        <f t="shared" si="30"/>
        <v>0</v>
      </c>
    </row>
    <row r="281" spans="1:8">
      <c r="A281" s="49" t="s">
        <v>67</v>
      </c>
      <c r="B281" s="49" t="s">
        <v>316</v>
      </c>
      <c r="C281" s="82" t="s">
        <v>1025</v>
      </c>
      <c r="D281" s="83">
        <v>17499</v>
      </c>
      <c r="E281" s="48">
        <v>12999</v>
      </c>
      <c r="F281" s="48">
        <v>12999</v>
      </c>
      <c r="G281" s="66">
        <v>44400</v>
      </c>
      <c r="H281" s="91">
        <f t="shared" si="30"/>
        <v>4500</v>
      </c>
    </row>
    <row r="282" spans="1:8">
      <c r="A282" s="49" t="s">
        <v>67</v>
      </c>
      <c r="B282" s="49" t="s">
        <v>317</v>
      </c>
      <c r="C282" s="82" t="s">
        <v>1026</v>
      </c>
      <c r="D282" s="83">
        <v>18499</v>
      </c>
      <c r="E282" s="48">
        <v>18499</v>
      </c>
      <c r="F282" s="48">
        <v>18499</v>
      </c>
      <c r="G282" t="s">
        <v>663</v>
      </c>
      <c r="H282" s="91">
        <f t="shared" si="30"/>
        <v>0</v>
      </c>
    </row>
    <row r="283" spans="1:8">
      <c r="A283" s="49" t="s">
        <v>67</v>
      </c>
      <c r="B283" s="49" t="s">
        <v>318</v>
      </c>
      <c r="C283" s="82" t="s">
        <v>1027</v>
      </c>
      <c r="D283" s="83">
        <v>20999</v>
      </c>
      <c r="E283" s="48">
        <v>20999</v>
      </c>
      <c r="F283" s="48">
        <v>20999</v>
      </c>
      <c r="G283" t="s">
        <v>663</v>
      </c>
      <c r="H283" s="91">
        <f t="shared" si="30"/>
        <v>0</v>
      </c>
    </row>
    <row r="284" spans="1:8">
      <c r="A284" s="49" t="s">
        <v>67</v>
      </c>
      <c r="B284" s="49" t="s">
        <v>319</v>
      </c>
      <c r="C284" s="82" t="s">
        <v>1028</v>
      </c>
      <c r="D284" s="83">
        <f>E284</f>
        <v>27360</v>
      </c>
      <c r="E284" s="48">
        <v>27360</v>
      </c>
      <c r="F284" s="48">
        <v>27360</v>
      </c>
      <c r="G284" t="s">
        <v>663</v>
      </c>
      <c r="H284" s="91">
        <f t="shared" si="30"/>
        <v>0</v>
      </c>
    </row>
    <row r="285" spans="1:8">
      <c r="A285" s="49" t="s">
        <v>67</v>
      </c>
      <c r="B285" s="49" t="s">
        <v>320</v>
      </c>
      <c r="C285" s="82" t="s">
        <v>1029</v>
      </c>
      <c r="D285" s="83">
        <v>28499</v>
      </c>
      <c r="E285" s="48">
        <v>28499</v>
      </c>
      <c r="F285" s="48">
        <v>28499</v>
      </c>
      <c r="G285" t="s">
        <v>663</v>
      </c>
      <c r="H285" s="91">
        <f t="shared" si="30"/>
        <v>0</v>
      </c>
    </row>
    <row r="286" spans="1:8">
      <c r="A286" s="49" t="s">
        <v>67</v>
      </c>
      <c r="B286" s="49" t="s">
        <v>321</v>
      </c>
      <c r="C286" s="82" t="s">
        <v>1030</v>
      </c>
      <c r="D286" s="83">
        <v>33499</v>
      </c>
      <c r="E286" s="48">
        <v>33499</v>
      </c>
      <c r="F286" s="48">
        <v>33499</v>
      </c>
      <c r="G286" t="s">
        <v>663</v>
      </c>
      <c r="H286" s="91">
        <f t="shared" si="30"/>
        <v>0</v>
      </c>
    </row>
    <row r="287" spans="1:8">
      <c r="A287" s="49" t="s">
        <v>67</v>
      </c>
      <c r="B287" s="49" t="s">
        <v>322</v>
      </c>
      <c r="C287" s="82" t="s">
        <v>1031</v>
      </c>
      <c r="D287" s="83">
        <v>27499</v>
      </c>
      <c r="E287" s="48">
        <v>27499</v>
      </c>
      <c r="F287" s="48">
        <v>27499</v>
      </c>
      <c r="G287" t="s">
        <v>663</v>
      </c>
      <c r="H287" s="91">
        <f t="shared" si="30"/>
        <v>0</v>
      </c>
    </row>
    <row r="288" spans="1:8">
      <c r="A288" s="49" t="s">
        <v>67</v>
      </c>
      <c r="B288" s="49" t="s">
        <v>323</v>
      </c>
      <c r="C288" s="82" t="s">
        <v>1032</v>
      </c>
      <c r="D288" s="83">
        <v>30999</v>
      </c>
      <c r="E288" s="48">
        <v>30999</v>
      </c>
      <c r="F288" s="48">
        <v>30999</v>
      </c>
      <c r="G288" t="s">
        <v>663</v>
      </c>
      <c r="H288" s="91">
        <f t="shared" si="30"/>
        <v>0</v>
      </c>
    </row>
    <row r="289" spans="1:8">
      <c r="A289" s="49" t="s">
        <v>67</v>
      </c>
      <c r="B289" s="49" t="s">
        <v>324</v>
      </c>
      <c r="C289" s="82" t="s">
        <v>1033</v>
      </c>
      <c r="D289" s="83">
        <v>35999</v>
      </c>
      <c r="E289" s="48">
        <v>35999</v>
      </c>
      <c r="F289" s="48">
        <v>35999</v>
      </c>
      <c r="G289" t="s">
        <v>663</v>
      </c>
      <c r="H289" s="91">
        <f t="shared" si="30"/>
        <v>0</v>
      </c>
    </row>
    <row r="290" spans="1:8">
      <c r="A290" s="49" t="s">
        <v>73</v>
      </c>
      <c r="B290" s="49" t="s">
        <v>325</v>
      </c>
      <c r="C290" s="82" t="s">
        <v>815</v>
      </c>
      <c r="D290" s="83">
        <v>4139</v>
      </c>
      <c r="E290" s="48">
        <v>4139</v>
      </c>
      <c r="F290" s="48">
        <v>4139</v>
      </c>
      <c r="G290" t="s">
        <v>663</v>
      </c>
      <c r="H290" s="91">
        <f t="shared" si="30"/>
        <v>0</v>
      </c>
    </row>
    <row r="291" spans="1:8">
      <c r="A291" s="49" t="s">
        <v>73</v>
      </c>
      <c r="B291" s="49" t="s">
        <v>326</v>
      </c>
      <c r="C291" s="82" t="s">
        <v>816</v>
      </c>
      <c r="D291" s="83">
        <v>6799</v>
      </c>
      <c r="E291" s="48">
        <v>6799</v>
      </c>
      <c r="F291" s="48">
        <v>6799</v>
      </c>
      <c r="G291" t="s">
        <v>663</v>
      </c>
      <c r="H291" s="91">
        <f t="shared" si="30"/>
        <v>0</v>
      </c>
    </row>
    <row r="292" spans="1:8">
      <c r="A292" s="49" t="s">
        <v>83</v>
      </c>
      <c r="B292" s="49" t="s">
        <v>328</v>
      </c>
      <c r="C292" s="82" t="s">
        <v>817</v>
      </c>
      <c r="D292" s="83">
        <v>9999</v>
      </c>
      <c r="E292" s="48">
        <v>9999</v>
      </c>
      <c r="F292" s="48">
        <v>9999</v>
      </c>
      <c r="G292" t="s">
        <v>663</v>
      </c>
      <c r="H292" s="91">
        <f t="shared" si="30"/>
        <v>0</v>
      </c>
    </row>
    <row r="293" spans="1:8">
      <c r="A293" s="49" t="s">
        <v>74</v>
      </c>
      <c r="B293" s="49" t="s">
        <v>327</v>
      </c>
      <c r="C293" s="82"/>
      <c r="D293" s="85">
        <f t="shared" ref="D293:D294" si="33">E293</f>
        <v>4499</v>
      </c>
      <c r="E293" s="48">
        <v>4499</v>
      </c>
      <c r="F293" s="48">
        <v>4499</v>
      </c>
      <c r="G293" t="s">
        <v>663</v>
      </c>
      <c r="H293" s="91">
        <f t="shared" si="30"/>
        <v>0</v>
      </c>
    </row>
    <row r="294" spans="1:8">
      <c r="A294" s="49" t="s">
        <v>93</v>
      </c>
      <c r="B294" s="49" t="s">
        <v>352</v>
      </c>
      <c r="C294" s="82" t="s">
        <v>1034</v>
      </c>
      <c r="D294" s="83">
        <f t="shared" si="33"/>
        <v>2799</v>
      </c>
      <c r="E294" s="48">
        <v>2799</v>
      </c>
      <c r="F294" s="48">
        <v>2799</v>
      </c>
      <c r="G294" t="s">
        <v>663</v>
      </c>
      <c r="H294" s="91">
        <f t="shared" si="30"/>
        <v>0</v>
      </c>
    </row>
    <row r="295" spans="1:8">
      <c r="A295" s="49" t="s">
        <v>73</v>
      </c>
      <c r="B295" s="49" t="s">
        <v>329</v>
      </c>
      <c r="C295" s="82" t="s">
        <v>818</v>
      </c>
      <c r="D295" s="83">
        <v>5299</v>
      </c>
      <c r="E295" s="48">
        <v>5299</v>
      </c>
      <c r="F295" s="48">
        <v>5299</v>
      </c>
      <c r="G295" t="s">
        <v>663</v>
      </c>
      <c r="H295" s="91">
        <f t="shared" si="30"/>
        <v>0</v>
      </c>
    </row>
    <row r="296" spans="1:8">
      <c r="A296" s="49" t="s">
        <v>74</v>
      </c>
      <c r="B296" s="49" t="s">
        <v>330</v>
      </c>
      <c r="C296" s="82" t="s">
        <v>819</v>
      </c>
      <c r="D296" s="83">
        <v>6499</v>
      </c>
      <c r="E296" s="48">
        <v>6499</v>
      </c>
      <c r="F296" s="48">
        <v>6499</v>
      </c>
      <c r="G296" t="s">
        <v>663</v>
      </c>
      <c r="H296" s="91">
        <f t="shared" si="30"/>
        <v>0</v>
      </c>
    </row>
    <row r="297" spans="1:8">
      <c r="A297" s="49" t="s">
        <v>331</v>
      </c>
      <c r="B297" s="49" t="s">
        <v>551</v>
      </c>
      <c r="C297" s="82"/>
      <c r="D297" s="85">
        <f>E297</f>
        <v>2999</v>
      </c>
      <c r="E297" s="48">
        <v>2999</v>
      </c>
      <c r="F297" s="48">
        <v>2999</v>
      </c>
      <c r="G297" t="s">
        <v>663</v>
      </c>
      <c r="H297" s="91">
        <f t="shared" si="30"/>
        <v>0</v>
      </c>
    </row>
    <row r="298" spans="1:8">
      <c r="A298" s="49" t="s">
        <v>91</v>
      </c>
      <c r="B298" s="53" t="s">
        <v>332</v>
      </c>
      <c r="C298" s="82" t="s">
        <v>820</v>
      </c>
      <c r="D298" s="83">
        <v>3299</v>
      </c>
      <c r="E298" s="48">
        <v>3299</v>
      </c>
      <c r="F298" s="48">
        <v>3299</v>
      </c>
      <c r="G298" t="s">
        <v>663</v>
      </c>
      <c r="H298" s="91">
        <f t="shared" si="30"/>
        <v>0</v>
      </c>
    </row>
    <row r="299" spans="1:8">
      <c r="A299" s="49" t="s">
        <v>74</v>
      </c>
      <c r="B299" s="53" t="s">
        <v>333</v>
      </c>
      <c r="C299" s="82" t="s">
        <v>821</v>
      </c>
      <c r="D299" s="83">
        <v>2699</v>
      </c>
      <c r="E299" s="48">
        <v>2699</v>
      </c>
      <c r="F299" s="48">
        <v>2699</v>
      </c>
      <c r="G299" t="s">
        <v>663</v>
      </c>
      <c r="H299" s="91">
        <f t="shared" si="30"/>
        <v>0</v>
      </c>
    </row>
    <row r="300" spans="1:8">
      <c r="A300" s="49" t="s">
        <v>74</v>
      </c>
      <c r="B300" s="53" t="s">
        <v>334</v>
      </c>
      <c r="C300" s="82" t="s">
        <v>822</v>
      </c>
      <c r="D300" s="83">
        <v>8999</v>
      </c>
      <c r="E300" s="48">
        <v>8999</v>
      </c>
      <c r="F300" s="48">
        <v>8999</v>
      </c>
      <c r="G300" t="s">
        <v>663</v>
      </c>
      <c r="H300" s="91">
        <f t="shared" si="30"/>
        <v>0</v>
      </c>
    </row>
    <row r="301" spans="1:8">
      <c r="A301" s="49" t="s">
        <v>83</v>
      </c>
      <c r="B301" s="54" t="s">
        <v>335</v>
      </c>
      <c r="C301" s="82" t="s">
        <v>823</v>
      </c>
      <c r="D301" s="83">
        <v>6999</v>
      </c>
      <c r="E301" s="48">
        <v>6999</v>
      </c>
      <c r="F301" s="48">
        <v>6999</v>
      </c>
      <c r="G301" t="s">
        <v>663</v>
      </c>
      <c r="H301" s="91">
        <f t="shared" si="30"/>
        <v>0</v>
      </c>
    </row>
    <row r="302" spans="1:8">
      <c r="A302" s="49" t="s">
        <v>336</v>
      </c>
      <c r="B302" s="54" t="s">
        <v>337</v>
      </c>
      <c r="C302" s="82" t="s">
        <v>824</v>
      </c>
      <c r="D302" s="83">
        <v>8299</v>
      </c>
      <c r="E302" s="48">
        <v>8299</v>
      </c>
      <c r="F302" s="48">
        <v>8299</v>
      </c>
      <c r="G302" t="s">
        <v>663</v>
      </c>
      <c r="H302" s="91">
        <f t="shared" si="30"/>
        <v>0</v>
      </c>
    </row>
    <row r="303" spans="1:8">
      <c r="A303" s="49" t="s">
        <v>338</v>
      </c>
      <c r="B303" s="54" t="s">
        <v>339</v>
      </c>
      <c r="C303" s="82" t="s">
        <v>825</v>
      </c>
      <c r="D303" s="83">
        <v>5499</v>
      </c>
      <c r="E303" s="48">
        <v>5499</v>
      </c>
      <c r="F303" s="48">
        <v>5499</v>
      </c>
      <c r="G303" t="s">
        <v>663</v>
      </c>
      <c r="H303" s="91">
        <f t="shared" si="30"/>
        <v>0</v>
      </c>
    </row>
    <row r="304" spans="1:8">
      <c r="A304" s="49" t="s">
        <v>336</v>
      </c>
      <c r="B304" s="54" t="s">
        <v>340</v>
      </c>
      <c r="C304" s="82" t="s">
        <v>826</v>
      </c>
      <c r="D304" s="83">
        <v>13999</v>
      </c>
      <c r="E304" s="48">
        <v>13999</v>
      </c>
      <c r="F304" s="48">
        <v>13999</v>
      </c>
      <c r="G304" t="s">
        <v>663</v>
      </c>
      <c r="H304" s="91">
        <f t="shared" si="30"/>
        <v>0</v>
      </c>
    </row>
    <row r="305" spans="1:8">
      <c r="A305" s="49" t="s">
        <v>341</v>
      </c>
      <c r="B305" s="54" t="s">
        <v>342</v>
      </c>
      <c r="C305" s="82" t="s">
        <v>827</v>
      </c>
      <c r="D305" s="83">
        <v>10999</v>
      </c>
      <c r="E305" s="48">
        <v>10999</v>
      </c>
      <c r="F305" s="48">
        <v>10999</v>
      </c>
      <c r="G305" t="s">
        <v>663</v>
      </c>
      <c r="H305" s="91">
        <f t="shared" si="30"/>
        <v>0</v>
      </c>
    </row>
    <row r="306" spans="1:8">
      <c r="A306" s="49" t="s">
        <v>336</v>
      </c>
      <c r="B306" s="54" t="s">
        <v>343</v>
      </c>
      <c r="C306" s="82" t="s">
        <v>828</v>
      </c>
      <c r="D306" s="83">
        <v>2999</v>
      </c>
      <c r="E306" s="48">
        <v>2999</v>
      </c>
      <c r="F306" s="48">
        <v>2999</v>
      </c>
      <c r="G306" t="s">
        <v>663</v>
      </c>
      <c r="H306" s="91">
        <f t="shared" si="30"/>
        <v>0</v>
      </c>
    </row>
    <row r="307" spans="1:8">
      <c r="A307" s="49" t="s">
        <v>347</v>
      </c>
      <c r="B307" s="54" t="s">
        <v>345</v>
      </c>
      <c r="C307" s="82" t="s">
        <v>346</v>
      </c>
      <c r="D307" s="83">
        <v>3699</v>
      </c>
      <c r="E307" s="48">
        <v>3499</v>
      </c>
      <c r="F307" s="48">
        <v>3499</v>
      </c>
      <c r="G307" s="66">
        <v>44318</v>
      </c>
      <c r="H307" s="91">
        <f t="shared" si="30"/>
        <v>200</v>
      </c>
    </row>
    <row r="308" spans="1:8">
      <c r="A308" s="49" t="s">
        <v>336</v>
      </c>
      <c r="B308" s="54" t="s">
        <v>348</v>
      </c>
      <c r="C308" s="82" t="s">
        <v>829</v>
      </c>
      <c r="D308" s="83">
        <v>19999</v>
      </c>
      <c r="E308" s="48">
        <v>19999</v>
      </c>
      <c r="F308" s="48">
        <v>19999</v>
      </c>
      <c r="G308" t="s">
        <v>663</v>
      </c>
      <c r="H308" s="91">
        <f t="shared" si="30"/>
        <v>0</v>
      </c>
    </row>
    <row r="309" spans="1:8">
      <c r="A309" s="49" t="s">
        <v>341</v>
      </c>
      <c r="B309" s="54" t="s">
        <v>349</v>
      </c>
      <c r="C309" s="82" t="s">
        <v>830</v>
      </c>
      <c r="D309" s="83">
        <v>24999</v>
      </c>
      <c r="E309" s="48">
        <v>24999</v>
      </c>
      <c r="F309" s="48">
        <v>24999</v>
      </c>
      <c r="G309" t="s">
        <v>663</v>
      </c>
      <c r="H309" s="91">
        <f t="shared" si="30"/>
        <v>0</v>
      </c>
    </row>
    <row r="310" spans="1:8">
      <c r="A310" s="49" t="s">
        <v>338</v>
      </c>
      <c r="B310" s="54" t="s">
        <v>350</v>
      </c>
      <c r="C310" s="82" t="s">
        <v>831</v>
      </c>
      <c r="D310" s="83">
        <v>22999</v>
      </c>
      <c r="E310" s="48">
        <v>22999</v>
      </c>
      <c r="F310" s="48">
        <v>22999</v>
      </c>
      <c r="G310" t="s">
        <v>663</v>
      </c>
      <c r="H310" s="91">
        <f t="shared" si="30"/>
        <v>0</v>
      </c>
    </row>
    <row r="311" spans="1:8">
      <c r="A311" s="49" t="s">
        <v>93</v>
      </c>
      <c r="B311" s="54" t="s">
        <v>351</v>
      </c>
      <c r="C311" s="82" t="s">
        <v>1035</v>
      </c>
      <c r="D311" s="83">
        <v>1799</v>
      </c>
      <c r="E311" s="48">
        <v>1799</v>
      </c>
      <c r="F311" s="48">
        <v>1799</v>
      </c>
      <c r="G311" t="s">
        <v>663</v>
      </c>
      <c r="H311" s="91">
        <f t="shared" si="30"/>
        <v>0</v>
      </c>
    </row>
    <row r="312" spans="1:8">
      <c r="A312" s="49" t="s">
        <v>338</v>
      </c>
      <c r="B312" s="54" t="s">
        <v>353</v>
      </c>
      <c r="C312" s="82" t="s">
        <v>832</v>
      </c>
      <c r="D312" s="83">
        <v>7999</v>
      </c>
      <c r="E312" s="48">
        <v>7999</v>
      </c>
      <c r="F312" s="48">
        <v>7999</v>
      </c>
      <c r="G312" t="s">
        <v>663</v>
      </c>
      <c r="H312" s="91">
        <f t="shared" si="30"/>
        <v>0</v>
      </c>
    </row>
    <row r="313" spans="1:8">
      <c r="A313" s="49" t="s">
        <v>338</v>
      </c>
      <c r="B313" s="54" t="s">
        <v>354</v>
      </c>
      <c r="C313" s="82" t="s">
        <v>592</v>
      </c>
      <c r="D313" s="83">
        <v>3789</v>
      </c>
      <c r="E313" s="48">
        <v>3789</v>
      </c>
      <c r="F313" s="48">
        <v>3789</v>
      </c>
      <c r="G313" t="s">
        <v>663</v>
      </c>
      <c r="H313" s="91">
        <f t="shared" si="30"/>
        <v>0</v>
      </c>
    </row>
    <row r="314" spans="1:8">
      <c r="A314" s="49" t="s">
        <v>355</v>
      </c>
      <c r="B314" s="54" t="s">
        <v>356</v>
      </c>
      <c r="C314" s="82" t="s">
        <v>1036</v>
      </c>
      <c r="D314" s="83">
        <v>1959</v>
      </c>
      <c r="E314" s="48">
        <v>1959</v>
      </c>
      <c r="F314" s="48">
        <v>1959</v>
      </c>
      <c r="G314" t="s">
        <v>663</v>
      </c>
      <c r="H314" s="91">
        <f t="shared" si="30"/>
        <v>0</v>
      </c>
    </row>
    <row r="315" spans="1:8">
      <c r="A315" s="49" t="s">
        <v>336</v>
      </c>
      <c r="B315" s="54" t="s">
        <v>357</v>
      </c>
      <c r="C315" s="82" t="s">
        <v>833</v>
      </c>
      <c r="D315" s="83">
        <v>29999</v>
      </c>
      <c r="E315" s="48">
        <v>29999</v>
      </c>
      <c r="F315" s="48">
        <v>29999</v>
      </c>
      <c r="G315" t="s">
        <v>663</v>
      </c>
      <c r="H315" s="91">
        <f t="shared" si="30"/>
        <v>0</v>
      </c>
    </row>
    <row r="316" spans="1:8">
      <c r="A316" s="49" t="s">
        <v>358</v>
      </c>
      <c r="B316" s="54" t="s">
        <v>359</v>
      </c>
      <c r="C316" s="82" t="s">
        <v>581</v>
      </c>
      <c r="D316" s="83">
        <v>10999</v>
      </c>
      <c r="E316" s="48">
        <v>10999</v>
      </c>
      <c r="F316" s="48">
        <v>10999</v>
      </c>
      <c r="G316" t="s">
        <v>663</v>
      </c>
      <c r="H316" s="91">
        <f t="shared" si="30"/>
        <v>0</v>
      </c>
    </row>
    <row r="317" spans="1:8">
      <c r="A317" s="49" t="s">
        <v>358</v>
      </c>
      <c r="B317" s="54" t="s">
        <v>360</v>
      </c>
      <c r="C317" s="82" t="s">
        <v>834</v>
      </c>
      <c r="D317" s="83">
        <v>11999</v>
      </c>
      <c r="E317" s="48">
        <v>11999</v>
      </c>
      <c r="F317" s="48">
        <v>11999</v>
      </c>
      <c r="G317" t="s">
        <v>663</v>
      </c>
      <c r="H317" s="91">
        <f t="shared" si="30"/>
        <v>0</v>
      </c>
    </row>
    <row r="318" spans="1:8">
      <c r="A318" s="49" t="s">
        <v>358</v>
      </c>
      <c r="B318" s="54" t="s">
        <v>361</v>
      </c>
      <c r="C318" s="82" t="s">
        <v>835</v>
      </c>
      <c r="D318" s="83">
        <v>14499</v>
      </c>
      <c r="E318" s="48">
        <v>14499</v>
      </c>
      <c r="F318" s="48">
        <v>14499</v>
      </c>
      <c r="G318" t="s">
        <v>663</v>
      </c>
      <c r="H318" s="91">
        <f t="shared" si="30"/>
        <v>0</v>
      </c>
    </row>
    <row r="319" spans="1:8">
      <c r="A319" s="49" t="s">
        <v>338</v>
      </c>
      <c r="B319" s="54" t="s">
        <v>362</v>
      </c>
      <c r="C319" s="82" t="s">
        <v>836</v>
      </c>
      <c r="D319" s="83">
        <v>24999</v>
      </c>
      <c r="E319" s="48">
        <v>24999</v>
      </c>
      <c r="F319" s="48">
        <v>24999</v>
      </c>
      <c r="G319" t="s">
        <v>663</v>
      </c>
      <c r="H319" s="91">
        <f t="shared" si="30"/>
        <v>0</v>
      </c>
    </row>
    <row r="320" spans="1:8">
      <c r="A320" s="49" t="s">
        <v>363</v>
      </c>
      <c r="B320" s="54" t="s">
        <v>364</v>
      </c>
      <c r="C320" s="82" t="s">
        <v>837</v>
      </c>
      <c r="D320" s="83">
        <v>3299</v>
      </c>
      <c r="E320" s="48">
        <v>3299</v>
      </c>
      <c r="F320" s="48">
        <v>3299</v>
      </c>
      <c r="G320" t="s">
        <v>663</v>
      </c>
      <c r="H320" s="91">
        <f t="shared" si="30"/>
        <v>0</v>
      </c>
    </row>
    <row r="321" spans="1:8">
      <c r="A321" s="49" t="s">
        <v>355</v>
      </c>
      <c r="B321" s="54" t="s">
        <v>365</v>
      </c>
      <c r="C321" s="82" t="s">
        <v>1037</v>
      </c>
      <c r="D321" s="83">
        <f>E321</f>
        <v>1499</v>
      </c>
      <c r="E321" s="48">
        <v>1499</v>
      </c>
      <c r="F321" s="48">
        <v>1499</v>
      </c>
      <c r="G321" t="s">
        <v>663</v>
      </c>
      <c r="H321" s="91">
        <f t="shared" si="30"/>
        <v>0</v>
      </c>
    </row>
    <row r="322" spans="1:8">
      <c r="A322" s="49" t="s">
        <v>93</v>
      </c>
      <c r="B322" s="54" t="s">
        <v>366</v>
      </c>
      <c r="C322" s="82" t="s">
        <v>1038</v>
      </c>
      <c r="D322" s="83">
        <v>4999</v>
      </c>
      <c r="E322" s="48">
        <v>4999</v>
      </c>
      <c r="F322" s="48">
        <v>4999</v>
      </c>
      <c r="G322" t="s">
        <v>663</v>
      </c>
      <c r="H322" s="91">
        <f t="shared" si="30"/>
        <v>0</v>
      </c>
    </row>
    <row r="323" spans="1:8">
      <c r="A323" s="49" t="s">
        <v>338</v>
      </c>
      <c r="B323" s="54" t="s">
        <v>367</v>
      </c>
      <c r="C323" s="82" t="s">
        <v>587</v>
      </c>
      <c r="D323" s="83">
        <v>7499</v>
      </c>
      <c r="E323" s="48">
        <v>7499</v>
      </c>
      <c r="F323" s="48">
        <v>7499</v>
      </c>
      <c r="G323" t="s">
        <v>663</v>
      </c>
      <c r="H323" s="91">
        <f t="shared" ref="H323:H386" si="34">D323-E323</f>
        <v>0</v>
      </c>
    </row>
    <row r="324" spans="1:8">
      <c r="A324" s="49" t="s">
        <v>363</v>
      </c>
      <c r="B324" s="54" t="s">
        <v>368</v>
      </c>
      <c r="C324" s="82" t="s">
        <v>838</v>
      </c>
      <c r="D324" s="83">
        <v>5499</v>
      </c>
      <c r="E324" s="48">
        <v>5499</v>
      </c>
      <c r="F324" s="48">
        <v>5499</v>
      </c>
      <c r="G324" t="s">
        <v>663</v>
      </c>
      <c r="H324" s="91">
        <f t="shared" si="34"/>
        <v>0</v>
      </c>
    </row>
    <row r="325" spans="1:8">
      <c r="A325" s="49" t="s">
        <v>363</v>
      </c>
      <c r="B325" s="54" t="s">
        <v>369</v>
      </c>
      <c r="C325" s="82" t="s">
        <v>839</v>
      </c>
      <c r="D325" s="83">
        <v>3999</v>
      </c>
      <c r="E325" s="48">
        <v>3999</v>
      </c>
      <c r="F325" s="48">
        <v>3999</v>
      </c>
      <c r="G325" t="s">
        <v>663</v>
      </c>
      <c r="H325" s="91">
        <f t="shared" si="34"/>
        <v>0</v>
      </c>
    </row>
    <row r="326" spans="1:8">
      <c r="A326" s="49" t="s">
        <v>338</v>
      </c>
      <c r="B326" s="54" t="s">
        <v>371</v>
      </c>
      <c r="C326" s="82" t="s">
        <v>595</v>
      </c>
      <c r="D326" s="83">
        <v>5799</v>
      </c>
      <c r="E326" s="48">
        <v>5799</v>
      </c>
      <c r="F326" s="48">
        <v>5799</v>
      </c>
      <c r="G326" t="s">
        <v>663</v>
      </c>
      <c r="H326" s="91">
        <f t="shared" si="34"/>
        <v>0</v>
      </c>
    </row>
    <row r="327" spans="1:8">
      <c r="A327" s="49" t="s">
        <v>338</v>
      </c>
      <c r="B327" s="54" t="s">
        <v>372</v>
      </c>
      <c r="C327" s="82" t="s">
        <v>840</v>
      </c>
      <c r="D327" s="83">
        <v>17989</v>
      </c>
      <c r="E327" s="48">
        <v>17989</v>
      </c>
      <c r="F327" s="48">
        <v>17989</v>
      </c>
      <c r="G327" t="s">
        <v>663</v>
      </c>
      <c r="H327" s="91">
        <f t="shared" si="34"/>
        <v>0</v>
      </c>
    </row>
    <row r="328" spans="1:8">
      <c r="A328" s="49" t="s">
        <v>338</v>
      </c>
      <c r="B328" s="54" t="s">
        <v>370</v>
      </c>
      <c r="C328" s="82" t="s">
        <v>594</v>
      </c>
      <c r="D328" s="83">
        <v>5499</v>
      </c>
      <c r="E328" s="48">
        <v>5499</v>
      </c>
      <c r="F328" s="48">
        <v>5499</v>
      </c>
      <c r="G328" t="s">
        <v>663</v>
      </c>
      <c r="H328" s="91">
        <f t="shared" si="34"/>
        <v>0</v>
      </c>
    </row>
    <row r="329" spans="1:8">
      <c r="A329" s="49" t="s">
        <v>363</v>
      </c>
      <c r="B329" s="54" t="s">
        <v>373</v>
      </c>
      <c r="C329" s="82" t="s">
        <v>841</v>
      </c>
      <c r="D329" s="83">
        <v>15999</v>
      </c>
      <c r="E329" s="48">
        <v>15999</v>
      </c>
      <c r="F329" s="48">
        <v>15999</v>
      </c>
      <c r="G329" t="s">
        <v>663</v>
      </c>
      <c r="H329" s="91">
        <f t="shared" si="34"/>
        <v>0</v>
      </c>
    </row>
    <row r="330" spans="1:8">
      <c r="A330" s="49" t="s">
        <v>336</v>
      </c>
      <c r="B330" s="54" t="s">
        <v>374</v>
      </c>
      <c r="C330" s="82"/>
      <c r="D330" s="87">
        <f>E330</f>
        <v>32999</v>
      </c>
      <c r="E330" s="48">
        <v>32999</v>
      </c>
      <c r="F330" s="48">
        <v>32999</v>
      </c>
      <c r="G330" t="s">
        <v>663</v>
      </c>
      <c r="H330" s="91">
        <f t="shared" si="34"/>
        <v>0</v>
      </c>
    </row>
    <row r="331" spans="1:8">
      <c r="A331" s="49" t="s">
        <v>336</v>
      </c>
      <c r="B331" s="54" t="s">
        <v>377</v>
      </c>
      <c r="C331" s="82" t="s">
        <v>842</v>
      </c>
      <c r="D331" s="83">
        <v>6499</v>
      </c>
      <c r="E331" s="48">
        <v>6499</v>
      </c>
      <c r="F331" s="48">
        <v>6499</v>
      </c>
      <c r="G331" t="s">
        <v>663</v>
      </c>
      <c r="H331" s="91">
        <f t="shared" si="34"/>
        <v>0</v>
      </c>
    </row>
    <row r="332" spans="1:8">
      <c r="A332" s="49" t="s">
        <v>336</v>
      </c>
      <c r="B332" s="54" t="s">
        <v>375</v>
      </c>
      <c r="C332" s="82" t="s">
        <v>843</v>
      </c>
      <c r="D332" s="83">
        <v>5499</v>
      </c>
      <c r="E332" s="48">
        <v>5499</v>
      </c>
      <c r="F332" s="48">
        <v>5499</v>
      </c>
      <c r="G332" t="s">
        <v>663</v>
      </c>
      <c r="H332" s="91">
        <f t="shared" si="34"/>
        <v>0</v>
      </c>
    </row>
    <row r="333" spans="1:8">
      <c r="A333" s="49" t="s">
        <v>336</v>
      </c>
      <c r="B333" s="54" t="s">
        <v>376</v>
      </c>
      <c r="C333" s="82" t="s">
        <v>844</v>
      </c>
      <c r="D333" s="83">
        <v>7999</v>
      </c>
      <c r="E333" s="48">
        <v>7999</v>
      </c>
      <c r="F333" s="48">
        <v>7999</v>
      </c>
      <c r="G333" t="s">
        <v>663</v>
      </c>
      <c r="H333" s="91">
        <f t="shared" si="34"/>
        <v>0</v>
      </c>
    </row>
    <row r="334" spans="1:8">
      <c r="A334" s="49" t="s">
        <v>271</v>
      </c>
      <c r="B334" s="54" t="s">
        <v>378</v>
      </c>
      <c r="C334" s="82" t="s">
        <v>845</v>
      </c>
      <c r="D334" s="83">
        <v>4899</v>
      </c>
      <c r="E334" s="48">
        <v>4899</v>
      </c>
      <c r="F334" s="48">
        <v>4899</v>
      </c>
      <c r="G334" t="s">
        <v>663</v>
      </c>
      <c r="H334" s="91">
        <f t="shared" si="34"/>
        <v>0</v>
      </c>
    </row>
    <row r="335" spans="1:8">
      <c r="A335" s="49" t="s">
        <v>379</v>
      </c>
      <c r="B335" s="54" t="s">
        <v>380</v>
      </c>
      <c r="C335" s="82" t="s">
        <v>846</v>
      </c>
      <c r="D335" s="83">
        <v>2899</v>
      </c>
      <c r="E335" s="48">
        <v>2899</v>
      </c>
      <c r="F335" s="48">
        <v>2899</v>
      </c>
      <c r="G335" t="s">
        <v>663</v>
      </c>
      <c r="H335" s="91">
        <f t="shared" si="34"/>
        <v>0</v>
      </c>
    </row>
    <row r="336" spans="1:8">
      <c r="A336" s="49" t="s">
        <v>338</v>
      </c>
      <c r="B336" s="54" t="s">
        <v>381</v>
      </c>
      <c r="C336" s="82" t="s">
        <v>591</v>
      </c>
      <c r="D336" s="83">
        <v>4499</v>
      </c>
      <c r="E336" s="48">
        <v>4499</v>
      </c>
      <c r="F336" s="48">
        <v>4499</v>
      </c>
      <c r="G336" t="s">
        <v>663</v>
      </c>
      <c r="H336" s="91">
        <f t="shared" si="34"/>
        <v>0</v>
      </c>
    </row>
    <row r="337" spans="1:8">
      <c r="A337" s="49" t="s">
        <v>363</v>
      </c>
      <c r="B337" s="54" t="s">
        <v>382</v>
      </c>
      <c r="C337" s="82"/>
      <c r="D337" s="87">
        <f>E337</f>
        <v>6999</v>
      </c>
      <c r="E337" s="48">
        <v>6999</v>
      </c>
      <c r="F337" s="48">
        <v>6999</v>
      </c>
      <c r="G337" t="s">
        <v>663</v>
      </c>
      <c r="H337" s="91">
        <f t="shared" si="34"/>
        <v>0</v>
      </c>
    </row>
    <row r="338" spans="1:8">
      <c r="A338" s="49" t="s">
        <v>93</v>
      </c>
      <c r="B338" s="54" t="s">
        <v>383</v>
      </c>
      <c r="C338" s="82" t="s">
        <v>847</v>
      </c>
      <c r="D338" s="83">
        <v>3699</v>
      </c>
      <c r="E338" s="48">
        <v>3699</v>
      </c>
      <c r="F338" s="48">
        <v>3699</v>
      </c>
      <c r="G338" t="s">
        <v>663</v>
      </c>
      <c r="H338" s="91">
        <f t="shared" si="34"/>
        <v>0</v>
      </c>
    </row>
    <row r="339" spans="1:8">
      <c r="A339" s="49" t="s">
        <v>93</v>
      </c>
      <c r="B339" s="54" t="s">
        <v>384</v>
      </c>
      <c r="C339" s="82" t="s">
        <v>848</v>
      </c>
      <c r="D339" s="83">
        <v>2199</v>
      </c>
      <c r="E339" s="48">
        <v>2199</v>
      </c>
      <c r="F339" s="48">
        <v>2199</v>
      </c>
      <c r="G339" t="s">
        <v>663</v>
      </c>
      <c r="H339" s="91">
        <f t="shared" si="34"/>
        <v>0</v>
      </c>
    </row>
    <row r="340" spans="1:8">
      <c r="A340" s="49" t="s">
        <v>93</v>
      </c>
      <c r="B340" s="54" t="s">
        <v>387</v>
      </c>
      <c r="C340" s="82" t="s">
        <v>1039</v>
      </c>
      <c r="D340" s="83">
        <v>8999</v>
      </c>
      <c r="E340" s="48">
        <v>8999</v>
      </c>
      <c r="F340" s="48">
        <v>8999</v>
      </c>
      <c r="G340" t="s">
        <v>663</v>
      </c>
      <c r="H340" s="91">
        <f t="shared" si="34"/>
        <v>0</v>
      </c>
    </row>
    <row r="341" spans="1:8">
      <c r="A341" s="49" t="s">
        <v>347</v>
      </c>
      <c r="B341" s="54" t="s">
        <v>388</v>
      </c>
      <c r="C341" s="82" t="s">
        <v>849</v>
      </c>
      <c r="D341" s="83">
        <v>5999</v>
      </c>
      <c r="E341" s="48">
        <v>5999</v>
      </c>
      <c r="F341" s="48">
        <v>5999</v>
      </c>
      <c r="G341" t="s">
        <v>663</v>
      </c>
      <c r="H341" s="91">
        <f t="shared" si="34"/>
        <v>0</v>
      </c>
    </row>
    <row r="342" spans="1:8">
      <c r="A342" s="49" t="s">
        <v>336</v>
      </c>
      <c r="B342" s="54" t="s">
        <v>389</v>
      </c>
      <c r="C342" s="82" t="s">
        <v>850</v>
      </c>
      <c r="D342" s="83">
        <v>26999</v>
      </c>
      <c r="E342" s="48">
        <v>26999</v>
      </c>
      <c r="F342" s="48">
        <v>26999</v>
      </c>
      <c r="G342" t="s">
        <v>663</v>
      </c>
      <c r="H342" s="91">
        <f t="shared" si="34"/>
        <v>0</v>
      </c>
    </row>
    <row r="343" spans="1:8">
      <c r="A343" s="49" t="s">
        <v>336</v>
      </c>
      <c r="B343" s="54" t="s">
        <v>390</v>
      </c>
      <c r="C343" s="82" t="s">
        <v>851</v>
      </c>
      <c r="D343" s="83">
        <v>33999</v>
      </c>
      <c r="E343" s="48">
        <v>33999</v>
      </c>
      <c r="F343" s="48">
        <v>33999</v>
      </c>
      <c r="G343" t="s">
        <v>663</v>
      </c>
      <c r="H343" s="91">
        <f t="shared" si="34"/>
        <v>0</v>
      </c>
    </row>
    <row r="344" spans="1:8">
      <c r="A344" s="49" t="s">
        <v>336</v>
      </c>
      <c r="B344" s="54" t="s">
        <v>391</v>
      </c>
      <c r="C344" s="82"/>
      <c r="D344" s="87">
        <f t="shared" ref="D344:D345" si="35">E344</f>
        <v>7499</v>
      </c>
      <c r="E344" s="48">
        <v>7499</v>
      </c>
      <c r="F344" s="48">
        <v>7499</v>
      </c>
      <c r="G344" t="s">
        <v>663</v>
      </c>
      <c r="H344" s="91">
        <f t="shared" si="34"/>
        <v>0</v>
      </c>
    </row>
    <row r="345" spans="1:8">
      <c r="A345" s="49" t="s">
        <v>336</v>
      </c>
      <c r="B345" s="54" t="s">
        <v>392</v>
      </c>
      <c r="C345" s="82"/>
      <c r="D345" s="87">
        <f t="shared" si="35"/>
        <v>4799</v>
      </c>
      <c r="E345" s="48">
        <v>4799</v>
      </c>
      <c r="F345" s="48">
        <v>4799</v>
      </c>
      <c r="G345" t="s">
        <v>663</v>
      </c>
      <c r="H345" s="91">
        <f t="shared" si="34"/>
        <v>0</v>
      </c>
    </row>
    <row r="346" spans="1:8">
      <c r="A346" s="49" t="s">
        <v>393</v>
      </c>
      <c r="B346" s="54" t="s">
        <v>394</v>
      </c>
      <c r="C346" s="82" t="s">
        <v>852</v>
      </c>
      <c r="D346" s="83">
        <v>6999</v>
      </c>
      <c r="E346" s="48">
        <v>6999</v>
      </c>
      <c r="F346" s="48">
        <v>6999</v>
      </c>
      <c r="G346" t="s">
        <v>663</v>
      </c>
      <c r="H346" s="91">
        <f t="shared" si="34"/>
        <v>0</v>
      </c>
    </row>
    <row r="347" spans="1:8">
      <c r="A347" s="49" t="s">
        <v>393</v>
      </c>
      <c r="B347" s="54" t="s">
        <v>395</v>
      </c>
      <c r="C347" s="82" t="s">
        <v>853</v>
      </c>
      <c r="D347" s="83">
        <v>3999</v>
      </c>
      <c r="E347" s="48">
        <v>3999</v>
      </c>
      <c r="F347" s="48">
        <v>3999</v>
      </c>
      <c r="G347" t="s">
        <v>663</v>
      </c>
      <c r="H347" s="91">
        <f t="shared" si="34"/>
        <v>0</v>
      </c>
    </row>
    <row r="348" spans="1:8">
      <c r="A348" s="49" t="s">
        <v>363</v>
      </c>
      <c r="B348" s="54" t="s">
        <v>397</v>
      </c>
      <c r="C348" s="82" t="s">
        <v>854</v>
      </c>
      <c r="D348" s="83">
        <v>5299</v>
      </c>
      <c r="E348" s="48">
        <v>5299</v>
      </c>
      <c r="F348" s="48">
        <v>5299</v>
      </c>
      <c r="G348" t="s">
        <v>663</v>
      </c>
      <c r="H348" s="91">
        <f t="shared" si="34"/>
        <v>0</v>
      </c>
    </row>
    <row r="349" spans="1:8">
      <c r="A349" s="49" t="s">
        <v>363</v>
      </c>
      <c r="B349" s="54" t="s">
        <v>398</v>
      </c>
      <c r="C349" s="82" t="s">
        <v>855</v>
      </c>
      <c r="D349" s="83">
        <v>7299</v>
      </c>
      <c r="E349" s="48">
        <v>7299</v>
      </c>
      <c r="F349" s="48">
        <v>7299</v>
      </c>
      <c r="G349" t="s">
        <v>663</v>
      </c>
      <c r="H349" s="91">
        <f t="shared" si="34"/>
        <v>0</v>
      </c>
    </row>
    <row r="350" spans="1:8">
      <c r="A350" s="49" t="s">
        <v>338</v>
      </c>
      <c r="B350" s="54" t="s">
        <v>399</v>
      </c>
      <c r="C350" s="82" t="s">
        <v>596</v>
      </c>
      <c r="D350" s="83">
        <v>8199</v>
      </c>
      <c r="E350" s="48">
        <v>7499</v>
      </c>
      <c r="F350" s="48">
        <v>7499</v>
      </c>
      <c r="G350" s="66">
        <v>44371</v>
      </c>
      <c r="H350" s="91">
        <f t="shared" si="34"/>
        <v>700</v>
      </c>
    </row>
    <row r="351" spans="1:8">
      <c r="A351" s="49" t="s">
        <v>385</v>
      </c>
      <c r="B351" s="54" t="s">
        <v>400</v>
      </c>
      <c r="C351" s="82" t="s">
        <v>856</v>
      </c>
      <c r="D351" s="83">
        <v>5299</v>
      </c>
      <c r="E351" s="48">
        <v>5299</v>
      </c>
      <c r="F351" s="48">
        <v>5299</v>
      </c>
      <c r="G351" t="s">
        <v>663</v>
      </c>
      <c r="H351" s="91">
        <f t="shared" si="34"/>
        <v>0</v>
      </c>
    </row>
    <row r="352" spans="1:8">
      <c r="A352" s="49" t="s">
        <v>67</v>
      </c>
      <c r="B352" s="54" t="s">
        <v>402</v>
      </c>
      <c r="C352" s="82" t="s">
        <v>857</v>
      </c>
      <c r="D352" s="83">
        <v>22499</v>
      </c>
      <c r="E352" s="48">
        <v>22499</v>
      </c>
      <c r="F352" s="48">
        <v>22499</v>
      </c>
      <c r="G352" t="s">
        <v>663</v>
      </c>
      <c r="H352" s="91">
        <f t="shared" si="34"/>
        <v>0</v>
      </c>
    </row>
    <row r="353" spans="1:8">
      <c r="A353" s="49" t="s">
        <v>67</v>
      </c>
      <c r="B353" s="54" t="s">
        <v>403</v>
      </c>
      <c r="C353" s="82" t="s">
        <v>858</v>
      </c>
      <c r="D353" s="83">
        <v>23999</v>
      </c>
      <c r="E353" s="48">
        <v>23999</v>
      </c>
      <c r="F353" s="48">
        <v>23999</v>
      </c>
      <c r="G353" t="s">
        <v>663</v>
      </c>
      <c r="H353" s="91">
        <f t="shared" si="34"/>
        <v>0</v>
      </c>
    </row>
    <row r="354" spans="1:8">
      <c r="A354" s="49" t="s">
        <v>67</v>
      </c>
      <c r="B354" s="54" t="s">
        <v>404</v>
      </c>
      <c r="C354" s="82" t="s">
        <v>859</v>
      </c>
      <c r="D354" s="83">
        <v>26999</v>
      </c>
      <c r="E354" s="48">
        <v>26999</v>
      </c>
      <c r="F354" s="48">
        <v>26999</v>
      </c>
      <c r="G354" t="s">
        <v>663</v>
      </c>
      <c r="H354" s="91">
        <f t="shared" si="34"/>
        <v>0</v>
      </c>
    </row>
    <row r="355" spans="1:8">
      <c r="A355" s="49" t="s">
        <v>67</v>
      </c>
      <c r="B355" s="54" t="s">
        <v>405</v>
      </c>
      <c r="C355" s="82" t="s">
        <v>860</v>
      </c>
      <c r="D355" s="83">
        <v>27499</v>
      </c>
      <c r="E355" s="48">
        <v>27499</v>
      </c>
      <c r="F355" s="48">
        <v>27499</v>
      </c>
      <c r="G355" t="s">
        <v>663</v>
      </c>
      <c r="H355" s="91">
        <f t="shared" si="34"/>
        <v>0</v>
      </c>
    </row>
    <row r="356" spans="1:8">
      <c r="A356" s="49" t="s">
        <v>67</v>
      </c>
      <c r="B356" s="54" t="s">
        <v>406</v>
      </c>
      <c r="C356" s="82" t="s">
        <v>861</v>
      </c>
      <c r="D356" s="83">
        <v>30499</v>
      </c>
      <c r="E356" s="48">
        <v>30499</v>
      </c>
      <c r="F356" s="48">
        <v>30499</v>
      </c>
      <c r="G356" t="s">
        <v>663</v>
      </c>
      <c r="H356" s="91">
        <f t="shared" si="34"/>
        <v>0</v>
      </c>
    </row>
    <row r="357" spans="1:8">
      <c r="A357" s="49" t="s">
        <v>67</v>
      </c>
      <c r="B357" s="54" t="s">
        <v>407</v>
      </c>
      <c r="C357" s="82" t="s">
        <v>862</v>
      </c>
      <c r="D357" s="83">
        <v>35499</v>
      </c>
      <c r="E357" s="48">
        <v>35499</v>
      </c>
      <c r="F357" s="48">
        <v>35499</v>
      </c>
      <c r="G357" t="s">
        <v>663</v>
      </c>
      <c r="H357" s="91">
        <f t="shared" si="34"/>
        <v>0</v>
      </c>
    </row>
    <row r="358" spans="1:8">
      <c r="A358" s="49" t="s">
        <v>401</v>
      </c>
      <c r="B358" s="54" t="s">
        <v>408</v>
      </c>
      <c r="C358" s="82" t="s">
        <v>863</v>
      </c>
      <c r="D358" s="83">
        <v>2919</v>
      </c>
      <c r="E358" s="48">
        <v>2919</v>
      </c>
      <c r="F358" s="48">
        <v>2919</v>
      </c>
      <c r="G358" t="s">
        <v>663</v>
      </c>
      <c r="H358" s="91">
        <f t="shared" si="34"/>
        <v>0</v>
      </c>
    </row>
    <row r="359" spans="1:8">
      <c r="A359" s="49" t="s">
        <v>83</v>
      </c>
      <c r="B359" s="54" t="s">
        <v>409</v>
      </c>
      <c r="C359" s="82" t="s">
        <v>593</v>
      </c>
      <c r="D359" s="83">
        <v>5799</v>
      </c>
      <c r="E359" s="48">
        <v>5799</v>
      </c>
      <c r="F359" s="48">
        <v>5799</v>
      </c>
      <c r="G359" t="s">
        <v>663</v>
      </c>
      <c r="H359" s="91">
        <f t="shared" si="34"/>
        <v>0</v>
      </c>
    </row>
    <row r="360" spans="1:8">
      <c r="A360" s="49" t="s">
        <v>67</v>
      </c>
      <c r="B360" s="54" t="s">
        <v>410</v>
      </c>
      <c r="C360" s="82" t="s">
        <v>864</v>
      </c>
      <c r="D360" s="83">
        <v>19999</v>
      </c>
      <c r="E360" s="48">
        <v>19999</v>
      </c>
      <c r="F360" s="48">
        <v>19999</v>
      </c>
      <c r="G360" t="s">
        <v>663</v>
      </c>
      <c r="H360" s="91">
        <f t="shared" si="34"/>
        <v>0</v>
      </c>
    </row>
    <row r="361" spans="1:8">
      <c r="A361" s="49" t="s">
        <v>67</v>
      </c>
      <c r="B361" s="54" t="s">
        <v>411</v>
      </c>
      <c r="C361" s="82" t="s">
        <v>865</v>
      </c>
      <c r="D361" s="83">
        <v>21499</v>
      </c>
      <c r="E361" s="48">
        <v>21499</v>
      </c>
      <c r="F361" s="48">
        <v>21499</v>
      </c>
      <c r="G361" t="s">
        <v>663</v>
      </c>
      <c r="H361" s="91">
        <f t="shared" si="34"/>
        <v>0</v>
      </c>
    </row>
    <row r="362" spans="1:8">
      <c r="A362" s="49" t="s">
        <v>67</v>
      </c>
      <c r="B362" s="54" t="s">
        <v>412</v>
      </c>
      <c r="C362" s="82" t="s">
        <v>866</v>
      </c>
      <c r="D362" s="83">
        <v>24499</v>
      </c>
      <c r="E362" s="48">
        <v>24499</v>
      </c>
      <c r="F362" s="48">
        <v>24499</v>
      </c>
      <c r="G362" t="s">
        <v>663</v>
      </c>
      <c r="H362" s="91">
        <f t="shared" si="34"/>
        <v>0</v>
      </c>
    </row>
    <row r="363" spans="1:8">
      <c r="A363" s="49" t="s">
        <v>67</v>
      </c>
      <c r="B363" s="54" t="s">
        <v>413</v>
      </c>
      <c r="C363" s="82" t="s">
        <v>867</v>
      </c>
      <c r="D363" s="83">
        <v>29999</v>
      </c>
      <c r="E363" s="48">
        <v>29999</v>
      </c>
      <c r="F363" s="48">
        <v>29999</v>
      </c>
      <c r="G363" t="s">
        <v>663</v>
      </c>
      <c r="H363" s="91">
        <f t="shared" si="34"/>
        <v>0</v>
      </c>
    </row>
    <row r="364" spans="1:8">
      <c r="A364" s="49" t="s">
        <v>67</v>
      </c>
      <c r="B364" s="54" t="s">
        <v>414</v>
      </c>
      <c r="C364" s="82" t="s">
        <v>868</v>
      </c>
      <c r="D364" s="83">
        <v>32999</v>
      </c>
      <c r="E364" s="48">
        <v>32999</v>
      </c>
      <c r="F364" s="48">
        <v>32999</v>
      </c>
      <c r="G364" t="s">
        <v>663</v>
      </c>
      <c r="H364" s="91">
        <f t="shared" si="34"/>
        <v>0</v>
      </c>
    </row>
    <row r="365" spans="1:8">
      <c r="A365" s="49" t="s">
        <v>67</v>
      </c>
      <c r="B365" s="54" t="s">
        <v>415</v>
      </c>
      <c r="C365" s="82" t="s">
        <v>869</v>
      </c>
      <c r="D365" s="83">
        <v>37999</v>
      </c>
      <c r="E365" s="48">
        <v>37999</v>
      </c>
      <c r="F365" s="48">
        <v>37999</v>
      </c>
      <c r="G365" t="s">
        <v>663</v>
      </c>
      <c r="H365" s="91">
        <f t="shared" si="34"/>
        <v>0</v>
      </c>
    </row>
    <row r="366" spans="1:8">
      <c r="A366" s="49" t="s">
        <v>74</v>
      </c>
      <c r="B366" s="54" t="s">
        <v>416</v>
      </c>
      <c r="C366" s="82" t="s">
        <v>870</v>
      </c>
      <c r="D366" s="83">
        <v>34999</v>
      </c>
      <c r="E366" s="48">
        <v>34999</v>
      </c>
      <c r="F366" s="48">
        <v>34999</v>
      </c>
      <c r="G366" t="s">
        <v>663</v>
      </c>
      <c r="H366" s="91">
        <f t="shared" si="34"/>
        <v>0</v>
      </c>
    </row>
    <row r="367" spans="1:8">
      <c r="A367" s="49" t="s">
        <v>74</v>
      </c>
      <c r="B367" s="54" t="s">
        <v>417</v>
      </c>
      <c r="C367" s="82" t="s">
        <v>871</v>
      </c>
      <c r="D367" s="83">
        <v>4299</v>
      </c>
      <c r="E367" s="48">
        <v>4299</v>
      </c>
      <c r="F367" s="48">
        <v>4299</v>
      </c>
      <c r="G367" t="s">
        <v>663</v>
      </c>
      <c r="H367" s="91">
        <f t="shared" si="34"/>
        <v>0</v>
      </c>
    </row>
    <row r="368" spans="1:8">
      <c r="A368" s="49" t="s">
        <v>73</v>
      </c>
      <c r="B368" s="54" t="s">
        <v>418</v>
      </c>
      <c r="C368" s="82" t="s">
        <v>872</v>
      </c>
      <c r="D368" s="83">
        <v>16999</v>
      </c>
      <c r="E368" s="48">
        <v>16999</v>
      </c>
      <c r="F368" s="48">
        <v>16999</v>
      </c>
      <c r="G368" t="s">
        <v>663</v>
      </c>
      <c r="H368" s="91">
        <f t="shared" si="34"/>
        <v>0</v>
      </c>
    </row>
    <row r="369" spans="1:8">
      <c r="A369" s="49" t="s">
        <v>74</v>
      </c>
      <c r="B369" s="54" t="s">
        <v>419</v>
      </c>
      <c r="C369" s="82" t="s">
        <v>873</v>
      </c>
      <c r="D369" s="83">
        <v>3599</v>
      </c>
      <c r="E369" s="48">
        <v>3599</v>
      </c>
      <c r="F369" s="48">
        <v>3599</v>
      </c>
      <c r="G369" t="s">
        <v>663</v>
      </c>
      <c r="H369" s="91">
        <f t="shared" si="34"/>
        <v>0</v>
      </c>
    </row>
    <row r="370" spans="1:8">
      <c r="A370" s="49" t="s">
        <v>91</v>
      </c>
      <c r="B370" s="54" t="s">
        <v>420</v>
      </c>
      <c r="C370" s="82" t="s">
        <v>599</v>
      </c>
      <c r="D370" s="83">
        <v>1899</v>
      </c>
      <c r="E370" s="48">
        <v>1899</v>
      </c>
      <c r="F370" s="48">
        <v>1899</v>
      </c>
      <c r="G370" t="s">
        <v>663</v>
      </c>
      <c r="H370" s="91">
        <f t="shared" si="34"/>
        <v>0</v>
      </c>
    </row>
    <row r="371" spans="1:8">
      <c r="A371" s="49" t="s">
        <v>74</v>
      </c>
      <c r="B371" s="54" t="s">
        <v>421</v>
      </c>
      <c r="C371" s="82" t="s">
        <v>874</v>
      </c>
      <c r="D371" s="83">
        <v>6299</v>
      </c>
      <c r="E371" s="48">
        <v>6299</v>
      </c>
      <c r="F371" s="48">
        <v>6299</v>
      </c>
      <c r="G371" t="s">
        <v>663</v>
      </c>
      <c r="H371" s="91">
        <f t="shared" si="34"/>
        <v>0</v>
      </c>
    </row>
    <row r="372" spans="1:8">
      <c r="A372" s="49" t="s">
        <v>73</v>
      </c>
      <c r="B372" s="54" t="s">
        <v>422</v>
      </c>
      <c r="C372" s="82" t="s">
        <v>875</v>
      </c>
      <c r="D372" s="83">
        <v>5299</v>
      </c>
      <c r="E372" s="48">
        <v>5299</v>
      </c>
      <c r="F372" s="48">
        <v>5299</v>
      </c>
      <c r="G372" t="s">
        <v>663</v>
      </c>
      <c r="H372" s="91">
        <f t="shared" si="34"/>
        <v>0</v>
      </c>
    </row>
    <row r="373" spans="1:8">
      <c r="A373" s="49" t="s">
        <v>73</v>
      </c>
      <c r="B373" s="54" t="s">
        <v>423</v>
      </c>
      <c r="C373" s="82" t="s">
        <v>876</v>
      </c>
      <c r="D373" s="83">
        <v>21499</v>
      </c>
      <c r="E373" s="48">
        <v>21499</v>
      </c>
      <c r="F373" s="48">
        <v>21499</v>
      </c>
      <c r="G373" t="s">
        <v>663</v>
      </c>
      <c r="H373" s="91">
        <f t="shared" si="34"/>
        <v>0</v>
      </c>
    </row>
    <row r="374" spans="1:8">
      <c r="A374" s="49" t="s">
        <v>73</v>
      </c>
      <c r="B374" s="54" t="s">
        <v>424</v>
      </c>
      <c r="C374" s="82" t="s">
        <v>877</v>
      </c>
      <c r="D374" s="83">
        <v>24999</v>
      </c>
      <c r="E374" s="48">
        <v>24999</v>
      </c>
      <c r="F374" s="48">
        <v>24999</v>
      </c>
      <c r="G374" t="s">
        <v>663</v>
      </c>
      <c r="H374" s="91">
        <f t="shared" si="34"/>
        <v>0</v>
      </c>
    </row>
    <row r="375" spans="1:8">
      <c r="A375" s="49" t="s">
        <v>73</v>
      </c>
      <c r="B375" s="54" t="s">
        <v>425</v>
      </c>
      <c r="C375" s="82"/>
      <c r="D375" s="87">
        <f>E375</f>
        <v>29999</v>
      </c>
      <c r="E375" s="48">
        <v>29999</v>
      </c>
      <c r="F375" s="48">
        <v>29999</v>
      </c>
      <c r="G375" t="s">
        <v>663</v>
      </c>
      <c r="H375" s="91">
        <f t="shared" si="34"/>
        <v>0</v>
      </c>
    </row>
    <row r="376" spans="1:8">
      <c r="A376" s="49" t="s">
        <v>73</v>
      </c>
      <c r="B376" s="54" t="s">
        <v>426</v>
      </c>
      <c r="C376" s="82" t="s">
        <v>878</v>
      </c>
      <c r="D376" s="83">
        <v>4139</v>
      </c>
      <c r="E376" s="48">
        <v>4139</v>
      </c>
      <c r="F376" s="48">
        <v>4139</v>
      </c>
      <c r="G376" t="s">
        <v>663</v>
      </c>
      <c r="H376" s="91">
        <f t="shared" si="34"/>
        <v>0</v>
      </c>
    </row>
    <row r="377" spans="1:8">
      <c r="A377" s="49" t="s">
        <v>91</v>
      </c>
      <c r="B377" s="54" t="s">
        <v>427</v>
      </c>
      <c r="C377" s="82"/>
      <c r="D377" s="87">
        <f t="shared" ref="D377:D379" si="36">E377</f>
        <v>3199</v>
      </c>
      <c r="E377" s="48">
        <v>3199</v>
      </c>
      <c r="F377" s="48">
        <v>3199</v>
      </c>
      <c r="G377" t="s">
        <v>663</v>
      </c>
      <c r="H377" s="91">
        <f t="shared" si="34"/>
        <v>0</v>
      </c>
    </row>
    <row r="378" spans="1:8">
      <c r="A378" s="49" t="s">
        <v>83</v>
      </c>
      <c r="B378" s="54" t="s">
        <v>428</v>
      </c>
      <c r="C378" s="82"/>
      <c r="D378" s="87">
        <f t="shared" si="36"/>
        <v>7999</v>
      </c>
      <c r="E378" s="48">
        <v>7999</v>
      </c>
      <c r="F378" s="48">
        <v>7999</v>
      </c>
      <c r="G378" t="s">
        <v>663</v>
      </c>
      <c r="H378" s="91">
        <f t="shared" si="34"/>
        <v>0</v>
      </c>
    </row>
    <row r="379" spans="1:8">
      <c r="A379" s="49" t="s">
        <v>83</v>
      </c>
      <c r="B379" s="54" t="s">
        <v>429</v>
      </c>
      <c r="C379" s="82"/>
      <c r="D379" s="87">
        <f t="shared" si="36"/>
        <v>8199</v>
      </c>
      <c r="E379" s="48">
        <v>8199</v>
      </c>
      <c r="F379" s="48">
        <v>8199</v>
      </c>
      <c r="G379" t="s">
        <v>663</v>
      </c>
      <c r="H379" s="91">
        <f t="shared" si="34"/>
        <v>0</v>
      </c>
    </row>
    <row r="380" spans="1:8">
      <c r="A380" s="49" t="s">
        <v>386</v>
      </c>
      <c r="B380" s="54" t="s">
        <v>430</v>
      </c>
      <c r="C380" s="82" t="s">
        <v>879</v>
      </c>
      <c r="D380" s="83">
        <v>6499</v>
      </c>
      <c r="E380" s="48">
        <v>5999</v>
      </c>
      <c r="F380" s="48">
        <v>5999</v>
      </c>
      <c r="G380" s="66">
        <v>44427</v>
      </c>
      <c r="H380" s="91">
        <f t="shared" si="34"/>
        <v>500</v>
      </c>
    </row>
    <row r="381" spans="1:8">
      <c r="A381" s="49" t="s">
        <v>386</v>
      </c>
      <c r="B381" s="54" t="s">
        <v>431</v>
      </c>
      <c r="C381" s="82" t="s">
        <v>880</v>
      </c>
      <c r="D381" s="83">
        <v>3349</v>
      </c>
      <c r="E381" s="48">
        <v>3349</v>
      </c>
      <c r="F381" s="48">
        <v>3349</v>
      </c>
      <c r="G381" t="s">
        <v>663</v>
      </c>
      <c r="H381" s="91">
        <f t="shared" si="34"/>
        <v>0</v>
      </c>
    </row>
    <row r="382" spans="1:8">
      <c r="A382" s="49" t="s">
        <v>91</v>
      </c>
      <c r="B382" s="54" t="s">
        <v>432</v>
      </c>
      <c r="C382" s="82" t="s">
        <v>881</v>
      </c>
      <c r="D382" s="83">
        <v>3199</v>
      </c>
      <c r="E382" s="48">
        <v>2949</v>
      </c>
      <c r="F382" s="48">
        <v>2949</v>
      </c>
      <c r="G382" s="66">
        <v>44522</v>
      </c>
      <c r="H382" s="91">
        <f t="shared" si="34"/>
        <v>250</v>
      </c>
    </row>
    <row r="383" spans="1:8">
      <c r="A383" s="49" t="s">
        <v>396</v>
      </c>
      <c r="B383" s="54" t="s">
        <v>433</v>
      </c>
      <c r="C383" s="82" t="s">
        <v>882</v>
      </c>
      <c r="D383" s="83">
        <v>4139</v>
      </c>
      <c r="E383" s="48">
        <v>4139</v>
      </c>
      <c r="F383" s="48">
        <v>4139</v>
      </c>
      <c r="G383" t="s">
        <v>663</v>
      </c>
      <c r="H383" s="91">
        <f t="shared" si="34"/>
        <v>0</v>
      </c>
    </row>
    <row r="384" spans="1:8">
      <c r="A384" s="49" t="s">
        <v>73</v>
      </c>
      <c r="B384" s="56" t="s">
        <v>434</v>
      </c>
      <c r="C384" s="82" t="s">
        <v>883</v>
      </c>
      <c r="D384" s="83">
        <v>3299</v>
      </c>
      <c r="E384" s="48">
        <v>3299</v>
      </c>
      <c r="F384" s="48">
        <v>3299</v>
      </c>
      <c r="G384" t="s">
        <v>663</v>
      </c>
      <c r="H384" s="91">
        <f t="shared" si="34"/>
        <v>0</v>
      </c>
    </row>
    <row r="385" spans="1:8">
      <c r="A385" s="49" t="s">
        <v>91</v>
      </c>
      <c r="B385" s="56" t="s">
        <v>435</v>
      </c>
      <c r="C385" s="82" t="s">
        <v>884</v>
      </c>
      <c r="D385" s="83">
        <v>1239</v>
      </c>
      <c r="E385" s="48">
        <v>1239</v>
      </c>
      <c r="F385" s="48">
        <v>1239</v>
      </c>
      <c r="G385" t="s">
        <v>663</v>
      </c>
      <c r="H385" s="91">
        <f t="shared" si="34"/>
        <v>0</v>
      </c>
    </row>
    <row r="386" spans="1:8">
      <c r="A386" s="49" t="s">
        <v>74</v>
      </c>
      <c r="B386" s="56" t="s">
        <v>436</v>
      </c>
      <c r="C386" s="82"/>
      <c r="D386" s="88">
        <f t="shared" ref="D386:D392" si="37">E386</f>
        <v>12999</v>
      </c>
      <c r="E386" s="48">
        <v>12999</v>
      </c>
      <c r="F386" s="48">
        <v>12999</v>
      </c>
      <c r="G386" t="s">
        <v>663</v>
      </c>
      <c r="H386" s="91">
        <f t="shared" si="34"/>
        <v>0</v>
      </c>
    </row>
    <row r="387" spans="1:8">
      <c r="A387" s="49" t="s">
        <v>73</v>
      </c>
      <c r="B387" s="56" t="s">
        <v>437</v>
      </c>
      <c r="C387" s="82"/>
      <c r="D387" s="88">
        <f t="shared" si="37"/>
        <v>10999</v>
      </c>
      <c r="E387" s="57">
        <v>10999</v>
      </c>
      <c r="F387" s="57">
        <v>10999</v>
      </c>
      <c r="G387" t="s">
        <v>663</v>
      </c>
      <c r="H387" s="91">
        <f t="shared" ref="H387:H450" si="38">D387-E387</f>
        <v>0</v>
      </c>
    </row>
    <row r="388" spans="1:8">
      <c r="A388" s="49" t="s">
        <v>73</v>
      </c>
      <c r="B388" s="56" t="s">
        <v>438</v>
      </c>
      <c r="C388" s="82"/>
      <c r="D388" s="88">
        <f t="shared" si="37"/>
        <v>22999</v>
      </c>
      <c r="E388" s="57">
        <v>22999</v>
      </c>
      <c r="F388" s="57">
        <v>22999</v>
      </c>
      <c r="G388" t="s">
        <v>663</v>
      </c>
      <c r="H388" s="91">
        <f t="shared" si="38"/>
        <v>0</v>
      </c>
    </row>
    <row r="389" spans="1:8">
      <c r="A389" s="49" t="s">
        <v>73</v>
      </c>
      <c r="B389" s="56" t="s">
        <v>439</v>
      </c>
      <c r="C389" s="82"/>
      <c r="D389" s="88">
        <f t="shared" si="37"/>
        <v>26499</v>
      </c>
      <c r="E389" s="57">
        <v>26499</v>
      </c>
      <c r="F389" s="57">
        <v>26499</v>
      </c>
      <c r="G389" t="s">
        <v>663</v>
      </c>
      <c r="H389" s="91">
        <f t="shared" si="38"/>
        <v>0</v>
      </c>
    </row>
    <row r="390" spans="1:8">
      <c r="A390" s="49" t="s">
        <v>73</v>
      </c>
      <c r="B390" s="56" t="s">
        <v>440</v>
      </c>
      <c r="C390" s="82"/>
      <c r="D390" s="88">
        <f t="shared" si="37"/>
        <v>31499</v>
      </c>
      <c r="E390" s="57">
        <v>31499</v>
      </c>
      <c r="F390" s="57">
        <v>31499</v>
      </c>
      <c r="G390" t="s">
        <v>663</v>
      </c>
      <c r="H390" s="91">
        <f t="shared" si="38"/>
        <v>0</v>
      </c>
    </row>
    <row r="391" spans="1:8">
      <c r="A391" s="49" t="s">
        <v>73</v>
      </c>
      <c r="B391" s="56" t="s">
        <v>441</v>
      </c>
      <c r="C391" s="82"/>
      <c r="D391" s="88">
        <f t="shared" si="37"/>
        <v>8499</v>
      </c>
      <c r="E391" s="57">
        <v>8499</v>
      </c>
      <c r="F391" s="57">
        <v>8499</v>
      </c>
      <c r="G391" t="s">
        <v>663</v>
      </c>
      <c r="H391" s="91">
        <f t="shared" si="38"/>
        <v>0</v>
      </c>
    </row>
    <row r="392" spans="1:8">
      <c r="A392" s="49" t="s">
        <v>336</v>
      </c>
      <c r="B392" s="56" t="s">
        <v>442</v>
      </c>
      <c r="C392" s="82"/>
      <c r="D392" s="88">
        <f t="shared" si="37"/>
        <v>6499</v>
      </c>
      <c r="E392" s="57">
        <v>6499</v>
      </c>
      <c r="F392" s="57">
        <v>6499</v>
      </c>
      <c r="G392" t="s">
        <v>663</v>
      </c>
      <c r="H392" s="91">
        <f t="shared" si="38"/>
        <v>0</v>
      </c>
    </row>
    <row r="393" spans="1:8">
      <c r="A393" s="49" t="s">
        <v>74</v>
      </c>
      <c r="B393" s="56" t="s">
        <v>443</v>
      </c>
      <c r="C393" s="82" t="s">
        <v>885</v>
      </c>
      <c r="D393" s="83">
        <v>4599</v>
      </c>
      <c r="E393" s="57">
        <v>4599</v>
      </c>
      <c r="F393" s="57">
        <v>4599</v>
      </c>
      <c r="G393" t="s">
        <v>663</v>
      </c>
      <c r="H393" s="91">
        <f t="shared" si="38"/>
        <v>0</v>
      </c>
    </row>
    <row r="394" spans="1:8">
      <c r="A394" s="49" t="s">
        <v>74</v>
      </c>
      <c r="B394" s="58" t="s">
        <v>444</v>
      </c>
      <c r="C394" s="82" t="s">
        <v>886</v>
      </c>
      <c r="D394" s="83">
        <v>3499</v>
      </c>
      <c r="E394" s="48">
        <v>3299</v>
      </c>
      <c r="F394" s="48">
        <v>3299</v>
      </c>
      <c r="G394" s="66">
        <v>44371</v>
      </c>
      <c r="H394" s="91">
        <f t="shared" si="38"/>
        <v>200</v>
      </c>
    </row>
    <row r="395" spans="1:8">
      <c r="A395" s="49" t="s">
        <v>393</v>
      </c>
      <c r="B395" s="58" t="s">
        <v>445</v>
      </c>
      <c r="C395" s="82" t="s">
        <v>887</v>
      </c>
      <c r="D395" s="83">
        <v>8499</v>
      </c>
      <c r="E395" s="48">
        <v>8499</v>
      </c>
      <c r="F395" s="48">
        <v>8499</v>
      </c>
      <c r="G395" t="s">
        <v>663</v>
      </c>
      <c r="H395" s="91">
        <f t="shared" si="38"/>
        <v>0</v>
      </c>
    </row>
    <row r="396" spans="1:8">
      <c r="A396" s="58" t="s">
        <v>385</v>
      </c>
      <c r="B396" s="58" t="s">
        <v>446</v>
      </c>
      <c r="C396" s="82" t="s">
        <v>888</v>
      </c>
      <c r="D396" s="83">
        <v>6999</v>
      </c>
      <c r="E396" s="48">
        <v>6999</v>
      </c>
      <c r="F396" s="48">
        <v>6999</v>
      </c>
      <c r="G396" t="s">
        <v>663</v>
      </c>
      <c r="H396" s="91">
        <f t="shared" si="38"/>
        <v>0</v>
      </c>
    </row>
    <row r="397" spans="1:8">
      <c r="A397" s="58" t="s">
        <v>385</v>
      </c>
      <c r="B397" s="58" t="s">
        <v>448</v>
      </c>
      <c r="C397" s="82" t="s">
        <v>856</v>
      </c>
      <c r="D397" s="83">
        <v>5299</v>
      </c>
      <c r="E397" s="48">
        <v>4799</v>
      </c>
      <c r="F397" s="48">
        <v>4799</v>
      </c>
      <c r="G397" s="66">
        <v>44427</v>
      </c>
      <c r="H397" s="91">
        <f t="shared" si="38"/>
        <v>500</v>
      </c>
    </row>
    <row r="398" spans="1:8">
      <c r="A398" s="58" t="s">
        <v>385</v>
      </c>
      <c r="B398" s="58" t="s">
        <v>449</v>
      </c>
      <c r="C398" s="82"/>
      <c r="D398" s="85">
        <f>E398</f>
        <v>2919</v>
      </c>
      <c r="E398" s="48">
        <v>2919</v>
      </c>
      <c r="F398" s="48">
        <v>2919</v>
      </c>
      <c r="G398" t="s">
        <v>663</v>
      </c>
      <c r="H398" s="91">
        <f t="shared" si="38"/>
        <v>0</v>
      </c>
    </row>
    <row r="399" spans="1:8">
      <c r="A399" s="58" t="s">
        <v>385</v>
      </c>
      <c r="B399" s="58" t="s">
        <v>450</v>
      </c>
      <c r="C399" s="82" t="s">
        <v>879</v>
      </c>
      <c r="D399" s="83">
        <v>6499</v>
      </c>
      <c r="E399" s="48">
        <v>6139</v>
      </c>
      <c r="F399" s="48">
        <v>6139</v>
      </c>
      <c r="G399" s="66">
        <v>44427</v>
      </c>
      <c r="H399" s="91">
        <f t="shared" si="38"/>
        <v>360</v>
      </c>
    </row>
    <row r="400" spans="1:8">
      <c r="A400" s="58" t="s">
        <v>385</v>
      </c>
      <c r="B400" s="58" t="s">
        <v>447</v>
      </c>
      <c r="C400" s="82"/>
      <c r="D400" s="85">
        <f t="shared" ref="D400:D402" si="39">E400</f>
        <v>8669</v>
      </c>
      <c r="E400" s="48">
        <v>8669</v>
      </c>
      <c r="F400" s="48">
        <v>8669</v>
      </c>
      <c r="G400" t="s">
        <v>663</v>
      </c>
      <c r="H400" s="91">
        <f t="shared" si="38"/>
        <v>0</v>
      </c>
    </row>
    <row r="401" spans="1:8">
      <c r="A401" s="58" t="s">
        <v>385</v>
      </c>
      <c r="B401" s="58" t="s">
        <v>451</v>
      </c>
      <c r="C401" s="82"/>
      <c r="D401" s="85">
        <f t="shared" si="39"/>
        <v>3679</v>
      </c>
      <c r="E401" s="48">
        <v>3679</v>
      </c>
      <c r="F401" s="48">
        <v>3679</v>
      </c>
      <c r="G401" t="s">
        <v>663</v>
      </c>
      <c r="H401" s="91">
        <f t="shared" si="38"/>
        <v>0</v>
      </c>
    </row>
    <row r="402" spans="1:8">
      <c r="A402" s="58" t="s">
        <v>336</v>
      </c>
      <c r="B402" s="58" t="s">
        <v>452</v>
      </c>
      <c r="C402" s="82"/>
      <c r="D402" s="85">
        <f t="shared" si="39"/>
        <v>16999</v>
      </c>
      <c r="E402" s="48">
        <v>16999</v>
      </c>
      <c r="F402" s="48">
        <v>16999</v>
      </c>
      <c r="G402" t="s">
        <v>663</v>
      </c>
      <c r="H402" s="91">
        <f t="shared" si="38"/>
        <v>0</v>
      </c>
    </row>
    <row r="403" spans="1:8">
      <c r="A403" s="58" t="s">
        <v>336</v>
      </c>
      <c r="B403" s="58" t="s">
        <v>453</v>
      </c>
      <c r="C403" s="82" t="s">
        <v>889</v>
      </c>
      <c r="D403" s="83">
        <v>5999</v>
      </c>
      <c r="E403" s="48">
        <v>5999</v>
      </c>
      <c r="F403" s="48">
        <v>5999</v>
      </c>
      <c r="G403" t="s">
        <v>663</v>
      </c>
      <c r="H403" s="91">
        <f t="shared" si="38"/>
        <v>0</v>
      </c>
    </row>
    <row r="404" spans="1:8">
      <c r="A404" s="58" t="s">
        <v>393</v>
      </c>
      <c r="B404" s="58" t="s">
        <v>454</v>
      </c>
      <c r="C404" s="82"/>
      <c r="D404" s="85">
        <f t="shared" ref="D404:D405" si="40">E404</f>
        <v>6499</v>
      </c>
      <c r="E404" s="48">
        <v>6499</v>
      </c>
      <c r="F404" s="48">
        <v>6499</v>
      </c>
      <c r="G404" t="s">
        <v>663</v>
      </c>
      <c r="H404" s="91">
        <f t="shared" si="38"/>
        <v>0</v>
      </c>
    </row>
    <row r="405" spans="1:8">
      <c r="A405" s="58" t="s">
        <v>338</v>
      </c>
      <c r="B405" s="58" t="s">
        <v>456</v>
      </c>
      <c r="C405" s="82"/>
      <c r="D405" s="85">
        <f t="shared" si="40"/>
        <v>11999</v>
      </c>
      <c r="E405" s="48">
        <v>11999</v>
      </c>
      <c r="F405" s="48">
        <v>11999</v>
      </c>
      <c r="G405" t="s">
        <v>663</v>
      </c>
      <c r="H405" s="91">
        <f t="shared" si="38"/>
        <v>0</v>
      </c>
    </row>
    <row r="406" spans="1:8">
      <c r="A406" s="58" t="s">
        <v>338</v>
      </c>
      <c r="B406" s="58" t="s">
        <v>455</v>
      </c>
      <c r="C406" s="82" t="s">
        <v>973</v>
      </c>
      <c r="D406" s="83">
        <v>11999</v>
      </c>
      <c r="E406" s="48">
        <v>11999</v>
      </c>
      <c r="F406" s="48">
        <v>11999</v>
      </c>
      <c r="G406" t="s">
        <v>663</v>
      </c>
      <c r="H406" s="91">
        <f t="shared" si="38"/>
        <v>0</v>
      </c>
    </row>
    <row r="407" spans="1:8">
      <c r="A407" s="58" t="s">
        <v>363</v>
      </c>
      <c r="B407" s="58" t="s">
        <v>457</v>
      </c>
      <c r="C407" s="82"/>
      <c r="D407" s="85">
        <f>E407</f>
        <v>5688.7931034482763</v>
      </c>
      <c r="E407" s="48">
        <v>5688.7931034482763</v>
      </c>
      <c r="F407" s="48">
        <v>5688.7931034482763</v>
      </c>
      <c r="G407" t="s">
        <v>663</v>
      </c>
      <c r="H407" s="91">
        <f t="shared" si="38"/>
        <v>0</v>
      </c>
    </row>
    <row r="408" spans="1:8">
      <c r="A408" s="58" t="s">
        <v>338</v>
      </c>
      <c r="B408" s="58" t="s">
        <v>458</v>
      </c>
      <c r="C408" s="82" t="s">
        <v>890</v>
      </c>
      <c r="D408" s="83">
        <v>4889</v>
      </c>
      <c r="E408" s="48">
        <v>4889</v>
      </c>
      <c r="F408" s="48">
        <v>4889</v>
      </c>
      <c r="G408" t="s">
        <v>663</v>
      </c>
      <c r="H408" s="91">
        <f t="shared" si="38"/>
        <v>0</v>
      </c>
    </row>
    <row r="409" spans="1:8">
      <c r="A409" s="58" t="s">
        <v>338</v>
      </c>
      <c r="B409" s="58" t="s">
        <v>459</v>
      </c>
      <c r="C409" s="82" t="s">
        <v>582</v>
      </c>
      <c r="D409" s="83">
        <v>8499</v>
      </c>
      <c r="E409" s="48">
        <v>8499</v>
      </c>
      <c r="F409" s="48">
        <v>8499</v>
      </c>
      <c r="G409" t="s">
        <v>663</v>
      </c>
      <c r="H409" s="91">
        <f t="shared" si="38"/>
        <v>0</v>
      </c>
    </row>
    <row r="410" spans="1:8">
      <c r="A410" s="58" t="s">
        <v>271</v>
      </c>
      <c r="B410" s="58" t="s">
        <v>460</v>
      </c>
      <c r="C410" s="82" t="s">
        <v>891</v>
      </c>
      <c r="D410" s="83">
        <v>3149</v>
      </c>
      <c r="E410" s="57">
        <v>1999</v>
      </c>
      <c r="F410" s="57">
        <v>1999</v>
      </c>
      <c r="G410" s="66">
        <v>44776</v>
      </c>
      <c r="H410" s="91">
        <f t="shared" si="38"/>
        <v>1150</v>
      </c>
    </row>
    <row r="411" spans="1:8">
      <c r="A411" s="58" t="s">
        <v>385</v>
      </c>
      <c r="B411" s="58" t="s">
        <v>461</v>
      </c>
      <c r="C411" s="82" t="s">
        <v>892</v>
      </c>
      <c r="D411" s="83">
        <v>8999</v>
      </c>
      <c r="E411" s="57">
        <v>8799</v>
      </c>
      <c r="F411" s="57">
        <v>8799</v>
      </c>
      <c r="G411" s="66">
        <v>44336</v>
      </c>
      <c r="H411" s="91">
        <f t="shared" si="38"/>
        <v>200</v>
      </c>
    </row>
    <row r="412" spans="1:8">
      <c r="A412" s="58" t="s">
        <v>336</v>
      </c>
      <c r="B412" s="58" t="s">
        <v>462</v>
      </c>
      <c r="C412" s="82" t="s">
        <v>893</v>
      </c>
      <c r="D412" s="83">
        <v>4139</v>
      </c>
      <c r="E412" s="57">
        <v>4139</v>
      </c>
      <c r="F412" s="57">
        <v>4139</v>
      </c>
      <c r="G412" t="s">
        <v>663</v>
      </c>
      <c r="H412" s="91">
        <f t="shared" si="38"/>
        <v>0</v>
      </c>
    </row>
    <row r="413" spans="1:8">
      <c r="A413" s="58" t="s">
        <v>67</v>
      </c>
      <c r="B413" s="58" t="s">
        <v>463</v>
      </c>
      <c r="C413" s="82" t="s">
        <v>894</v>
      </c>
      <c r="D413" s="83">
        <v>20999</v>
      </c>
      <c r="E413" s="57">
        <v>20999</v>
      </c>
      <c r="F413" s="57">
        <v>20999</v>
      </c>
      <c r="G413" t="s">
        <v>663</v>
      </c>
      <c r="H413" s="91">
        <f t="shared" si="38"/>
        <v>0</v>
      </c>
    </row>
    <row r="414" spans="1:8">
      <c r="A414" s="58" t="s">
        <v>67</v>
      </c>
      <c r="B414" s="58" t="s">
        <v>464</v>
      </c>
      <c r="C414" s="82" t="s">
        <v>895</v>
      </c>
      <c r="D414" s="83">
        <v>23999</v>
      </c>
      <c r="E414" s="57">
        <v>23999</v>
      </c>
      <c r="F414" s="57">
        <v>23999</v>
      </c>
      <c r="G414" t="s">
        <v>663</v>
      </c>
      <c r="H414" s="91">
        <f t="shared" si="38"/>
        <v>0</v>
      </c>
    </row>
    <row r="415" spans="1:8">
      <c r="A415" s="58" t="s">
        <v>67</v>
      </c>
      <c r="B415" s="58" t="s">
        <v>465</v>
      </c>
      <c r="C415" s="82" t="s">
        <v>896</v>
      </c>
      <c r="D415" s="83">
        <v>28999</v>
      </c>
      <c r="E415" s="57">
        <v>28999</v>
      </c>
      <c r="F415" s="57">
        <v>28999</v>
      </c>
      <c r="G415" t="s">
        <v>663</v>
      </c>
      <c r="H415" s="91">
        <f t="shared" si="38"/>
        <v>0</v>
      </c>
    </row>
    <row r="416" spans="1:8">
      <c r="A416" s="58" t="s">
        <v>67</v>
      </c>
      <c r="B416" s="58" t="s">
        <v>466</v>
      </c>
      <c r="C416" s="82" t="s">
        <v>897</v>
      </c>
      <c r="D416" s="83">
        <v>28999</v>
      </c>
      <c r="E416" s="57">
        <v>28999</v>
      </c>
      <c r="F416" s="57">
        <v>28999</v>
      </c>
      <c r="G416" t="s">
        <v>663</v>
      </c>
      <c r="H416" s="91">
        <f t="shared" si="38"/>
        <v>0</v>
      </c>
    </row>
    <row r="417" spans="1:8">
      <c r="A417" s="58" t="s">
        <v>67</v>
      </c>
      <c r="B417" s="58" t="s">
        <v>467</v>
      </c>
      <c r="C417" s="82" t="s">
        <v>898</v>
      </c>
      <c r="D417" s="83">
        <v>31999</v>
      </c>
      <c r="E417" s="57">
        <v>31999</v>
      </c>
      <c r="F417" s="57">
        <v>31999</v>
      </c>
      <c r="G417" t="s">
        <v>663</v>
      </c>
      <c r="H417" s="91">
        <f t="shared" si="38"/>
        <v>0</v>
      </c>
    </row>
    <row r="418" spans="1:8">
      <c r="A418" s="58" t="s">
        <v>67</v>
      </c>
      <c r="B418" s="58" t="s">
        <v>468</v>
      </c>
      <c r="C418" s="82" t="s">
        <v>899</v>
      </c>
      <c r="D418" s="83">
        <v>36999</v>
      </c>
      <c r="E418" s="57">
        <v>36999</v>
      </c>
      <c r="F418" s="57">
        <v>36999</v>
      </c>
      <c r="G418" t="s">
        <v>663</v>
      </c>
      <c r="H418" s="91">
        <f t="shared" si="38"/>
        <v>0</v>
      </c>
    </row>
    <row r="419" spans="1:8">
      <c r="A419" s="58" t="s">
        <v>67</v>
      </c>
      <c r="B419" s="58" t="s">
        <v>469</v>
      </c>
      <c r="C419" s="82" t="s">
        <v>900</v>
      </c>
      <c r="D419" s="83">
        <f>E419</f>
        <v>41999</v>
      </c>
      <c r="E419" s="57">
        <v>41999</v>
      </c>
      <c r="F419" s="57">
        <v>41999</v>
      </c>
      <c r="G419" t="s">
        <v>663</v>
      </c>
      <c r="H419" s="91">
        <f t="shared" si="38"/>
        <v>0</v>
      </c>
    </row>
    <row r="420" spans="1:8">
      <c r="A420" s="58" t="s">
        <v>363</v>
      </c>
      <c r="B420" s="58" t="s">
        <v>470</v>
      </c>
      <c r="C420" s="82" t="s">
        <v>901</v>
      </c>
      <c r="D420" s="83">
        <v>3299</v>
      </c>
      <c r="E420" s="57">
        <v>3299</v>
      </c>
      <c r="F420" s="57">
        <v>3299</v>
      </c>
      <c r="G420" t="s">
        <v>663</v>
      </c>
      <c r="H420" s="91">
        <f t="shared" si="38"/>
        <v>0</v>
      </c>
    </row>
    <row r="421" spans="1:8">
      <c r="A421" s="58" t="s">
        <v>67</v>
      </c>
      <c r="B421" s="58" t="s">
        <v>471</v>
      </c>
      <c r="C421" s="82" t="s">
        <v>902</v>
      </c>
      <c r="D421" s="83">
        <v>25999</v>
      </c>
      <c r="E421" s="57">
        <v>25999</v>
      </c>
      <c r="F421" s="57">
        <v>25999</v>
      </c>
      <c r="G421" t="s">
        <v>663</v>
      </c>
      <c r="H421" s="91">
        <f t="shared" si="38"/>
        <v>0</v>
      </c>
    </row>
    <row r="422" spans="1:8">
      <c r="A422" s="58" t="s">
        <v>67</v>
      </c>
      <c r="B422" s="58" t="s">
        <v>472</v>
      </c>
      <c r="C422" s="82" t="s">
        <v>903</v>
      </c>
      <c r="D422" s="83">
        <v>28999</v>
      </c>
      <c r="E422" s="57">
        <v>28999</v>
      </c>
      <c r="F422" s="57">
        <v>28999</v>
      </c>
      <c r="G422" t="s">
        <v>663</v>
      </c>
      <c r="H422" s="91">
        <f t="shared" si="38"/>
        <v>0</v>
      </c>
    </row>
    <row r="423" spans="1:8">
      <c r="A423" s="58" t="s">
        <v>67</v>
      </c>
      <c r="B423" s="58" t="s">
        <v>473</v>
      </c>
      <c r="C423" s="82" t="s">
        <v>904</v>
      </c>
      <c r="D423" s="83">
        <v>33999</v>
      </c>
      <c r="E423" s="57">
        <v>33999</v>
      </c>
      <c r="F423" s="57">
        <v>33999</v>
      </c>
      <c r="G423" t="s">
        <v>663</v>
      </c>
      <c r="H423" s="91">
        <f t="shared" si="38"/>
        <v>0</v>
      </c>
    </row>
    <row r="424" spans="1:8">
      <c r="A424" s="58" t="s">
        <v>67</v>
      </c>
      <c r="B424" s="58" t="s">
        <v>476</v>
      </c>
      <c r="C424" s="82" t="s">
        <v>905</v>
      </c>
      <c r="D424" s="83">
        <v>17999</v>
      </c>
      <c r="E424" s="57">
        <v>17999</v>
      </c>
      <c r="F424" s="57">
        <v>17999</v>
      </c>
      <c r="G424" t="s">
        <v>663</v>
      </c>
      <c r="H424" s="91">
        <f t="shared" si="38"/>
        <v>0</v>
      </c>
    </row>
    <row r="425" spans="1:8">
      <c r="A425" s="58" t="s">
        <v>336</v>
      </c>
      <c r="B425" s="58" t="s">
        <v>474</v>
      </c>
      <c r="C425" s="82"/>
      <c r="D425" s="89">
        <f>E425</f>
        <v>24999</v>
      </c>
      <c r="E425" s="57">
        <v>24999</v>
      </c>
      <c r="F425" s="57">
        <v>24999</v>
      </c>
      <c r="G425" t="s">
        <v>663</v>
      </c>
      <c r="H425" s="91">
        <f t="shared" si="38"/>
        <v>0</v>
      </c>
    </row>
    <row r="426" spans="1:8">
      <c r="A426" s="58" t="s">
        <v>336</v>
      </c>
      <c r="B426" s="58" t="s">
        <v>475</v>
      </c>
      <c r="C426" s="82" t="s">
        <v>906</v>
      </c>
      <c r="D426" s="83">
        <v>27499</v>
      </c>
      <c r="E426" s="57">
        <v>27499</v>
      </c>
      <c r="F426" s="57">
        <v>27499</v>
      </c>
      <c r="G426" t="s">
        <v>663</v>
      </c>
      <c r="H426" s="91">
        <f t="shared" si="38"/>
        <v>0</v>
      </c>
    </row>
    <row r="427" spans="1:8">
      <c r="A427" s="58" t="s">
        <v>393</v>
      </c>
      <c r="B427" s="58" t="s">
        <v>477</v>
      </c>
      <c r="C427" s="82" t="s">
        <v>907</v>
      </c>
      <c r="D427" s="83">
        <f t="shared" ref="D427:D428" si="41">E427</f>
        <v>5499</v>
      </c>
      <c r="E427" s="57">
        <v>5499</v>
      </c>
      <c r="F427" s="57">
        <v>5499</v>
      </c>
      <c r="G427" t="s">
        <v>663</v>
      </c>
      <c r="H427" s="91">
        <f t="shared" si="38"/>
        <v>0</v>
      </c>
    </row>
    <row r="428" spans="1:8">
      <c r="A428" s="58" t="s">
        <v>363</v>
      </c>
      <c r="B428" s="58" t="s">
        <v>478</v>
      </c>
      <c r="C428" s="82"/>
      <c r="D428" s="89">
        <f t="shared" si="41"/>
        <v>10999</v>
      </c>
      <c r="E428" s="57">
        <v>10999</v>
      </c>
      <c r="F428" s="57">
        <v>10999</v>
      </c>
      <c r="G428" t="s">
        <v>663</v>
      </c>
      <c r="H428" s="91">
        <f t="shared" si="38"/>
        <v>0</v>
      </c>
    </row>
    <row r="429" spans="1:8">
      <c r="A429" s="58" t="s">
        <v>336</v>
      </c>
      <c r="B429" s="58" t="s">
        <v>479</v>
      </c>
      <c r="C429" s="82" t="s">
        <v>908</v>
      </c>
      <c r="D429" s="83">
        <v>4999</v>
      </c>
      <c r="E429" s="57">
        <v>4999</v>
      </c>
      <c r="F429" s="57">
        <v>4999</v>
      </c>
      <c r="G429" t="s">
        <v>663</v>
      </c>
      <c r="H429" s="91">
        <f t="shared" si="38"/>
        <v>0</v>
      </c>
    </row>
    <row r="430" spans="1:8">
      <c r="A430" s="58" t="s">
        <v>363</v>
      </c>
      <c r="B430" s="58" t="s">
        <v>480</v>
      </c>
      <c r="C430" s="82"/>
      <c r="D430" s="89">
        <f t="shared" ref="D430:D432" si="42">E430</f>
        <v>19999</v>
      </c>
      <c r="E430" s="57">
        <v>19999</v>
      </c>
      <c r="F430" s="57">
        <v>19999</v>
      </c>
      <c r="G430" t="s">
        <v>663</v>
      </c>
      <c r="H430" s="91">
        <f t="shared" si="38"/>
        <v>0</v>
      </c>
    </row>
    <row r="431" spans="1:8">
      <c r="A431" s="58" t="s">
        <v>363</v>
      </c>
      <c r="B431" s="58" t="s">
        <v>481</v>
      </c>
      <c r="C431" s="82" t="s">
        <v>909</v>
      </c>
      <c r="D431" s="83">
        <f t="shared" si="42"/>
        <v>7299</v>
      </c>
      <c r="E431" s="57">
        <v>7299</v>
      </c>
      <c r="F431" s="57">
        <v>7299</v>
      </c>
      <c r="G431" t="s">
        <v>663</v>
      </c>
      <c r="H431" s="91">
        <f t="shared" si="38"/>
        <v>0</v>
      </c>
    </row>
    <row r="432" spans="1:8">
      <c r="A432" s="58" t="s">
        <v>363</v>
      </c>
      <c r="B432" s="58" t="s">
        <v>482</v>
      </c>
      <c r="C432" s="82"/>
      <c r="D432" s="85">
        <f t="shared" si="42"/>
        <v>8499</v>
      </c>
      <c r="E432" s="48">
        <v>8499</v>
      </c>
      <c r="F432" s="48">
        <v>8499</v>
      </c>
      <c r="G432" t="s">
        <v>663</v>
      </c>
      <c r="H432" s="91">
        <f t="shared" si="38"/>
        <v>0</v>
      </c>
    </row>
    <row r="433" spans="1:8">
      <c r="A433" s="59" t="s">
        <v>331</v>
      </c>
      <c r="B433" s="58" t="s">
        <v>483</v>
      </c>
      <c r="C433" s="82" t="s">
        <v>910</v>
      </c>
      <c r="D433" s="83">
        <v>12999</v>
      </c>
      <c r="E433" s="48">
        <v>12999</v>
      </c>
      <c r="F433" s="48">
        <v>12999</v>
      </c>
      <c r="G433" t="s">
        <v>663</v>
      </c>
      <c r="H433" s="91">
        <f t="shared" si="38"/>
        <v>0</v>
      </c>
    </row>
    <row r="434" spans="1:8">
      <c r="A434" s="58" t="s">
        <v>331</v>
      </c>
      <c r="B434" s="58" t="s">
        <v>484</v>
      </c>
      <c r="C434" s="82"/>
      <c r="D434" s="85">
        <f t="shared" ref="D434:D437" si="43">E434</f>
        <v>15999</v>
      </c>
      <c r="E434" s="48">
        <v>15999</v>
      </c>
      <c r="F434" s="48">
        <v>15999</v>
      </c>
      <c r="G434" t="s">
        <v>663</v>
      </c>
      <c r="H434" s="91">
        <f t="shared" si="38"/>
        <v>0</v>
      </c>
    </row>
    <row r="435" spans="1:8">
      <c r="A435" s="58" t="s">
        <v>331</v>
      </c>
      <c r="B435" s="58" t="s">
        <v>485</v>
      </c>
      <c r="C435" s="82"/>
      <c r="D435" s="85">
        <f t="shared" si="43"/>
        <v>15999</v>
      </c>
      <c r="E435" s="48">
        <v>15999</v>
      </c>
      <c r="F435" s="48">
        <v>15999</v>
      </c>
      <c r="G435" t="s">
        <v>663</v>
      </c>
      <c r="H435" s="91">
        <f t="shared" si="38"/>
        <v>0</v>
      </c>
    </row>
    <row r="436" spans="1:8">
      <c r="A436" s="58" t="s">
        <v>385</v>
      </c>
      <c r="B436" s="58" t="s">
        <v>486</v>
      </c>
      <c r="C436" s="82"/>
      <c r="D436" s="85">
        <f t="shared" si="43"/>
        <v>5999</v>
      </c>
      <c r="E436" s="48">
        <v>5999</v>
      </c>
      <c r="F436" s="48">
        <v>5999</v>
      </c>
      <c r="G436" t="s">
        <v>663</v>
      </c>
      <c r="H436" s="91">
        <f t="shared" si="38"/>
        <v>0</v>
      </c>
    </row>
    <row r="437" spans="1:8">
      <c r="A437" s="58" t="s">
        <v>363</v>
      </c>
      <c r="B437" s="58" t="s">
        <v>487</v>
      </c>
      <c r="C437" s="82" t="s">
        <v>911</v>
      </c>
      <c r="D437" s="83">
        <f t="shared" si="43"/>
        <v>3599</v>
      </c>
      <c r="E437" s="48">
        <v>3599</v>
      </c>
      <c r="F437" s="48">
        <v>3599</v>
      </c>
      <c r="G437" t="s">
        <v>663</v>
      </c>
      <c r="H437" s="91">
        <f t="shared" si="38"/>
        <v>0</v>
      </c>
    </row>
    <row r="438" spans="1:8">
      <c r="A438" s="58" t="s">
        <v>338</v>
      </c>
      <c r="B438" s="58" t="s">
        <v>488</v>
      </c>
      <c r="C438" s="82" t="s">
        <v>583</v>
      </c>
      <c r="D438" s="83">
        <v>12999</v>
      </c>
      <c r="E438" s="48">
        <v>12999</v>
      </c>
      <c r="F438" s="48">
        <v>12999</v>
      </c>
      <c r="G438" t="s">
        <v>663</v>
      </c>
      <c r="H438" s="91">
        <f t="shared" si="38"/>
        <v>0</v>
      </c>
    </row>
    <row r="439" spans="1:8">
      <c r="A439" s="58" t="s">
        <v>385</v>
      </c>
      <c r="B439" s="58" t="s">
        <v>489</v>
      </c>
      <c r="C439" s="82"/>
      <c r="D439" s="85">
        <f>E439</f>
        <v>9999</v>
      </c>
      <c r="E439" s="48">
        <v>9999</v>
      </c>
      <c r="F439" s="48">
        <v>9999</v>
      </c>
      <c r="G439" t="s">
        <v>663</v>
      </c>
      <c r="H439" s="91">
        <f t="shared" si="38"/>
        <v>0</v>
      </c>
    </row>
    <row r="440" spans="1:8">
      <c r="A440" s="58" t="s">
        <v>385</v>
      </c>
      <c r="B440" s="58" t="s">
        <v>490</v>
      </c>
      <c r="C440" s="82" t="s">
        <v>603</v>
      </c>
      <c r="D440" s="83">
        <v>12999</v>
      </c>
      <c r="E440" s="48">
        <v>12999</v>
      </c>
      <c r="F440" s="48">
        <v>12999</v>
      </c>
      <c r="G440" t="s">
        <v>663</v>
      </c>
      <c r="H440" s="91">
        <f t="shared" si="38"/>
        <v>0</v>
      </c>
    </row>
    <row r="441" spans="1:8">
      <c r="A441" s="58" t="s">
        <v>385</v>
      </c>
      <c r="B441" s="58" t="s">
        <v>491</v>
      </c>
      <c r="C441" s="82" t="s">
        <v>888</v>
      </c>
      <c r="D441" s="83">
        <v>6999</v>
      </c>
      <c r="E441" s="48">
        <v>6999</v>
      </c>
      <c r="F441" s="48">
        <v>6999</v>
      </c>
      <c r="G441" t="s">
        <v>663</v>
      </c>
      <c r="H441" s="91">
        <f t="shared" si="38"/>
        <v>0</v>
      </c>
    </row>
    <row r="442" spans="1:8">
      <c r="A442" s="58" t="s">
        <v>385</v>
      </c>
      <c r="B442" s="58" t="s">
        <v>492</v>
      </c>
      <c r="C442" s="82" t="s">
        <v>888</v>
      </c>
      <c r="D442" s="83">
        <v>6999</v>
      </c>
      <c r="E442" s="48">
        <v>6999</v>
      </c>
      <c r="F442" s="48">
        <v>6999</v>
      </c>
      <c r="G442" t="s">
        <v>663</v>
      </c>
      <c r="H442" s="91">
        <f t="shared" si="38"/>
        <v>0</v>
      </c>
    </row>
    <row r="443" spans="1:8">
      <c r="A443" s="58" t="s">
        <v>385</v>
      </c>
      <c r="B443" s="58" t="s">
        <v>493</v>
      </c>
      <c r="C443" s="82" t="s">
        <v>888</v>
      </c>
      <c r="D443" s="83">
        <v>6999</v>
      </c>
      <c r="E443" s="48">
        <v>6999</v>
      </c>
      <c r="F443" s="48">
        <v>6999</v>
      </c>
      <c r="G443" t="s">
        <v>663</v>
      </c>
      <c r="H443" s="91">
        <f t="shared" si="38"/>
        <v>0</v>
      </c>
    </row>
    <row r="444" spans="1:8">
      <c r="A444" s="60" t="s">
        <v>385</v>
      </c>
      <c r="B444" s="60" t="s">
        <v>494</v>
      </c>
      <c r="C444" s="82" t="s">
        <v>888</v>
      </c>
      <c r="D444" s="83">
        <v>6999</v>
      </c>
      <c r="E444" s="61">
        <v>6999</v>
      </c>
      <c r="F444" s="61">
        <v>6999</v>
      </c>
      <c r="G444" t="s">
        <v>663</v>
      </c>
      <c r="H444" s="91">
        <f t="shared" si="38"/>
        <v>0</v>
      </c>
    </row>
    <row r="445" spans="1:8">
      <c r="A445" s="58" t="s">
        <v>385</v>
      </c>
      <c r="B445" s="62" t="s">
        <v>495</v>
      </c>
      <c r="C445" s="82" t="s">
        <v>912</v>
      </c>
      <c r="D445" s="83">
        <v>3999</v>
      </c>
      <c r="E445" s="57">
        <v>3999</v>
      </c>
      <c r="F445" s="57">
        <v>3999</v>
      </c>
      <c r="G445" t="s">
        <v>663</v>
      </c>
      <c r="H445" s="91">
        <f t="shared" si="38"/>
        <v>0</v>
      </c>
    </row>
    <row r="446" spans="1:8">
      <c r="A446" s="58" t="s">
        <v>496</v>
      </c>
      <c r="B446" s="58" t="s">
        <v>497</v>
      </c>
      <c r="C446" s="82" t="s">
        <v>913</v>
      </c>
      <c r="D446" s="83">
        <f t="shared" ref="D446:D451" si="44">E446</f>
        <v>8499</v>
      </c>
      <c r="E446" s="48">
        <v>8499</v>
      </c>
      <c r="F446" s="48">
        <v>8499</v>
      </c>
      <c r="G446" t="s">
        <v>663</v>
      </c>
      <c r="H446" s="91">
        <f t="shared" si="38"/>
        <v>0</v>
      </c>
    </row>
    <row r="447" spans="1:8">
      <c r="A447" s="58" t="s">
        <v>338</v>
      </c>
      <c r="B447" s="58" t="s">
        <v>498</v>
      </c>
      <c r="C447" s="82" t="s">
        <v>588</v>
      </c>
      <c r="D447" s="83">
        <f t="shared" si="44"/>
        <v>26999</v>
      </c>
      <c r="E447" s="48">
        <v>26999</v>
      </c>
      <c r="F447" s="48">
        <v>26999</v>
      </c>
      <c r="G447" t="s">
        <v>663</v>
      </c>
      <c r="H447" s="91">
        <f t="shared" si="38"/>
        <v>0</v>
      </c>
    </row>
    <row r="448" spans="1:8">
      <c r="A448" s="58" t="s">
        <v>393</v>
      </c>
      <c r="B448" s="58" t="s">
        <v>499</v>
      </c>
      <c r="C448" s="82" t="s">
        <v>914</v>
      </c>
      <c r="D448" s="83">
        <f t="shared" si="44"/>
        <v>8999</v>
      </c>
      <c r="E448" s="48">
        <v>8999</v>
      </c>
      <c r="F448" s="48">
        <v>8999</v>
      </c>
      <c r="G448" t="s">
        <v>663</v>
      </c>
      <c r="H448" s="91">
        <f t="shared" si="38"/>
        <v>0</v>
      </c>
    </row>
    <row r="449" spans="1:8">
      <c r="A449" s="58" t="s">
        <v>363</v>
      </c>
      <c r="B449" s="58" t="s">
        <v>500</v>
      </c>
      <c r="C449" s="82" t="s">
        <v>915</v>
      </c>
      <c r="D449" s="83">
        <f t="shared" si="44"/>
        <v>6999</v>
      </c>
      <c r="E449" s="48">
        <v>6999</v>
      </c>
      <c r="F449" s="48">
        <v>6999</v>
      </c>
      <c r="G449" t="s">
        <v>663</v>
      </c>
      <c r="H449" s="91">
        <f t="shared" si="38"/>
        <v>0</v>
      </c>
    </row>
    <row r="450" spans="1:8">
      <c r="A450" s="58" t="s">
        <v>363</v>
      </c>
      <c r="B450" s="58" t="s">
        <v>501</v>
      </c>
      <c r="C450" s="82" t="s">
        <v>916</v>
      </c>
      <c r="D450" s="83">
        <f t="shared" si="44"/>
        <v>5699</v>
      </c>
      <c r="E450" s="48">
        <v>5699</v>
      </c>
      <c r="F450" s="48">
        <v>5699</v>
      </c>
      <c r="G450" t="s">
        <v>663</v>
      </c>
      <c r="H450" s="91">
        <f t="shared" si="38"/>
        <v>0</v>
      </c>
    </row>
    <row r="451" spans="1:8">
      <c r="A451" s="58" t="s">
        <v>363</v>
      </c>
      <c r="B451" s="58" t="s">
        <v>502</v>
      </c>
      <c r="C451" s="82"/>
      <c r="D451" s="85">
        <f t="shared" si="44"/>
        <v>13999</v>
      </c>
      <c r="E451" s="48">
        <v>13999</v>
      </c>
      <c r="F451" s="48">
        <v>13999</v>
      </c>
      <c r="G451" t="s">
        <v>663</v>
      </c>
      <c r="H451" s="91">
        <f t="shared" ref="H451:H514" si="45">D451-E451</f>
        <v>0</v>
      </c>
    </row>
    <row r="452" spans="1:8">
      <c r="A452" s="58" t="s">
        <v>363</v>
      </c>
      <c r="B452" s="58" t="s">
        <v>503</v>
      </c>
      <c r="C452" s="82" t="s">
        <v>917</v>
      </c>
      <c r="D452" s="83">
        <v>6699</v>
      </c>
      <c r="E452" s="48">
        <v>6699</v>
      </c>
      <c r="F452" s="48">
        <v>6699</v>
      </c>
      <c r="G452" t="s">
        <v>663</v>
      </c>
      <c r="H452" s="91">
        <f t="shared" si="45"/>
        <v>0</v>
      </c>
    </row>
    <row r="453" spans="1:8">
      <c r="A453" s="58" t="s">
        <v>271</v>
      </c>
      <c r="B453" s="58" t="s">
        <v>504</v>
      </c>
      <c r="C453" s="82" t="s">
        <v>918</v>
      </c>
      <c r="D453" s="83">
        <v>3599</v>
      </c>
      <c r="E453" s="48">
        <v>3599</v>
      </c>
      <c r="F453" s="48">
        <v>3599</v>
      </c>
      <c r="G453" t="s">
        <v>663</v>
      </c>
      <c r="H453" s="91">
        <f t="shared" si="45"/>
        <v>0</v>
      </c>
    </row>
    <row r="454" spans="1:8">
      <c r="A454" s="58" t="s">
        <v>336</v>
      </c>
      <c r="B454" s="58" t="s">
        <v>505</v>
      </c>
      <c r="C454" s="82"/>
      <c r="D454" s="85">
        <f t="shared" ref="D454:D456" si="46">E454</f>
        <v>23999</v>
      </c>
      <c r="E454" s="48">
        <v>23999</v>
      </c>
      <c r="F454" s="48">
        <v>23999</v>
      </c>
      <c r="G454" t="s">
        <v>663</v>
      </c>
      <c r="H454" s="91">
        <f t="shared" si="45"/>
        <v>0</v>
      </c>
    </row>
    <row r="455" spans="1:8">
      <c r="A455" s="58" t="s">
        <v>336</v>
      </c>
      <c r="B455" s="58" t="s">
        <v>506</v>
      </c>
      <c r="C455" s="82"/>
      <c r="D455" s="85">
        <f t="shared" si="46"/>
        <v>32999</v>
      </c>
      <c r="E455" s="48">
        <v>32999</v>
      </c>
      <c r="F455" s="48">
        <v>32999</v>
      </c>
      <c r="G455" t="s">
        <v>663</v>
      </c>
      <c r="H455" s="91">
        <f t="shared" si="45"/>
        <v>0</v>
      </c>
    </row>
    <row r="456" spans="1:8">
      <c r="A456" s="58" t="s">
        <v>336</v>
      </c>
      <c r="B456" s="58" t="s">
        <v>507</v>
      </c>
      <c r="C456" s="82"/>
      <c r="D456" s="85">
        <f t="shared" si="46"/>
        <v>30999</v>
      </c>
      <c r="E456" s="48">
        <v>30999</v>
      </c>
      <c r="F456" s="48">
        <v>30999</v>
      </c>
      <c r="G456" t="s">
        <v>663</v>
      </c>
      <c r="H456" s="91">
        <f t="shared" si="45"/>
        <v>0</v>
      </c>
    </row>
    <row r="457" spans="1:8">
      <c r="A457" s="58" t="s">
        <v>363</v>
      </c>
      <c r="B457" s="58" t="s">
        <v>508</v>
      </c>
      <c r="C457" s="82" t="s">
        <v>917</v>
      </c>
      <c r="D457" s="83">
        <v>6699</v>
      </c>
      <c r="E457" s="48">
        <v>6699</v>
      </c>
      <c r="F457" s="48">
        <v>6699</v>
      </c>
      <c r="G457" t="s">
        <v>663</v>
      </c>
      <c r="H457" s="91">
        <f t="shared" si="45"/>
        <v>0</v>
      </c>
    </row>
    <row r="458" spans="1:8">
      <c r="A458" s="58" t="s">
        <v>271</v>
      </c>
      <c r="B458" s="58" t="s">
        <v>509</v>
      </c>
      <c r="C458" s="82" t="s">
        <v>919</v>
      </c>
      <c r="D458" s="83">
        <f t="shared" ref="D458:D465" si="47">E458</f>
        <v>3299</v>
      </c>
      <c r="E458" s="48">
        <v>3299</v>
      </c>
      <c r="F458" s="48">
        <v>3299</v>
      </c>
      <c r="G458" t="s">
        <v>663</v>
      </c>
      <c r="H458" s="91">
        <f t="shared" si="45"/>
        <v>0</v>
      </c>
    </row>
    <row r="459" spans="1:8">
      <c r="A459" s="58" t="s">
        <v>73</v>
      </c>
      <c r="B459" s="58" t="s">
        <v>512</v>
      </c>
      <c r="C459" s="82"/>
      <c r="D459" s="85">
        <f t="shared" si="47"/>
        <v>10999</v>
      </c>
      <c r="E459" s="48">
        <v>10999</v>
      </c>
      <c r="F459" s="48">
        <v>10999</v>
      </c>
      <c r="G459" t="s">
        <v>663</v>
      </c>
      <c r="H459" s="91">
        <f t="shared" si="45"/>
        <v>0</v>
      </c>
    </row>
    <row r="460" spans="1:8">
      <c r="A460" s="58" t="s">
        <v>74</v>
      </c>
      <c r="B460" s="58" t="s">
        <v>510</v>
      </c>
      <c r="C460" s="82" t="s">
        <v>920</v>
      </c>
      <c r="D460" s="83">
        <f t="shared" si="47"/>
        <v>25989</v>
      </c>
      <c r="E460" s="48">
        <v>25989</v>
      </c>
      <c r="F460" s="48">
        <v>25989</v>
      </c>
      <c r="G460" t="s">
        <v>663</v>
      </c>
      <c r="H460" s="91">
        <f t="shared" si="45"/>
        <v>0</v>
      </c>
    </row>
    <row r="461" spans="1:8">
      <c r="A461" s="58" t="s">
        <v>338</v>
      </c>
      <c r="B461" s="58" t="s">
        <v>511</v>
      </c>
      <c r="C461" s="82" t="s">
        <v>921</v>
      </c>
      <c r="D461" s="83">
        <f t="shared" si="47"/>
        <v>8499</v>
      </c>
      <c r="E461" s="48">
        <v>8499</v>
      </c>
      <c r="F461" s="48">
        <v>8499</v>
      </c>
      <c r="G461" t="s">
        <v>663</v>
      </c>
      <c r="H461" s="91">
        <f t="shared" si="45"/>
        <v>0</v>
      </c>
    </row>
    <row r="462" spans="1:8">
      <c r="A462" s="58" t="s">
        <v>67</v>
      </c>
      <c r="B462" s="58" t="s">
        <v>513</v>
      </c>
      <c r="C462" s="82" t="s">
        <v>1040</v>
      </c>
      <c r="D462" s="83">
        <f t="shared" si="47"/>
        <v>11499</v>
      </c>
      <c r="E462" s="48">
        <v>11499</v>
      </c>
      <c r="F462" s="48">
        <v>11499</v>
      </c>
      <c r="G462" t="s">
        <v>663</v>
      </c>
      <c r="H462" s="91">
        <f t="shared" si="45"/>
        <v>0</v>
      </c>
    </row>
    <row r="463" spans="1:8">
      <c r="A463" s="58" t="s">
        <v>67</v>
      </c>
      <c r="B463" s="58" t="s">
        <v>514</v>
      </c>
      <c r="C463" s="82" t="s">
        <v>1041</v>
      </c>
      <c r="D463" s="83">
        <f t="shared" si="47"/>
        <v>12999</v>
      </c>
      <c r="E463" s="48">
        <v>12999</v>
      </c>
      <c r="F463" s="48">
        <v>12999</v>
      </c>
      <c r="G463" t="s">
        <v>663</v>
      </c>
      <c r="H463" s="91">
        <f t="shared" si="45"/>
        <v>0</v>
      </c>
    </row>
    <row r="464" spans="1:8">
      <c r="A464" s="58" t="s">
        <v>67</v>
      </c>
      <c r="B464" s="58" t="s">
        <v>515</v>
      </c>
      <c r="C464" s="82" t="s">
        <v>1042</v>
      </c>
      <c r="D464" s="83">
        <f t="shared" si="47"/>
        <v>15999</v>
      </c>
      <c r="E464" s="48">
        <v>15999</v>
      </c>
      <c r="F464" s="48">
        <v>15999</v>
      </c>
      <c r="G464" t="s">
        <v>663</v>
      </c>
      <c r="H464" s="91">
        <f t="shared" si="45"/>
        <v>0</v>
      </c>
    </row>
    <row r="465" spans="1:8">
      <c r="A465" s="58" t="s">
        <v>331</v>
      </c>
      <c r="B465" s="58" t="s">
        <v>516</v>
      </c>
      <c r="C465" s="82" t="s">
        <v>922</v>
      </c>
      <c r="D465" s="83">
        <f t="shared" si="47"/>
        <v>7199</v>
      </c>
      <c r="E465" s="48">
        <v>7199</v>
      </c>
      <c r="F465" s="48">
        <v>7199</v>
      </c>
      <c r="G465" t="s">
        <v>663</v>
      </c>
      <c r="H465" s="91">
        <f t="shared" si="45"/>
        <v>0</v>
      </c>
    </row>
    <row r="466" spans="1:8">
      <c r="A466" s="58" t="s">
        <v>74</v>
      </c>
      <c r="B466" s="58" t="s">
        <v>517</v>
      </c>
      <c r="C466" s="82" t="s">
        <v>517</v>
      </c>
      <c r="D466" s="83">
        <v>4919</v>
      </c>
      <c r="E466" s="48">
        <v>4919</v>
      </c>
      <c r="F466" s="48">
        <v>4919</v>
      </c>
      <c r="G466" t="s">
        <v>663</v>
      </c>
      <c r="H466" s="91">
        <f t="shared" si="45"/>
        <v>0</v>
      </c>
    </row>
    <row r="467" spans="1:8">
      <c r="A467" s="58" t="s">
        <v>74</v>
      </c>
      <c r="B467" s="58" t="s">
        <v>518</v>
      </c>
      <c r="C467" s="82" t="s">
        <v>923</v>
      </c>
      <c r="D467" s="83">
        <v>6999</v>
      </c>
      <c r="E467" s="48">
        <v>6999</v>
      </c>
      <c r="F467" s="48">
        <v>6999</v>
      </c>
      <c r="G467" t="s">
        <v>663</v>
      </c>
      <c r="H467" s="91">
        <f t="shared" si="45"/>
        <v>0</v>
      </c>
    </row>
    <row r="468" spans="1:8">
      <c r="A468" s="58" t="s">
        <v>520</v>
      </c>
      <c r="B468" s="58" t="s">
        <v>519</v>
      </c>
      <c r="C468" s="82" t="s">
        <v>924</v>
      </c>
      <c r="D468" s="83">
        <f t="shared" ref="D468:D472" si="48">E468</f>
        <v>21999</v>
      </c>
      <c r="E468" s="48">
        <v>21999</v>
      </c>
      <c r="F468" s="48">
        <v>21999</v>
      </c>
      <c r="G468" t="s">
        <v>663</v>
      </c>
      <c r="H468" s="91">
        <f t="shared" si="45"/>
        <v>0</v>
      </c>
    </row>
    <row r="469" spans="1:8">
      <c r="A469" s="58" t="s">
        <v>331</v>
      </c>
      <c r="B469" s="58" t="s">
        <v>521</v>
      </c>
      <c r="C469" s="82" t="s">
        <v>925</v>
      </c>
      <c r="D469" s="83">
        <f t="shared" si="48"/>
        <v>5999</v>
      </c>
      <c r="E469" s="48">
        <v>5999</v>
      </c>
      <c r="F469" s="48">
        <v>5999</v>
      </c>
      <c r="G469" t="s">
        <v>663</v>
      </c>
      <c r="H469" s="91">
        <f t="shared" si="45"/>
        <v>0</v>
      </c>
    </row>
    <row r="470" spans="1:8">
      <c r="A470" s="58" t="s">
        <v>73</v>
      </c>
      <c r="B470" s="58" t="s">
        <v>522</v>
      </c>
      <c r="C470" s="82" t="s">
        <v>926</v>
      </c>
      <c r="D470" s="83">
        <f t="shared" si="48"/>
        <v>8999</v>
      </c>
      <c r="E470" s="48">
        <v>8999</v>
      </c>
      <c r="F470" s="48">
        <v>8999</v>
      </c>
      <c r="G470" t="s">
        <v>663</v>
      </c>
      <c r="H470" s="91">
        <f t="shared" si="45"/>
        <v>0</v>
      </c>
    </row>
    <row r="471" spans="1:8">
      <c r="A471" s="58" t="s">
        <v>73</v>
      </c>
      <c r="B471" s="58" t="s">
        <v>523</v>
      </c>
      <c r="C471" s="82" t="s">
        <v>927</v>
      </c>
      <c r="D471" s="83">
        <f t="shared" si="48"/>
        <v>25999</v>
      </c>
      <c r="E471" s="48">
        <v>25999</v>
      </c>
      <c r="F471" s="48">
        <v>25999</v>
      </c>
      <c r="G471" t="s">
        <v>663</v>
      </c>
      <c r="H471" s="91">
        <f t="shared" si="45"/>
        <v>0</v>
      </c>
    </row>
    <row r="472" spans="1:8">
      <c r="A472" s="58" t="s">
        <v>385</v>
      </c>
      <c r="B472" s="58" t="s">
        <v>524</v>
      </c>
      <c r="C472" s="82" t="s">
        <v>928</v>
      </c>
      <c r="D472" s="83">
        <f t="shared" si="48"/>
        <v>22999</v>
      </c>
      <c r="E472" s="48">
        <v>22999</v>
      </c>
      <c r="F472" s="48">
        <v>22999</v>
      </c>
      <c r="G472" t="s">
        <v>663</v>
      </c>
      <c r="H472" s="91">
        <f t="shared" si="45"/>
        <v>0</v>
      </c>
    </row>
    <row r="473" spans="1:8">
      <c r="A473" s="58" t="s">
        <v>385</v>
      </c>
      <c r="B473" s="58" t="s">
        <v>529</v>
      </c>
      <c r="C473" s="82" t="s">
        <v>929</v>
      </c>
      <c r="D473" s="83">
        <v>3349</v>
      </c>
      <c r="E473" s="48">
        <v>2919</v>
      </c>
      <c r="F473" s="48">
        <v>2919</v>
      </c>
      <c r="G473" s="66">
        <v>44427</v>
      </c>
      <c r="H473" s="91">
        <f t="shared" si="45"/>
        <v>430</v>
      </c>
    </row>
    <row r="474" spans="1:8">
      <c r="A474" s="58" t="s">
        <v>385</v>
      </c>
      <c r="B474" s="58" t="s">
        <v>525</v>
      </c>
      <c r="C474" s="82" t="s">
        <v>930</v>
      </c>
      <c r="D474" s="83">
        <f t="shared" ref="D474:D475" si="49">E474</f>
        <v>9999</v>
      </c>
      <c r="E474" s="48">
        <v>9999</v>
      </c>
      <c r="F474" s="48">
        <v>9999</v>
      </c>
      <c r="G474" t="s">
        <v>663</v>
      </c>
      <c r="H474" s="91">
        <f t="shared" si="45"/>
        <v>0</v>
      </c>
    </row>
    <row r="475" spans="1:8">
      <c r="A475" s="58" t="s">
        <v>338</v>
      </c>
      <c r="B475" s="58" t="s">
        <v>527</v>
      </c>
      <c r="C475" s="82" t="s">
        <v>931</v>
      </c>
      <c r="D475" s="83">
        <f t="shared" si="49"/>
        <v>18999</v>
      </c>
      <c r="E475" s="48">
        <v>18999</v>
      </c>
      <c r="F475" s="48">
        <v>18999</v>
      </c>
      <c r="G475" t="s">
        <v>663</v>
      </c>
      <c r="H475" s="91">
        <f t="shared" si="45"/>
        <v>0</v>
      </c>
    </row>
    <row r="476" spans="1:8">
      <c r="A476" s="58" t="s">
        <v>385</v>
      </c>
      <c r="B476" s="58" t="s">
        <v>528</v>
      </c>
      <c r="C476" s="82" t="s">
        <v>912</v>
      </c>
      <c r="D476" s="83">
        <v>3999</v>
      </c>
      <c r="E476" s="48">
        <v>3999</v>
      </c>
      <c r="F476" s="48">
        <v>3999</v>
      </c>
      <c r="G476" t="s">
        <v>663</v>
      </c>
      <c r="H476" s="91">
        <f t="shared" si="45"/>
        <v>0</v>
      </c>
    </row>
    <row r="477" spans="1:8">
      <c r="A477" s="58" t="s">
        <v>496</v>
      </c>
      <c r="B477" s="58" t="s">
        <v>526</v>
      </c>
      <c r="C477" s="82" t="s">
        <v>932</v>
      </c>
      <c r="D477" s="83">
        <f t="shared" ref="D477:D482" si="50">E477</f>
        <v>8299</v>
      </c>
      <c r="E477" s="48">
        <v>8299</v>
      </c>
      <c r="F477" s="48">
        <v>8299</v>
      </c>
      <c r="G477" t="s">
        <v>663</v>
      </c>
      <c r="H477" s="91">
        <f t="shared" si="45"/>
        <v>0</v>
      </c>
    </row>
    <row r="478" spans="1:8">
      <c r="A478" s="58" t="s">
        <v>385</v>
      </c>
      <c r="B478" s="58" t="s">
        <v>530</v>
      </c>
      <c r="C478" s="82"/>
      <c r="D478" s="85">
        <f t="shared" si="50"/>
        <v>17999</v>
      </c>
      <c r="E478" s="48">
        <v>17999</v>
      </c>
      <c r="F478" s="48">
        <v>17999</v>
      </c>
      <c r="G478" t="s">
        <v>663</v>
      </c>
      <c r="H478" s="91">
        <f t="shared" si="45"/>
        <v>0</v>
      </c>
    </row>
    <row r="479" spans="1:8">
      <c r="A479" s="58" t="s">
        <v>336</v>
      </c>
      <c r="B479" s="58" t="s">
        <v>531</v>
      </c>
      <c r="C479" s="82" t="s">
        <v>933</v>
      </c>
      <c r="D479" s="83">
        <f t="shared" si="50"/>
        <v>27999</v>
      </c>
      <c r="E479" s="48">
        <v>27999</v>
      </c>
      <c r="F479" s="48">
        <v>27999</v>
      </c>
      <c r="G479" t="s">
        <v>663</v>
      </c>
      <c r="H479" s="91">
        <f t="shared" si="45"/>
        <v>0</v>
      </c>
    </row>
    <row r="480" spans="1:8">
      <c r="A480" s="58" t="s">
        <v>385</v>
      </c>
      <c r="B480" s="58" t="s">
        <v>532</v>
      </c>
      <c r="C480" s="82" t="s">
        <v>934</v>
      </c>
      <c r="D480" s="83">
        <f t="shared" si="50"/>
        <v>5999</v>
      </c>
      <c r="E480" s="48">
        <v>5999</v>
      </c>
      <c r="F480" s="48">
        <v>5999</v>
      </c>
      <c r="G480" t="s">
        <v>663</v>
      </c>
      <c r="H480" s="91">
        <f t="shared" si="45"/>
        <v>0</v>
      </c>
    </row>
    <row r="481" spans="1:8">
      <c r="A481" s="58" t="s">
        <v>73</v>
      </c>
      <c r="B481" s="58" t="s">
        <v>533</v>
      </c>
      <c r="C481" s="82" t="s">
        <v>935</v>
      </c>
      <c r="D481" s="83">
        <f t="shared" si="50"/>
        <v>18499</v>
      </c>
      <c r="E481" s="48">
        <v>18499</v>
      </c>
      <c r="F481" s="48">
        <v>18499</v>
      </c>
      <c r="G481" t="s">
        <v>663</v>
      </c>
      <c r="H481" s="91">
        <f t="shared" si="45"/>
        <v>0</v>
      </c>
    </row>
    <row r="482" spans="1:8">
      <c r="A482" s="58" t="s">
        <v>338</v>
      </c>
      <c r="B482" s="58" t="s">
        <v>534</v>
      </c>
      <c r="C482" s="82" t="s">
        <v>936</v>
      </c>
      <c r="D482" s="83">
        <f t="shared" si="50"/>
        <v>5699</v>
      </c>
      <c r="E482" s="48">
        <v>5699</v>
      </c>
      <c r="F482" s="48">
        <v>5699</v>
      </c>
      <c r="G482" t="s">
        <v>663</v>
      </c>
      <c r="H482" s="91">
        <f t="shared" si="45"/>
        <v>0</v>
      </c>
    </row>
    <row r="483" spans="1:8">
      <c r="A483" s="58" t="s">
        <v>338</v>
      </c>
      <c r="B483" s="58" t="s">
        <v>535</v>
      </c>
      <c r="C483" s="82" t="s">
        <v>937</v>
      </c>
      <c r="D483" s="83">
        <v>5999</v>
      </c>
      <c r="E483" s="48">
        <v>5999</v>
      </c>
      <c r="F483" s="48">
        <v>5999</v>
      </c>
      <c r="G483" t="s">
        <v>663</v>
      </c>
      <c r="H483" s="91">
        <f t="shared" si="45"/>
        <v>0</v>
      </c>
    </row>
    <row r="484" spans="1:8">
      <c r="A484" s="58" t="s">
        <v>73</v>
      </c>
      <c r="B484" s="58" t="s">
        <v>536</v>
      </c>
      <c r="C484" s="82" t="s">
        <v>938</v>
      </c>
      <c r="D484" s="83">
        <f t="shared" ref="D484:D487" si="51">E484</f>
        <v>6499</v>
      </c>
      <c r="E484" s="48">
        <v>6499</v>
      </c>
      <c r="F484" s="48">
        <v>6499</v>
      </c>
      <c r="G484" t="s">
        <v>663</v>
      </c>
      <c r="H484" s="91">
        <f t="shared" si="45"/>
        <v>0</v>
      </c>
    </row>
    <row r="485" spans="1:8">
      <c r="A485" s="58" t="s">
        <v>74</v>
      </c>
      <c r="B485" s="58" t="s">
        <v>537</v>
      </c>
      <c r="C485" s="82" t="s">
        <v>939</v>
      </c>
      <c r="D485" s="83">
        <f t="shared" si="51"/>
        <v>7499</v>
      </c>
      <c r="E485" s="48">
        <v>7499</v>
      </c>
      <c r="F485" s="48">
        <v>7499</v>
      </c>
      <c r="G485" t="s">
        <v>663</v>
      </c>
      <c r="H485" s="91">
        <f t="shared" si="45"/>
        <v>0</v>
      </c>
    </row>
    <row r="486" spans="1:8">
      <c r="A486" s="58" t="s">
        <v>74</v>
      </c>
      <c r="B486" s="58" t="s">
        <v>538</v>
      </c>
      <c r="C486" s="82" t="s">
        <v>940</v>
      </c>
      <c r="D486" s="83">
        <f t="shared" si="51"/>
        <v>7999</v>
      </c>
      <c r="E486" s="48">
        <v>7999</v>
      </c>
      <c r="F486" s="48">
        <v>7999</v>
      </c>
      <c r="G486" t="s">
        <v>663</v>
      </c>
      <c r="H486" s="91">
        <f t="shared" si="45"/>
        <v>0</v>
      </c>
    </row>
    <row r="487" spans="1:8">
      <c r="A487" s="58" t="s">
        <v>74</v>
      </c>
      <c r="B487" s="58" t="s">
        <v>539</v>
      </c>
      <c r="C487" s="82" t="s">
        <v>941</v>
      </c>
      <c r="D487" s="83">
        <f t="shared" si="51"/>
        <v>11999</v>
      </c>
      <c r="E487" s="48">
        <v>11999</v>
      </c>
      <c r="F487" s="48">
        <v>11999</v>
      </c>
      <c r="G487" t="s">
        <v>663</v>
      </c>
      <c r="H487" s="91">
        <f t="shared" si="45"/>
        <v>0</v>
      </c>
    </row>
    <row r="488" spans="1:8">
      <c r="A488" s="58" t="s">
        <v>74</v>
      </c>
      <c r="B488" s="58" t="s">
        <v>540</v>
      </c>
      <c r="C488" s="82" t="s">
        <v>942</v>
      </c>
      <c r="D488" s="83">
        <v>7699</v>
      </c>
      <c r="E488" s="48">
        <v>7599</v>
      </c>
      <c r="F488" s="48">
        <v>7599</v>
      </c>
      <c r="G488" s="66">
        <v>44562</v>
      </c>
      <c r="H488" s="91">
        <f t="shared" si="45"/>
        <v>100</v>
      </c>
    </row>
    <row r="489" spans="1:8">
      <c r="A489" s="58" t="s">
        <v>73</v>
      </c>
      <c r="B489" s="58" t="s">
        <v>541</v>
      </c>
      <c r="C489" s="82" t="s">
        <v>943</v>
      </c>
      <c r="D489" s="83">
        <v>3999</v>
      </c>
      <c r="E489" s="48">
        <v>3999</v>
      </c>
      <c r="F489" s="48">
        <v>3999</v>
      </c>
      <c r="G489" t="s">
        <v>663</v>
      </c>
      <c r="H489" s="91">
        <f t="shared" si="45"/>
        <v>0</v>
      </c>
    </row>
    <row r="490" spans="1:8">
      <c r="A490" s="58" t="s">
        <v>73</v>
      </c>
      <c r="B490" s="58" t="s">
        <v>542</v>
      </c>
      <c r="C490" s="82" t="s">
        <v>944</v>
      </c>
      <c r="D490" s="83">
        <f t="shared" ref="D490:D499" si="52">E490</f>
        <v>5499</v>
      </c>
      <c r="E490" s="48">
        <v>5499</v>
      </c>
      <c r="F490" s="48">
        <v>5499</v>
      </c>
      <c r="G490" t="s">
        <v>663</v>
      </c>
      <c r="H490" s="91">
        <f t="shared" si="45"/>
        <v>0</v>
      </c>
    </row>
    <row r="491" spans="1:8">
      <c r="A491" s="58" t="s">
        <v>393</v>
      </c>
      <c r="B491" s="58" t="s">
        <v>543</v>
      </c>
      <c r="C491" s="82" t="s">
        <v>945</v>
      </c>
      <c r="D491" s="83">
        <f t="shared" si="52"/>
        <v>8999</v>
      </c>
      <c r="E491" s="48">
        <v>8999</v>
      </c>
      <c r="F491" s="48">
        <v>8999</v>
      </c>
      <c r="G491" t="s">
        <v>663</v>
      </c>
      <c r="H491" s="91">
        <f t="shared" si="45"/>
        <v>0</v>
      </c>
    </row>
    <row r="492" spans="1:8">
      <c r="A492" s="58" t="s">
        <v>74</v>
      </c>
      <c r="B492" s="58" t="s">
        <v>544</v>
      </c>
      <c r="C492" s="82" t="s">
        <v>946</v>
      </c>
      <c r="D492" s="83">
        <f t="shared" si="52"/>
        <v>4139</v>
      </c>
      <c r="E492" s="48">
        <v>4139</v>
      </c>
      <c r="F492" s="48">
        <v>4139</v>
      </c>
      <c r="G492" t="s">
        <v>663</v>
      </c>
      <c r="H492" s="91">
        <f t="shared" si="45"/>
        <v>0</v>
      </c>
    </row>
    <row r="493" spans="1:8">
      <c r="A493" s="3" t="s">
        <v>336</v>
      </c>
      <c r="B493" s="63" t="s">
        <v>545</v>
      </c>
      <c r="C493" s="82"/>
      <c r="D493" s="83">
        <f t="shared" si="52"/>
        <v>3499</v>
      </c>
      <c r="E493" s="73">
        <v>3499</v>
      </c>
      <c r="F493" s="73">
        <v>3499</v>
      </c>
      <c r="G493" t="s">
        <v>663</v>
      </c>
      <c r="H493" s="91">
        <f t="shared" si="45"/>
        <v>0</v>
      </c>
    </row>
    <row r="494" spans="1:8">
      <c r="A494" s="3" t="s">
        <v>547</v>
      </c>
      <c r="B494" s="63" t="s">
        <v>548</v>
      </c>
      <c r="C494" s="82" t="s">
        <v>548</v>
      </c>
      <c r="D494" s="83">
        <f t="shared" si="52"/>
        <v>2199</v>
      </c>
      <c r="E494" s="74">
        <v>2199</v>
      </c>
      <c r="F494" s="74">
        <v>2199</v>
      </c>
      <c r="G494" t="s">
        <v>663</v>
      </c>
      <c r="H494" s="91">
        <f t="shared" si="45"/>
        <v>0</v>
      </c>
    </row>
    <row r="495" spans="1:8">
      <c r="A495" s="6" t="s">
        <v>385</v>
      </c>
      <c r="B495" s="64" t="s">
        <v>549</v>
      </c>
      <c r="C495" s="82"/>
      <c r="D495" s="83">
        <f t="shared" si="52"/>
        <v>3999</v>
      </c>
      <c r="E495" s="75">
        <v>3999</v>
      </c>
      <c r="F495" s="75">
        <v>3999</v>
      </c>
      <c r="G495" t="s">
        <v>663</v>
      </c>
      <c r="H495" s="91">
        <f t="shared" si="45"/>
        <v>0</v>
      </c>
    </row>
    <row r="496" spans="1:8">
      <c r="A496" s="3" t="s">
        <v>385</v>
      </c>
      <c r="B496" s="63" t="s">
        <v>550</v>
      </c>
      <c r="C496" s="82"/>
      <c r="D496" s="83">
        <f t="shared" si="52"/>
        <v>4889</v>
      </c>
      <c r="E496" s="74">
        <v>4889</v>
      </c>
      <c r="F496" s="74">
        <v>4889</v>
      </c>
      <c r="G496" t="s">
        <v>663</v>
      </c>
      <c r="H496" s="91">
        <f t="shared" si="45"/>
        <v>0</v>
      </c>
    </row>
    <row r="497" spans="1:8">
      <c r="A497" s="3" t="s">
        <v>496</v>
      </c>
      <c r="B497" s="63" t="s">
        <v>552</v>
      </c>
      <c r="C497" s="82" t="s">
        <v>947</v>
      </c>
      <c r="D497" s="83">
        <f t="shared" si="52"/>
        <v>13999</v>
      </c>
      <c r="E497" s="74">
        <v>13999</v>
      </c>
      <c r="F497" s="74">
        <v>13999</v>
      </c>
      <c r="G497" t="s">
        <v>663</v>
      </c>
      <c r="H497" s="91">
        <f t="shared" si="45"/>
        <v>0</v>
      </c>
    </row>
    <row r="498" spans="1:8">
      <c r="A498" s="3" t="s">
        <v>496</v>
      </c>
      <c r="B498" s="63" t="s">
        <v>553</v>
      </c>
      <c r="C498" s="82" t="s">
        <v>948</v>
      </c>
      <c r="D498" s="83">
        <f t="shared" si="52"/>
        <v>16989</v>
      </c>
      <c r="E498" s="74">
        <v>16989</v>
      </c>
      <c r="F498" s="74">
        <v>16989</v>
      </c>
      <c r="G498" t="s">
        <v>663</v>
      </c>
      <c r="H498" s="91">
        <f t="shared" si="45"/>
        <v>0</v>
      </c>
    </row>
    <row r="499" spans="1:8">
      <c r="A499" s="3" t="s">
        <v>338</v>
      </c>
      <c r="B499" s="63" t="s">
        <v>555</v>
      </c>
      <c r="C499" s="82"/>
      <c r="D499" s="83">
        <f t="shared" si="52"/>
        <v>1999</v>
      </c>
      <c r="E499" s="74">
        <v>1999</v>
      </c>
      <c r="F499" s="74">
        <v>1999</v>
      </c>
      <c r="G499" t="s">
        <v>663</v>
      </c>
      <c r="H499" s="91">
        <f t="shared" si="45"/>
        <v>0</v>
      </c>
    </row>
    <row r="500" spans="1:8">
      <c r="A500" s="3" t="s">
        <v>557</v>
      </c>
      <c r="B500" s="63" t="s">
        <v>556</v>
      </c>
      <c r="C500" s="82"/>
      <c r="D500" s="83">
        <f>E500</f>
        <v>5099</v>
      </c>
      <c r="E500" s="74">
        <v>5099</v>
      </c>
      <c r="F500" s="74">
        <v>5099</v>
      </c>
      <c r="G500" t="s">
        <v>663</v>
      </c>
      <c r="H500" s="91">
        <f t="shared" si="45"/>
        <v>0</v>
      </c>
    </row>
    <row r="501" spans="1:8">
      <c r="A501" s="18" t="s">
        <v>271</v>
      </c>
      <c r="B501" s="67" t="s">
        <v>558</v>
      </c>
      <c r="C501" s="82" t="s">
        <v>949</v>
      </c>
      <c r="D501" s="83">
        <f t="shared" ref="D501:D505" si="53">E501</f>
        <v>4299</v>
      </c>
      <c r="E501" s="74">
        <v>4299</v>
      </c>
      <c r="F501" s="74">
        <v>4299</v>
      </c>
      <c r="G501" t="s">
        <v>663</v>
      </c>
      <c r="H501" s="91">
        <f t="shared" si="45"/>
        <v>0</v>
      </c>
    </row>
    <row r="502" spans="1:8">
      <c r="A502" s="18" t="s">
        <v>336</v>
      </c>
      <c r="B502" s="68" t="s">
        <v>560</v>
      </c>
      <c r="C502" s="82" t="s">
        <v>950</v>
      </c>
      <c r="D502" s="83">
        <f t="shared" si="53"/>
        <v>24999</v>
      </c>
      <c r="E502" s="76">
        <v>24999</v>
      </c>
      <c r="F502" s="76">
        <v>24999</v>
      </c>
      <c r="G502" t="s">
        <v>663</v>
      </c>
      <c r="H502" s="91">
        <f t="shared" si="45"/>
        <v>0</v>
      </c>
    </row>
    <row r="503" spans="1:8">
      <c r="A503" s="18" t="s">
        <v>336</v>
      </c>
      <c r="B503" s="68" t="s">
        <v>562</v>
      </c>
      <c r="C503" s="82" t="s">
        <v>951</v>
      </c>
      <c r="D503" s="83">
        <f t="shared" si="53"/>
        <v>27499</v>
      </c>
      <c r="E503" s="76">
        <v>27499</v>
      </c>
      <c r="F503" s="76">
        <v>27499</v>
      </c>
      <c r="G503" t="s">
        <v>663</v>
      </c>
      <c r="H503" s="91">
        <f t="shared" si="45"/>
        <v>0</v>
      </c>
    </row>
    <row r="504" spans="1:8">
      <c r="A504" s="18" t="s">
        <v>336</v>
      </c>
      <c r="B504" s="68" t="s">
        <v>561</v>
      </c>
      <c r="C504" s="82" t="s">
        <v>952</v>
      </c>
      <c r="D504" s="83">
        <f t="shared" si="53"/>
        <v>44999</v>
      </c>
      <c r="E504" s="76">
        <v>44999</v>
      </c>
      <c r="F504" s="76">
        <v>44999</v>
      </c>
      <c r="G504" t="s">
        <v>663</v>
      </c>
      <c r="H504" s="91">
        <f t="shared" si="45"/>
        <v>0</v>
      </c>
    </row>
    <row r="505" spans="1:8">
      <c r="A505" s="18" t="s">
        <v>336</v>
      </c>
      <c r="B505" s="68" t="s">
        <v>563</v>
      </c>
      <c r="C505" s="82" t="s">
        <v>953</v>
      </c>
      <c r="D505" s="83">
        <f t="shared" si="53"/>
        <v>48499</v>
      </c>
      <c r="E505" s="76">
        <v>48499</v>
      </c>
      <c r="F505" s="76">
        <v>48499</v>
      </c>
      <c r="G505" t="s">
        <v>663</v>
      </c>
      <c r="H505" s="91">
        <f t="shared" si="45"/>
        <v>0</v>
      </c>
    </row>
    <row r="506" spans="1:8">
      <c r="A506" s="69" t="s">
        <v>338</v>
      </c>
      <c r="B506" s="60" t="s">
        <v>130</v>
      </c>
      <c r="C506" s="82" t="s">
        <v>954</v>
      </c>
      <c r="D506" s="83">
        <v>5649</v>
      </c>
      <c r="E506" s="77">
        <v>5649</v>
      </c>
      <c r="F506" s="77">
        <v>5649</v>
      </c>
      <c r="G506" t="s">
        <v>663</v>
      </c>
      <c r="H506" s="91">
        <f t="shared" si="45"/>
        <v>0</v>
      </c>
    </row>
    <row r="507" spans="1:8">
      <c r="A507" s="58" t="s">
        <v>358</v>
      </c>
      <c r="B507" s="58" t="s">
        <v>564</v>
      </c>
      <c r="C507" s="82" t="s">
        <v>955</v>
      </c>
      <c r="D507" s="83">
        <f t="shared" ref="D507:D522" si="54">E507</f>
        <v>20999</v>
      </c>
      <c r="E507" s="76">
        <v>20999</v>
      </c>
      <c r="F507" s="76">
        <v>20999</v>
      </c>
      <c r="G507" t="s">
        <v>663</v>
      </c>
      <c r="H507" s="91">
        <f t="shared" si="45"/>
        <v>0</v>
      </c>
    </row>
    <row r="508" spans="1:8">
      <c r="A508" s="58" t="s">
        <v>358</v>
      </c>
      <c r="B508" s="58" t="s">
        <v>565</v>
      </c>
      <c r="C508" s="82" t="s">
        <v>956</v>
      </c>
      <c r="D508" s="83">
        <f t="shared" si="54"/>
        <v>23999</v>
      </c>
      <c r="E508" s="76">
        <v>23999</v>
      </c>
      <c r="F508" s="76">
        <v>23999</v>
      </c>
      <c r="G508" t="s">
        <v>663</v>
      </c>
      <c r="H508" s="91">
        <f t="shared" si="45"/>
        <v>0</v>
      </c>
    </row>
    <row r="509" spans="1:8">
      <c r="A509" s="58" t="s">
        <v>358</v>
      </c>
      <c r="B509" s="58" t="s">
        <v>566</v>
      </c>
      <c r="C509" s="82" t="s">
        <v>957</v>
      </c>
      <c r="D509" s="83">
        <f t="shared" si="54"/>
        <v>25999</v>
      </c>
      <c r="E509" s="76">
        <v>25999</v>
      </c>
      <c r="F509" s="76">
        <v>25999</v>
      </c>
      <c r="G509" t="s">
        <v>663</v>
      </c>
      <c r="H509" s="91">
        <f t="shared" si="45"/>
        <v>0</v>
      </c>
    </row>
    <row r="510" spans="1:8">
      <c r="A510" s="58" t="s">
        <v>358</v>
      </c>
      <c r="B510" s="58" t="s">
        <v>567</v>
      </c>
      <c r="C510" s="82" t="s">
        <v>958</v>
      </c>
      <c r="D510" s="83">
        <f t="shared" si="54"/>
        <v>28999</v>
      </c>
      <c r="E510" s="76">
        <v>28999</v>
      </c>
      <c r="F510" s="76">
        <v>28999</v>
      </c>
      <c r="G510" t="s">
        <v>663</v>
      </c>
      <c r="H510" s="91">
        <f t="shared" si="45"/>
        <v>0</v>
      </c>
    </row>
    <row r="511" spans="1:8">
      <c r="A511" s="58" t="s">
        <v>358</v>
      </c>
      <c r="B511" s="58" t="s">
        <v>568</v>
      </c>
      <c r="C511" s="82" t="s">
        <v>959</v>
      </c>
      <c r="D511" s="83">
        <f t="shared" si="54"/>
        <v>28999</v>
      </c>
      <c r="E511" s="76">
        <v>28999</v>
      </c>
      <c r="F511" s="76">
        <v>28999</v>
      </c>
      <c r="G511" t="s">
        <v>663</v>
      </c>
      <c r="H511" s="91">
        <f t="shared" si="45"/>
        <v>0</v>
      </c>
    </row>
    <row r="512" spans="1:8">
      <c r="A512" s="58" t="s">
        <v>358</v>
      </c>
      <c r="B512" s="58" t="s">
        <v>569</v>
      </c>
      <c r="C512" s="82" t="s">
        <v>960</v>
      </c>
      <c r="D512" s="83">
        <f t="shared" si="54"/>
        <v>31999</v>
      </c>
      <c r="E512" s="76">
        <v>31999</v>
      </c>
      <c r="F512" s="76">
        <v>31999</v>
      </c>
      <c r="G512" t="s">
        <v>663</v>
      </c>
      <c r="H512" s="91">
        <f t="shared" si="45"/>
        <v>0</v>
      </c>
    </row>
    <row r="513" spans="1:8">
      <c r="A513" s="58" t="s">
        <v>393</v>
      </c>
      <c r="B513" s="58" t="s">
        <v>570</v>
      </c>
      <c r="C513" s="82" t="s">
        <v>961</v>
      </c>
      <c r="D513" s="83">
        <f t="shared" si="54"/>
        <v>5999</v>
      </c>
      <c r="E513" s="76">
        <v>5999</v>
      </c>
      <c r="F513" s="76">
        <v>5499</v>
      </c>
      <c r="G513" s="66">
        <v>45099</v>
      </c>
      <c r="H513" s="91">
        <f t="shared" si="45"/>
        <v>0</v>
      </c>
    </row>
    <row r="514" spans="1:8">
      <c r="A514" s="58" t="s">
        <v>393</v>
      </c>
      <c r="B514" s="58" t="s">
        <v>571</v>
      </c>
      <c r="C514" s="82" t="s">
        <v>962</v>
      </c>
      <c r="D514" s="83">
        <f t="shared" si="54"/>
        <v>6999</v>
      </c>
      <c r="E514" s="76">
        <v>6999</v>
      </c>
      <c r="F514" s="76">
        <v>6499</v>
      </c>
      <c r="G514" s="66">
        <v>45099</v>
      </c>
      <c r="H514" s="91">
        <f t="shared" si="45"/>
        <v>0</v>
      </c>
    </row>
    <row r="515" spans="1:8">
      <c r="A515" s="58" t="s">
        <v>358</v>
      </c>
      <c r="B515" s="58" t="s">
        <v>572</v>
      </c>
      <c r="C515" s="82" t="s">
        <v>963</v>
      </c>
      <c r="D515" s="83">
        <f t="shared" si="54"/>
        <v>28999</v>
      </c>
      <c r="E515" s="76">
        <v>28999</v>
      </c>
      <c r="F515" s="76">
        <v>28999</v>
      </c>
      <c r="G515" t="s">
        <v>663</v>
      </c>
      <c r="H515" s="91">
        <f t="shared" ref="H515:H578" si="55">D515-E515</f>
        <v>0</v>
      </c>
    </row>
    <row r="516" spans="1:8">
      <c r="A516" s="58" t="s">
        <v>358</v>
      </c>
      <c r="B516" s="58" t="s">
        <v>573</v>
      </c>
      <c r="C516" s="82" t="s">
        <v>964</v>
      </c>
      <c r="D516" s="83">
        <f t="shared" si="54"/>
        <v>23999</v>
      </c>
      <c r="E516" s="76">
        <v>23999</v>
      </c>
      <c r="F516" s="76">
        <v>23999</v>
      </c>
      <c r="G516" t="s">
        <v>663</v>
      </c>
      <c r="H516" s="91">
        <f t="shared" si="55"/>
        <v>0</v>
      </c>
    </row>
    <row r="517" spans="1:8">
      <c r="A517" s="58" t="s">
        <v>358</v>
      </c>
      <c r="B517" s="58" t="s">
        <v>574</v>
      </c>
      <c r="C517" s="82" t="s">
        <v>965</v>
      </c>
      <c r="D517" s="83">
        <f t="shared" si="54"/>
        <v>26999</v>
      </c>
      <c r="E517" s="76">
        <v>26999</v>
      </c>
      <c r="F517" s="76">
        <v>26999</v>
      </c>
      <c r="G517" t="s">
        <v>663</v>
      </c>
      <c r="H517" s="91">
        <f t="shared" si="55"/>
        <v>0</v>
      </c>
    </row>
    <row r="518" spans="1:8">
      <c r="A518" s="58" t="s">
        <v>358</v>
      </c>
      <c r="B518" s="58" t="s">
        <v>575</v>
      </c>
      <c r="C518" s="82" t="s">
        <v>966</v>
      </c>
      <c r="D518" s="83">
        <f t="shared" si="54"/>
        <v>31999</v>
      </c>
      <c r="E518" s="76">
        <v>31999</v>
      </c>
      <c r="F518" s="76">
        <v>31999</v>
      </c>
      <c r="G518" t="s">
        <v>663</v>
      </c>
      <c r="H518" s="91">
        <f t="shared" si="55"/>
        <v>0</v>
      </c>
    </row>
    <row r="519" spans="1:8">
      <c r="A519" s="58" t="s">
        <v>358</v>
      </c>
      <c r="B519" s="58" t="s">
        <v>576</v>
      </c>
      <c r="C519" s="82" t="s">
        <v>967</v>
      </c>
      <c r="D519" s="83">
        <f t="shared" si="54"/>
        <v>33999</v>
      </c>
      <c r="E519" s="76">
        <v>33999</v>
      </c>
      <c r="F519" s="76">
        <v>33999</v>
      </c>
      <c r="G519" t="s">
        <v>663</v>
      </c>
      <c r="H519" s="91">
        <f t="shared" si="55"/>
        <v>0</v>
      </c>
    </row>
    <row r="520" spans="1:8">
      <c r="A520" s="58" t="s">
        <v>358</v>
      </c>
      <c r="B520" s="58" t="s">
        <v>577</v>
      </c>
      <c r="C520" s="82" t="s">
        <v>968</v>
      </c>
      <c r="D520" s="83">
        <f t="shared" si="54"/>
        <v>38999</v>
      </c>
      <c r="E520" s="76">
        <v>38999</v>
      </c>
      <c r="F520" s="76">
        <v>38999</v>
      </c>
      <c r="G520" t="s">
        <v>663</v>
      </c>
      <c r="H520" s="91">
        <f t="shared" si="55"/>
        <v>0</v>
      </c>
    </row>
    <row r="521" spans="1:8">
      <c r="A521" s="58" t="s">
        <v>358</v>
      </c>
      <c r="B521" s="58" t="s">
        <v>578</v>
      </c>
      <c r="C521" s="82" t="s">
        <v>969</v>
      </c>
      <c r="D521" s="83">
        <f t="shared" si="54"/>
        <v>36999</v>
      </c>
      <c r="E521" s="76">
        <v>36999</v>
      </c>
      <c r="F521" s="76">
        <v>36999</v>
      </c>
      <c r="G521" t="s">
        <v>663</v>
      </c>
      <c r="H521" s="91">
        <f t="shared" si="55"/>
        <v>0</v>
      </c>
    </row>
    <row r="522" spans="1:8">
      <c r="A522" s="58" t="s">
        <v>358</v>
      </c>
      <c r="B522" s="58" t="s">
        <v>579</v>
      </c>
      <c r="C522" s="82" t="s">
        <v>970</v>
      </c>
      <c r="D522" s="83">
        <f t="shared" si="54"/>
        <v>41999</v>
      </c>
      <c r="E522" s="76">
        <v>41999</v>
      </c>
      <c r="F522" s="76">
        <v>41999</v>
      </c>
      <c r="G522" t="s">
        <v>663</v>
      </c>
      <c r="H522" s="91">
        <f t="shared" si="55"/>
        <v>0</v>
      </c>
    </row>
    <row r="523" spans="1:8">
      <c r="A523" s="71" t="s">
        <v>355</v>
      </c>
      <c r="B523" s="58" t="s">
        <v>599</v>
      </c>
      <c r="C523" s="82" t="s">
        <v>599</v>
      </c>
      <c r="D523" s="83">
        <v>1899</v>
      </c>
      <c r="E523" s="76">
        <v>1717.460388</v>
      </c>
      <c r="F523" s="76">
        <v>1717.460388</v>
      </c>
      <c r="G523" s="66">
        <v>44522</v>
      </c>
      <c r="H523" s="91">
        <f t="shared" si="55"/>
        <v>181.53961200000003</v>
      </c>
    </row>
    <row r="524" spans="1:8">
      <c r="A524" s="71" t="s">
        <v>355</v>
      </c>
      <c r="B524" s="58" t="s">
        <v>600</v>
      </c>
      <c r="C524" s="82" t="s">
        <v>600</v>
      </c>
      <c r="D524" s="83">
        <v>3199</v>
      </c>
      <c r="E524" s="76">
        <v>2880</v>
      </c>
      <c r="F524" s="76">
        <v>2880</v>
      </c>
      <c r="G524" s="66">
        <v>44307</v>
      </c>
      <c r="H524" s="91">
        <f t="shared" si="55"/>
        <v>319</v>
      </c>
    </row>
    <row r="525" spans="1:8">
      <c r="A525" s="71" t="s">
        <v>355</v>
      </c>
      <c r="B525" s="58" t="s">
        <v>601</v>
      </c>
      <c r="C525" s="82" t="s">
        <v>601</v>
      </c>
      <c r="D525" s="83">
        <v>3649</v>
      </c>
      <c r="E525" s="76">
        <v>3649</v>
      </c>
      <c r="F525" s="76">
        <v>3649</v>
      </c>
      <c r="G525" t="s">
        <v>663</v>
      </c>
      <c r="H525" s="91">
        <f t="shared" si="55"/>
        <v>0</v>
      </c>
    </row>
    <row r="526" spans="1:8">
      <c r="A526" s="71" t="s">
        <v>358</v>
      </c>
      <c r="B526" s="58" t="s">
        <v>581</v>
      </c>
      <c r="C526" s="82" t="s">
        <v>581</v>
      </c>
      <c r="D526" s="83">
        <v>10999</v>
      </c>
      <c r="E526" s="76">
        <v>10999</v>
      </c>
      <c r="F526" s="76">
        <v>10999</v>
      </c>
      <c r="G526" t="s">
        <v>663</v>
      </c>
      <c r="H526" s="91">
        <f t="shared" si="55"/>
        <v>0</v>
      </c>
    </row>
    <row r="527" spans="1:8">
      <c r="A527" s="71" t="s">
        <v>496</v>
      </c>
      <c r="B527" s="58" t="s">
        <v>598</v>
      </c>
      <c r="C527" s="82" t="s">
        <v>947</v>
      </c>
      <c r="D527" s="83">
        <f t="shared" ref="D527:D528" si="56">E527</f>
        <v>13999</v>
      </c>
      <c r="E527" s="76">
        <v>13999</v>
      </c>
      <c r="F527" s="76">
        <v>13999</v>
      </c>
      <c r="G527" t="s">
        <v>663</v>
      </c>
      <c r="H527" s="91">
        <f t="shared" si="55"/>
        <v>0</v>
      </c>
    </row>
    <row r="528" spans="1:8">
      <c r="A528" s="71" t="s">
        <v>496</v>
      </c>
      <c r="B528" s="58" t="s">
        <v>609</v>
      </c>
      <c r="C528" s="82" t="s">
        <v>971</v>
      </c>
      <c r="D528" s="83">
        <f t="shared" si="56"/>
        <v>5189</v>
      </c>
      <c r="E528" s="76">
        <v>5189</v>
      </c>
      <c r="F528" s="76">
        <v>5189</v>
      </c>
      <c r="G528" t="s">
        <v>663</v>
      </c>
      <c r="H528" s="91">
        <f t="shared" si="55"/>
        <v>0</v>
      </c>
    </row>
    <row r="529" spans="1:8">
      <c r="A529" s="71" t="s">
        <v>338</v>
      </c>
      <c r="B529" s="58" t="s">
        <v>582</v>
      </c>
      <c r="C529" s="82" t="s">
        <v>582</v>
      </c>
      <c r="D529" s="83">
        <v>8499</v>
      </c>
      <c r="E529" s="76">
        <v>8499</v>
      </c>
      <c r="F529" s="76">
        <v>8499</v>
      </c>
      <c r="G529" t="s">
        <v>663</v>
      </c>
      <c r="H529" s="91">
        <f t="shared" si="55"/>
        <v>0</v>
      </c>
    </row>
    <row r="530" spans="1:8">
      <c r="A530" s="71" t="s">
        <v>338</v>
      </c>
      <c r="B530" s="58" t="s">
        <v>583</v>
      </c>
      <c r="C530" s="82" t="s">
        <v>583</v>
      </c>
      <c r="D530" s="83">
        <v>12999</v>
      </c>
      <c r="E530" s="76">
        <v>12999</v>
      </c>
      <c r="F530" s="76">
        <v>12999</v>
      </c>
      <c r="G530" t="s">
        <v>663</v>
      </c>
      <c r="H530" s="91">
        <f t="shared" si="55"/>
        <v>0</v>
      </c>
    </row>
    <row r="531" spans="1:8">
      <c r="A531" s="71" t="s">
        <v>338</v>
      </c>
      <c r="B531" s="58" t="s">
        <v>584</v>
      </c>
      <c r="C531" s="82" t="s">
        <v>921</v>
      </c>
      <c r="D531" s="83">
        <f t="shared" ref="D531:D533" si="57">E531</f>
        <v>8499</v>
      </c>
      <c r="E531" s="76">
        <v>8499</v>
      </c>
      <c r="F531" s="76">
        <v>8499</v>
      </c>
      <c r="G531" t="s">
        <v>663</v>
      </c>
      <c r="H531" s="91">
        <f t="shared" si="55"/>
        <v>0</v>
      </c>
    </row>
    <row r="532" spans="1:8">
      <c r="A532" s="71" t="s">
        <v>338</v>
      </c>
      <c r="B532" s="58" t="s">
        <v>585</v>
      </c>
      <c r="C532" s="82" t="s">
        <v>936</v>
      </c>
      <c r="D532" s="83">
        <f t="shared" si="57"/>
        <v>5699</v>
      </c>
      <c r="E532" s="76">
        <v>5699</v>
      </c>
      <c r="F532" s="76">
        <v>5699</v>
      </c>
      <c r="G532" t="s">
        <v>663</v>
      </c>
      <c r="H532" s="91">
        <f t="shared" si="55"/>
        <v>0</v>
      </c>
    </row>
    <row r="533" spans="1:8">
      <c r="A533" s="71" t="s">
        <v>338</v>
      </c>
      <c r="B533" s="58" t="s">
        <v>586</v>
      </c>
      <c r="C533" s="82" t="s">
        <v>972</v>
      </c>
      <c r="D533" s="83">
        <f t="shared" si="57"/>
        <v>6999</v>
      </c>
      <c r="E533" s="76">
        <v>6999</v>
      </c>
      <c r="F533" s="76">
        <v>6999</v>
      </c>
      <c r="G533" t="s">
        <v>663</v>
      </c>
      <c r="H533" s="91">
        <f t="shared" si="55"/>
        <v>0</v>
      </c>
    </row>
    <row r="534" spans="1:8">
      <c r="A534" s="71" t="s">
        <v>338</v>
      </c>
      <c r="B534" s="58" t="s">
        <v>587</v>
      </c>
      <c r="C534" s="82" t="s">
        <v>587</v>
      </c>
      <c r="D534" s="83">
        <v>7499</v>
      </c>
      <c r="E534" s="76">
        <v>7499</v>
      </c>
      <c r="F534" s="76">
        <v>7499</v>
      </c>
      <c r="G534" t="s">
        <v>663</v>
      </c>
      <c r="H534" s="91">
        <f t="shared" si="55"/>
        <v>0</v>
      </c>
    </row>
    <row r="535" spans="1:8">
      <c r="A535" s="71" t="s">
        <v>338</v>
      </c>
      <c r="B535" s="58" t="s">
        <v>527</v>
      </c>
      <c r="C535" s="82" t="s">
        <v>931</v>
      </c>
      <c r="D535" s="83">
        <f t="shared" ref="D535:D537" si="58">E535</f>
        <v>18999</v>
      </c>
      <c r="E535" s="76">
        <v>18999</v>
      </c>
      <c r="F535" s="76">
        <v>18999</v>
      </c>
      <c r="G535" t="s">
        <v>663</v>
      </c>
      <c r="H535" s="91">
        <f t="shared" si="55"/>
        <v>0</v>
      </c>
    </row>
    <row r="536" spans="1:8">
      <c r="A536" s="71" t="s">
        <v>338</v>
      </c>
      <c r="B536" s="58" t="s">
        <v>588</v>
      </c>
      <c r="C536" s="82" t="s">
        <v>588</v>
      </c>
      <c r="D536" s="83">
        <f t="shared" si="58"/>
        <v>26999</v>
      </c>
      <c r="E536" s="76">
        <v>26999</v>
      </c>
      <c r="F536" s="76">
        <v>26999</v>
      </c>
      <c r="G536" t="s">
        <v>663</v>
      </c>
      <c r="H536" s="91">
        <f t="shared" si="55"/>
        <v>0</v>
      </c>
    </row>
    <row r="537" spans="1:8">
      <c r="A537" s="71" t="s">
        <v>338</v>
      </c>
      <c r="B537" s="58" t="s">
        <v>589</v>
      </c>
      <c r="C537" s="82" t="s">
        <v>588</v>
      </c>
      <c r="D537" s="83">
        <f t="shared" si="58"/>
        <v>26999</v>
      </c>
      <c r="E537" s="76">
        <v>26999</v>
      </c>
      <c r="F537" s="76">
        <v>26999</v>
      </c>
      <c r="G537" t="s">
        <v>663</v>
      </c>
      <c r="H537" s="91">
        <f t="shared" si="55"/>
        <v>0</v>
      </c>
    </row>
    <row r="538" spans="1:8">
      <c r="A538" s="71" t="s">
        <v>338</v>
      </c>
      <c r="B538" s="58" t="s">
        <v>590</v>
      </c>
      <c r="C538" s="82" t="s">
        <v>973</v>
      </c>
      <c r="D538" s="83">
        <v>11999</v>
      </c>
      <c r="E538" s="76">
        <v>11999</v>
      </c>
      <c r="F538" s="76">
        <v>11999</v>
      </c>
      <c r="G538" t="s">
        <v>663</v>
      </c>
      <c r="H538" s="91">
        <f t="shared" si="55"/>
        <v>0</v>
      </c>
    </row>
    <row r="539" spans="1:8">
      <c r="A539" s="71" t="s">
        <v>338</v>
      </c>
      <c r="B539" s="58" t="s">
        <v>591</v>
      </c>
      <c r="C539" s="82" t="s">
        <v>591</v>
      </c>
      <c r="D539" s="83">
        <v>4499</v>
      </c>
      <c r="E539" s="76">
        <v>4499</v>
      </c>
      <c r="F539" s="76">
        <v>4499</v>
      </c>
      <c r="G539" t="s">
        <v>663</v>
      </c>
      <c r="H539" s="91">
        <f t="shared" si="55"/>
        <v>0</v>
      </c>
    </row>
    <row r="540" spans="1:8">
      <c r="A540" s="71" t="s">
        <v>338</v>
      </c>
      <c r="B540" s="58" t="s">
        <v>592</v>
      </c>
      <c r="C540" s="82" t="s">
        <v>592</v>
      </c>
      <c r="D540" s="83">
        <v>3789</v>
      </c>
      <c r="E540" s="76">
        <v>3789</v>
      </c>
      <c r="F540" s="76">
        <v>3789</v>
      </c>
      <c r="G540" t="s">
        <v>663</v>
      </c>
      <c r="H540" s="91">
        <f t="shared" si="55"/>
        <v>0</v>
      </c>
    </row>
    <row r="541" spans="1:8">
      <c r="A541" s="71" t="s">
        <v>338</v>
      </c>
      <c r="B541" s="58" t="s">
        <v>593</v>
      </c>
      <c r="C541" s="82" t="s">
        <v>593</v>
      </c>
      <c r="D541" s="83">
        <v>5799</v>
      </c>
      <c r="E541" s="76">
        <v>5799</v>
      </c>
      <c r="F541" s="76">
        <v>5799</v>
      </c>
      <c r="G541" t="s">
        <v>663</v>
      </c>
      <c r="H541" s="91">
        <f t="shared" si="55"/>
        <v>0</v>
      </c>
    </row>
    <row r="542" spans="1:8">
      <c r="A542" s="71" t="s">
        <v>338</v>
      </c>
      <c r="B542" s="58" t="s">
        <v>594</v>
      </c>
      <c r="C542" s="82" t="s">
        <v>594</v>
      </c>
      <c r="D542" s="83">
        <v>5499</v>
      </c>
      <c r="E542" s="76">
        <v>5499</v>
      </c>
      <c r="F542" s="76">
        <v>5499</v>
      </c>
      <c r="G542" t="s">
        <v>663</v>
      </c>
      <c r="H542" s="91">
        <f t="shared" si="55"/>
        <v>0</v>
      </c>
    </row>
    <row r="543" spans="1:8">
      <c r="A543" s="71" t="s">
        <v>338</v>
      </c>
      <c r="B543" s="58" t="s">
        <v>595</v>
      </c>
      <c r="C543" s="82" t="s">
        <v>595</v>
      </c>
      <c r="D543" s="83">
        <v>5799</v>
      </c>
      <c r="E543" s="76">
        <v>5799</v>
      </c>
      <c r="F543" s="76">
        <v>5799</v>
      </c>
      <c r="G543" t="s">
        <v>663</v>
      </c>
      <c r="H543" s="91">
        <f t="shared" si="55"/>
        <v>0</v>
      </c>
    </row>
    <row r="544" spans="1:8">
      <c r="A544" s="71" t="s">
        <v>338</v>
      </c>
      <c r="B544" s="58" t="s">
        <v>596</v>
      </c>
      <c r="C544" s="82" t="s">
        <v>596</v>
      </c>
      <c r="D544" s="83">
        <v>8199</v>
      </c>
      <c r="E544" s="76">
        <v>7499</v>
      </c>
      <c r="F544" s="76">
        <v>7499</v>
      </c>
      <c r="G544" s="66">
        <v>44371</v>
      </c>
      <c r="H544" s="91">
        <f t="shared" si="55"/>
        <v>700</v>
      </c>
    </row>
    <row r="545" spans="1:8">
      <c r="A545" s="71" t="s">
        <v>338</v>
      </c>
      <c r="B545" s="58" t="s">
        <v>597</v>
      </c>
      <c r="C545" s="82" t="s">
        <v>596</v>
      </c>
      <c r="D545" s="83">
        <f>E545</f>
        <v>10198</v>
      </c>
      <c r="E545" s="76">
        <v>10198</v>
      </c>
      <c r="F545" s="76">
        <v>10198</v>
      </c>
      <c r="G545" t="s">
        <v>663</v>
      </c>
      <c r="H545" s="91">
        <f t="shared" si="55"/>
        <v>0</v>
      </c>
    </row>
    <row r="546" spans="1:8">
      <c r="A546" s="71" t="s">
        <v>363</v>
      </c>
      <c r="B546" s="58" t="s">
        <v>608</v>
      </c>
      <c r="C546" s="82" t="s">
        <v>608</v>
      </c>
      <c r="D546" s="83">
        <v>3599</v>
      </c>
      <c r="E546" s="76">
        <v>3599</v>
      </c>
      <c r="F546" s="76">
        <v>3599</v>
      </c>
      <c r="G546" t="s">
        <v>663</v>
      </c>
      <c r="H546" s="91">
        <f t="shared" si="55"/>
        <v>0</v>
      </c>
    </row>
    <row r="547" spans="1:8">
      <c r="A547" s="71" t="s">
        <v>393</v>
      </c>
      <c r="B547" s="58" t="s">
        <v>602</v>
      </c>
      <c r="C547" s="82" t="s">
        <v>945</v>
      </c>
      <c r="D547" s="83">
        <f>E547</f>
        <v>8999</v>
      </c>
      <c r="E547" s="76">
        <v>8999</v>
      </c>
      <c r="F547" s="76">
        <v>8999</v>
      </c>
      <c r="G547" t="s">
        <v>663</v>
      </c>
      <c r="H547" s="91">
        <f t="shared" si="55"/>
        <v>0</v>
      </c>
    </row>
    <row r="548" spans="1:8">
      <c r="A548" s="71" t="s">
        <v>336</v>
      </c>
      <c r="B548" s="58" t="s">
        <v>606</v>
      </c>
      <c r="C548" s="82" t="s">
        <v>974</v>
      </c>
      <c r="D548" s="83">
        <v>3999</v>
      </c>
      <c r="E548" s="76">
        <v>3999</v>
      </c>
      <c r="F548" s="76">
        <v>3999</v>
      </c>
      <c r="G548" t="s">
        <v>663</v>
      </c>
      <c r="H548" s="91">
        <f t="shared" si="55"/>
        <v>0</v>
      </c>
    </row>
    <row r="549" spans="1:8">
      <c r="A549" s="71" t="s">
        <v>336</v>
      </c>
      <c r="B549" s="58" t="s">
        <v>607</v>
      </c>
      <c r="C549" s="82" t="s">
        <v>975</v>
      </c>
      <c r="D549" s="83">
        <v>3499</v>
      </c>
      <c r="E549" s="76">
        <v>3499</v>
      </c>
      <c r="F549" s="76">
        <v>3499</v>
      </c>
      <c r="G549" t="s">
        <v>663</v>
      </c>
      <c r="H549" s="91">
        <f t="shared" si="55"/>
        <v>0</v>
      </c>
    </row>
    <row r="550" spans="1:8">
      <c r="A550" s="71" t="s">
        <v>385</v>
      </c>
      <c r="B550" s="58" t="s">
        <v>603</v>
      </c>
      <c r="C550" s="82" t="s">
        <v>603</v>
      </c>
      <c r="D550" s="83">
        <v>12999</v>
      </c>
      <c r="E550" s="76">
        <v>12999</v>
      </c>
      <c r="F550" s="76">
        <v>12999</v>
      </c>
      <c r="G550" t="s">
        <v>663</v>
      </c>
      <c r="H550" s="91">
        <f t="shared" si="55"/>
        <v>0</v>
      </c>
    </row>
    <row r="551" spans="1:8">
      <c r="A551" s="71" t="s">
        <v>385</v>
      </c>
      <c r="B551" s="58" t="s">
        <v>604</v>
      </c>
      <c r="C551" s="82" t="s">
        <v>604</v>
      </c>
      <c r="D551" s="83">
        <f t="shared" ref="D551:D552" si="59">E551</f>
        <v>17999</v>
      </c>
      <c r="E551" s="76">
        <v>17999</v>
      </c>
      <c r="F551" s="76">
        <v>17999</v>
      </c>
      <c r="G551" t="s">
        <v>663</v>
      </c>
      <c r="H551" s="91">
        <f t="shared" si="55"/>
        <v>0</v>
      </c>
    </row>
    <row r="552" spans="1:8">
      <c r="A552" s="71" t="s">
        <v>385</v>
      </c>
      <c r="B552" s="58" t="s">
        <v>605</v>
      </c>
      <c r="C552" s="82" t="s">
        <v>976</v>
      </c>
      <c r="D552" s="83">
        <f t="shared" si="59"/>
        <v>7999</v>
      </c>
      <c r="E552" s="76">
        <v>7999</v>
      </c>
      <c r="F552" s="76">
        <v>7999</v>
      </c>
      <c r="G552" t="s">
        <v>663</v>
      </c>
      <c r="H552" s="91">
        <f t="shared" si="55"/>
        <v>0</v>
      </c>
    </row>
    <row r="553" spans="1:8">
      <c r="A553" s="71" t="s">
        <v>363</v>
      </c>
      <c r="B553" s="58" t="s">
        <v>610</v>
      </c>
      <c r="C553" s="82" t="s">
        <v>977</v>
      </c>
      <c r="D553" s="83">
        <v>26999</v>
      </c>
      <c r="E553" s="76">
        <v>26999</v>
      </c>
      <c r="F553" s="76">
        <v>26999</v>
      </c>
      <c r="G553" t="s">
        <v>663</v>
      </c>
      <c r="H553" s="91">
        <f t="shared" si="55"/>
        <v>0</v>
      </c>
    </row>
    <row r="554" spans="1:8">
      <c r="A554" s="71" t="s">
        <v>363</v>
      </c>
      <c r="B554" s="58" t="s">
        <v>611</v>
      </c>
      <c r="C554" s="82" t="s">
        <v>978</v>
      </c>
      <c r="D554" s="83">
        <f t="shared" ref="D554:D558" si="60">E554</f>
        <v>5699</v>
      </c>
      <c r="E554" s="76">
        <v>5699</v>
      </c>
      <c r="F554" s="76">
        <v>5699</v>
      </c>
      <c r="G554" t="s">
        <v>663</v>
      </c>
      <c r="H554" s="91">
        <f t="shared" si="55"/>
        <v>0</v>
      </c>
    </row>
    <row r="555" spans="1:8">
      <c r="A555" s="71" t="s">
        <v>393</v>
      </c>
      <c r="B555" s="58" t="s">
        <v>612</v>
      </c>
      <c r="C555" s="82" t="s">
        <v>979</v>
      </c>
      <c r="D555" s="83">
        <f t="shared" si="60"/>
        <v>4499</v>
      </c>
      <c r="E555" s="76">
        <v>4499</v>
      </c>
      <c r="F555" s="76">
        <v>4139</v>
      </c>
      <c r="G555" s="66">
        <v>45029</v>
      </c>
      <c r="H555" s="91">
        <f t="shared" si="55"/>
        <v>0</v>
      </c>
    </row>
    <row r="556" spans="1:8">
      <c r="A556" s="71" t="s">
        <v>271</v>
      </c>
      <c r="B556" s="58" t="s">
        <v>614</v>
      </c>
      <c r="C556" s="82" t="s">
        <v>980</v>
      </c>
      <c r="D556" s="83">
        <f t="shared" si="60"/>
        <v>5299</v>
      </c>
      <c r="E556" s="76">
        <v>5299</v>
      </c>
      <c r="F556" s="76">
        <v>5299</v>
      </c>
      <c r="G556" t="s">
        <v>663</v>
      </c>
      <c r="H556" s="91">
        <f t="shared" si="55"/>
        <v>0</v>
      </c>
    </row>
    <row r="557" spans="1:8">
      <c r="A557" s="71" t="s">
        <v>615</v>
      </c>
      <c r="B557" s="58" t="s">
        <v>616</v>
      </c>
      <c r="C557" s="82" t="s">
        <v>981</v>
      </c>
      <c r="D557" s="83">
        <f t="shared" si="60"/>
        <v>5999</v>
      </c>
      <c r="E557" s="76">
        <v>5999</v>
      </c>
      <c r="F557" s="76">
        <v>5999</v>
      </c>
      <c r="G557" t="s">
        <v>663</v>
      </c>
      <c r="H557" s="91">
        <f t="shared" si="55"/>
        <v>0</v>
      </c>
    </row>
    <row r="558" spans="1:8">
      <c r="A558" s="71" t="s">
        <v>271</v>
      </c>
      <c r="B558" s="58" t="s">
        <v>613</v>
      </c>
      <c r="C558" s="82" t="s">
        <v>982</v>
      </c>
      <c r="D558" s="83">
        <f t="shared" si="60"/>
        <v>3499</v>
      </c>
      <c r="E558" s="76">
        <v>3499</v>
      </c>
      <c r="F558" s="76">
        <v>3499</v>
      </c>
      <c r="G558" t="s">
        <v>663</v>
      </c>
      <c r="H558" s="91">
        <f t="shared" si="55"/>
        <v>0</v>
      </c>
    </row>
    <row r="559" spans="1:8">
      <c r="A559" s="71" t="s">
        <v>336</v>
      </c>
      <c r="B559" s="58" t="s">
        <v>617</v>
      </c>
      <c r="C559" s="82" t="s">
        <v>983</v>
      </c>
      <c r="D559" s="83">
        <v>2699</v>
      </c>
      <c r="E559" s="76">
        <v>2699</v>
      </c>
      <c r="F559" s="76">
        <v>2699</v>
      </c>
      <c r="G559" t="s">
        <v>663</v>
      </c>
      <c r="H559" s="91">
        <f t="shared" si="55"/>
        <v>0</v>
      </c>
    </row>
    <row r="560" spans="1:8">
      <c r="A560" s="71" t="s">
        <v>336</v>
      </c>
      <c r="B560" s="58" t="s">
        <v>618</v>
      </c>
      <c r="C560" s="82" t="s">
        <v>984</v>
      </c>
      <c r="D560" s="83">
        <f t="shared" ref="D560:D561" si="61">E560</f>
        <v>23999</v>
      </c>
      <c r="E560" s="79">
        <v>23999</v>
      </c>
      <c r="F560" s="79">
        <v>23999</v>
      </c>
      <c r="G560" t="s">
        <v>663</v>
      </c>
      <c r="H560" s="91">
        <f t="shared" si="55"/>
        <v>0</v>
      </c>
    </row>
    <row r="561" spans="1:8">
      <c r="A561" s="71" t="s">
        <v>336</v>
      </c>
      <c r="B561" s="58" t="s">
        <v>619</v>
      </c>
      <c r="C561" s="82" t="s">
        <v>985</v>
      </c>
      <c r="D561" s="83">
        <f t="shared" si="61"/>
        <v>25999</v>
      </c>
      <c r="E561" s="79">
        <v>25999</v>
      </c>
      <c r="F561" s="79">
        <v>25999</v>
      </c>
      <c r="G561" t="s">
        <v>663</v>
      </c>
      <c r="H561" s="91">
        <f t="shared" si="55"/>
        <v>0</v>
      </c>
    </row>
    <row r="562" spans="1:8">
      <c r="A562" s="71" t="s">
        <v>336</v>
      </c>
      <c r="B562" s="58" t="s">
        <v>620</v>
      </c>
      <c r="C562" s="82" t="s">
        <v>986</v>
      </c>
      <c r="D562" s="83">
        <v>28999</v>
      </c>
      <c r="E562" s="79">
        <v>28999</v>
      </c>
      <c r="F562" s="79">
        <v>28999</v>
      </c>
      <c r="G562" t="s">
        <v>663</v>
      </c>
      <c r="H562" s="91">
        <f t="shared" si="55"/>
        <v>0</v>
      </c>
    </row>
    <row r="563" spans="1:8">
      <c r="A563" s="71" t="s">
        <v>336</v>
      </c>
      <c r="B563" s="58" t="s">
        <v>621</v>
      </c>
      <c r="C563" s="82" t="s">
        <v>987</v>
      </c>
      <c r="D563" s="83">
        <f t="shared" ref="D563:D564" si="62">E563</f>
        <v>30999</v>
      </c>
      <c r="E563" s="79">
        <v>30999</v>
      </c>
      <c r="F563" s="79">
        <v>30999</v>
      </c>
      <c r="G563" t="s">
        <v>663</v>
      </c>
      <c r="H563" s="91">
        <f t="shared" si="55"/>
        <v>0</v>
      </c>
    </row>
    <row r="564" spans="1:8">
      <c r="A564" s="71" t="s">
        <v>336</v>
      </c>
      <c r="B564" s="58" t="s">
        <v>622</v>
      </c>
      <c r="C564" s="82" t="s">
        <v>988</v>
      </c>
      <c r="D564" s="83">
        <f t="shared" si="62"/>
        <v>35999</v>
      </c>
      <c r="E564" s="79">
        <v>35999</v>
      </c>
      <c r="F564" s="79">
        <v>35999</v>
      </c>
      <c r="G564" t="s">
        <v>663</v>
      </c>
      <c r="H564" s="91">
        <f t="shared" si="55"/>
        <v>0</v>
      </c>
    </row>
    <row r="565" spans="1:8">
      <c r="A565" s="71" t="s">
        <v>336</v>
      </c>
      <c r="B565" s="58" t="s">
        <v>623</v>
      </c>
      <c r="C565" s="82" t="s">
        <v>989</v>
      </c>
      <c r="D565" s="83">
        <v>40999</v>
      </c>
      <c r="E565" s="79">
        <v>40999</v>
      </c>
      <c r="F565" s="79">
        <v>40999</v>
      </c>
      <c r="G565" t="s">
        <v>663</v>
      </c>
      <c r="H565" s="91">
        <f t="shared" si="55"/>
        <v>0</v>
      </c>
    </row>
    <row r="566" spans="1:8">
      <c r="A566" s="71" t="s">
        <v>336</v>
      </c>
      <c r="B566" s="58" t="s">
        <v>624</v>
      </c>
      <c r="C566" s="82" t="s">
        <v>990</v>
      </c>
      <c r="D566" s="83">
        <f t="shared" ref="D566:D578" si="63">E566</f>
        <v>5999</v>
      </c>
      <c r="E566" s="79">
        <v>5999</v>
      </c>
      <c r="F566" s="79">
        <v>5999</v>
      </c>
      <c r="G566" t="s">
        <v>663</v>
      </c>
      <c r="H566" s="91">
        <f t="shared" si="55"/>
        <v>0</v>
      </c>
    </row>
    <row r="567" spans="1:8">
      <c r="A567" s="71" t="s">
        <v>336</v>
      </c>
      <c r="B567" s="58" t="s">
        <v>625</v>
      </c>
      <c r="C567" s="82" t="s">
        <v>991</v>
      </c>
      <c r="D567" s="83">
        <f t="shared" si="63"/>
        <v>4999</v>
      </c>
      <c r="E567" s="79">
        <v>4999</v>
      </c>
      <c r="F567" s="79">
        <v>4999</v>
      </c>
      <c r="G567" t="s">
        <v>663</v>
      </c>
      <c r="H567" s="91">
        <f t="shared" si="55"/>
        <v>0</v>
      </c>
    </row>
    <row r="568" spans="1:8">
      <c r="A568" s="71" t="s">
        <v>626</v>
      </c>
      <c r="B568" s="58" t="s">
        <v>627</v>
      </c>
      <c r="C568" s="82" t="s">
        <v>992</v>
      </c>
      <c r="D568" s="83">
        <f t="shared" si="63"/>
        <v>6269</v>
      </c>
      <c r="E568" s="79">
        <v>6269</v>
      </c>
      <c r="F568" s="79">
        <v>5499</v>
      </c>
      <c r="G568" s="66">
        <v>45092</v>
      </c>
      <c r="H568" s="91">
        <f t="shared" si="55"/>
        <v>0</v>
      </c>
    </row>
    <row r="569" spans="1:8">
      <c r="A569" s="71" t="s">
        <v>393</v>
      </c>
      <c r="B569" s="58" t="s">
        <v>628</v>
      </c>
      <c r="C569" s="82" t="s">
        <v>887</v>
      </c>
      <c r="D569" s="83">
        <f t="shared" si="63"/>
        <v>9499</v>
      </c>
      <c r="E569" s="79">
        <v>9499</v>
      </c>
      <c r="F569" s="79">
        <v>9499</v>
      </c>
      <c r="G569" t="s">
        <v>663</v>
      </c>
      <c r="H569" s="91">
        <f t="shared" si="55"/>
        <v>0</v>
      </c>
    </row>
    <row r="570" spans="1:8">
      <c r="A570" s="71" t="s">
        <v>336</v>
      </c>
      <c r="B570" s="58" t="s">
        <v>629</v>
      </c>
      <c r="C570" s="82" t="s">
        <v>993</v>
      </c>
      <c r="D570" s="83">
        <f t="shared" si="63"/>
        <v>23999</v>
      </c>
      <c r="E570" s="79">
        <v>23999</v>
      </c>
      <c r="F570" s="79">
        <v>23999</v>
      </c>
      <c r="G570" t="s">
        <v>663</v>
      </c>
      <c r="H570" s="91">
        <f t="shared" si="55"/>
        <v>0</v>
      </c>
    </row>
    <row r="571" spans="1:8">
      <c r="A571" s="71" t="s">
        <v>338</v>
      </c>
      <c r="B571" s="58" t="s">
        <v>630</v>
      </c>
      <c r="C571" s="82" t="s">
        <v>994</v>
      </c>
      <c r="D571" s="83">
        <f t="shared" si="63"/>
        <v>4139</v>
      </c>
      <c r="E571" s="79">
        <v>4139</v>
      </c>
      <c r="F571" s="79">
        <v>4139</v>
      </c>
      <c r="G571" t="s">
        <v>663</v>
      </c>
      <c r="H571" s="91">
        <f t="shared" si="55"/>
        <v>0</v>
      </c>
    </row>
    <row r="572" spans="1:8">
      <c r="A572" s="71" t="s">
        <v>338</v>
      </c>
      <c r="B572" s="58" t="s">
        <v>631</v>
      </c>
      <c r="C572" s="82" t="s">
        <v>995</v>
      </c>
      <c r="D572" s="83">
        <f t="shared" si="63"/>
        <v>28999</v>
      </c>
      <c r="E572" s="79">
        <v>28999</v>
      </c>
      <c r="F572" s="79">
        <v>28999</v>
      </c>
      <c r="G572" t="s">
        <v>663</v>
      </c>
      <c r="H572" s="91">
        <f t="shared" si="55"/>
        <v>0</v>
      </c>
    </row>
    <row r="573" spans="1:8">
      <c r="A573" s="71" t="s">
        <v>496</v>
      </c>
      <c r="B573" s="58" t="s">
        <v>632</v>
      </c>
      <c r="C573" s="82" t="s">
        <v>996</v>
      </c>
      <c r="D573" s="83">
        <f t="shared" si="63"/>
        <v>7999</v>
      </c>
      <c r="E573" s="79">
        <v>7999</v>
      </c>
      <c r="F573" s="79">
        <v>7999</v>
      </c>
      <c r="G573" t="s">
        <v>663</v>
      </c>
      <c r="H573" s="91">
        <f t="shared" si="55"/>
        <v>0</v>
      </c>
    </row>
    <row r="574" spans="1:8">
      <c r="A574" s="71" t="s">
        <v>496</v>
      </c>
      <c r="B574" s="58" t="s">
        <v>633</v>
      </c>
      <c r="C574" s="82" t="s">
        <v>997</v>
      </c>
      <c r="D574" s="83">
        <f t="shared" si="63"/>
        <v>9999</v>
      </c>
      <c r="E574" s="79">
        <v>9999</v>
      </c>
      <c r="F574" s="79">
        <v>8999</v>
      </c>
      <c r="G574" s="66">
        <v>45092</v>
      </c>
      <c r="H574" s="91">
        <f t="shared" si="55"/>
        <v>0</v>
      </c>
    </row>
    <row r="575" spans="1:8">
      <c r="A575" s="71" t="s">
        <v>336</v>
      </c>
      <c r="B575" s="58" t="s">
        <v>634</v>
      </c>
      <c r="C575" s="82" t="s">
        <v>998</v>
      </c>
      <c r="D575" s="83">
        <f t="shared" si="63"/>
        <v>9999</v>
      </c>
      <c r="E575" s="79">
        <v>9999</v>
      </c>
      <c r="F575" s="79">
        <v>9999</v>
      </c>
      <c r="G575" t="s">
        <v>663</v>
      </c>
      <c r="H575" s="91">
        <f t="shared" si="55"/>
        <v>0</v>
      </c>
    </row>
    <row r="576" spans="1:8">
      <c r="A576" s="71" t="s">
        <v>336</v>
      </c>
      <c r="B576" s="58" t="s">
        <v>635</v>
      </c>
      <c r="C576" s="82" t="s">
        <v>999</v>
      </c>
      <c r="D576" s="83">
        <f t="shared" si="63"/>
        <v>7999</v>
      </c>
      <c r="E576" s="79">
        <v>7999</v>
      </c>
      <c r="F576" s="79">
        <v>7999</v>
      </c>
      <c r="G576" t="s">
        <v>663</v>
      </c>
      <c r="H576" s="91">
        <f t="shared" si="55"/>
        <v>0</v>
      </c>
    </row>
    <row r="577" spans="1:8">
      <c r="A577" s="71" t="s">
        <v>336</v>
      </c>
      <c r="B577" s="58" t="s">
        <v>636</v>
      </c>
      <c r="C577" s="82" t="s">
        <v>1000</v>
      </c>
      <c r="D577" s="83">
        <f t="shared" si="63"/>
        <v>5999</v>
      </c>
      <c r="E577" s="79">
        <v>5999</v>
      </c>
      <c r="F577" s="79">
        <v>5799</v>
      </c>
      <c r="G577" s="66">
        <v>45064</v>
      </c>
      <c r="H577" s="91">
        <f t="shared" si="55"/>
        <v>0</v>
      </c>
    </row>
    <row r="578" spans="1:8">
      <c r="A578" s="71" t="s">
        <v>363</v>
      </c>
      <c r="B578" s="58" t="s">
        <v>637</v>
      </c>
      <c r="C578" s="82" t="s">
        <v>1001</v>
      </c>
      <c r="D578" s="83">
        <f t="shared" si="63"/>
        <v>4299</v>
      </c>
      <c r="E578" s="79">
        <v>4299</v>
      </c>
      <c r="F578" s="79">
        <v>4299</v>
      </c>
      <c r="G578" t="s">
        <v>663</v>
      </c>
      <c r="H578" s="91">
        <f t="shared" si="55"/>
        <v>0</v>
      </c>
    </row>
    <row r="579" spans="1:8">
      <c r="A579" s="71" t="s">
        <v>363</v>
      </c>
      <c r="B579" s="58" t="s">
        <v>638</v>
      </c>
      <c r="C579" s="82" t="s">
        <v>977</v>
      </c>
      <c r="D579" s="83">
        <v>26999</v>
      </c>
      <c r="E579" s="79">
        <v>26999</v>
      </c>
      <c r="F579" s="79">
        <v>26999</v>
      </c>
      <c r="G579" t="s">
        <v>663</v>
      </c>
      <c r="H579" s="91">
        <f t="shared" ref="H579:H594" si="64">D579-E579</f>
        <v>0</v>
      </c>
    </row>
    <row r="580" spans="1:8">
      <c r="A580" s="71" t="s">
        <v>496</v>
      </c>
      <c r="B580" s="58" t="s">
        <v>639</v>
      </c>
      <c r="C580" s="82" t="s">
        <v>639</v>
      </c>
      <c r="D580" s="83">
        <f t="shared" ref="D580:D593" si="65">E580</f>
        <v>2499</v>
      </c>
      <c r="E580" s="79">
        <v>2499</v>
      </c>
      <c r="F580" s="79">
        <v>2499</v>
      </c>
      <c r="G580" t="s">
        <v>663</v>
      </c>
      <c r="H580" s="91">
        <f t="shared" si="64"/>
        <v>0</v>
      </c>
    </row>
    <row r="581" spans="1:8">
      <c r="A581" s="71" t="s">
        <v>385</v>
      </c>
      <c r="B581" s="58" t="s">
        <v>640</v>
      </c>
      <c r="C581" s="82" t="s">
        <v>1002</v>
      </c>
      <c r="D581" s="83">
        <f t="shared" si="65"/>
        <v>4499</v>
      </c>
      <c r="E581" s="79">
        <v>4499</v>
      </c>
      <c r="F581" s="79">
        <v>4499</v>
      </c>
      <c r="G581" t="s">
        <v>663</v>
      </c>
      <c r="H581" s="91">
        <f t="shared" si="64"/>
        <v>0</v>
      </c>
    </row>
    <row r="582" spans="1:8">
      <c r="A582" s="71" t="s">
        <v>385</v>
      </c>
      <c r="B582" s="58" t="s">
        <v>641</v>
      </c>
      <c r="C582" s="82" t="s">
        <v>1003</v>
      </c>
      <c r="D582" s="83">
        <f t="shared" si="65"/>
        <v>2499</v>
      </c>
      <c r="E582" s="79">
        <v>2499</v>
      </c>
      <c r="F582" s="79">
        <v>2499</v>
      </c>
      <c r="G582" t="s">
        <v>663</v>
      </c>
      <c r="H582" s="91">
        <f t="shared" si="64"/>
        <v>0</v>
      </c>
    </row>
    <row r="583" spans="1:8">
      <c r="A583" s="71" t="s">
        <v>358</v>
      </c>
      <c r="B583" s="58" t="s">
        <v>564</v>
      </c>
      <c r="C583" s="82" t="s">
        <v>955</v>
      </c>
      <c r="D583" s="83">
        <f t="shared" si="65"/>
        <v>20999</v>
      </c>
      <c r="E583" s="79">
        <v>20999</v>
      </c>
      <c r="F583" s="79">
        <v>20999</v>
      </c>
      <c r="G583" t="s">
        <v>663</v>
      </c>
      <c r="H583" s="91">
        <f t="shared" si="64"/>
        <v>0</v>
      </c>
    </row>
    <row r="584" spans="1:8">
      <c r="A584" s="71" t="s">
        <v>358</v>
      </c>
      <c r="B584" s="58" t="s">
        <v>565</v>
      </c>
      <c r="C584" s="82" t="s">
        <v>956</v>
      </c>
      <c r="D584" s="83">
        <f t="shared" si="65"/>
        <v>23999</v>
      </c>
      <c r="E584" s="79">
        <v>23999</v>
      </c>
      <c r="F584" s="79">
        <v>23999</v>
      </c>
      <c r="G584" t="s">
        <v>663</v>
      </c>
      <c r="H584" s="91">
        <f t="shared" si="64"/>
        <v>0</v>
      </c>
    </row>
    <row r="585" spans="1:8">
      <c r="A585" s="71" t="s">
        <v>358</v>
      </c>
      <c r="B585" s="58" t="s">
        <v>648</v>
      </c>
      <c r="C585" s="82" t="s">
        <v>964</v>
      </c>
      <c r="D585" s="83">
        <f t="shared" si="65"/>
        <v>23999</v>
      </c>
      <c r="E585" s="79">
        <v>23999</v>
      </c>
      <c r="F585" s="79">
        <v>23999</v>
      </c>
      <c r="G585" t="s">
        <v>663</v>
      </c>
      <c r="H585" s="91">
        <f t="shared" si="64"/>
        <v>0</v>
      </c>
    </row>
    <row r="586" spans="1:8">
      <c r="A586" s="71" t="s">
        <v>358</v>
      </c>
      <c r="B586" s="58" t="s">
        <v>649</v>
      </c>
      <c r="C586" s="82" t="s">
        <v>965</v>
      </c>
      <c r="D586" s="83">
        <f t="shared" si="65"/>
        <v>26999</v>
      </c>
      <c r="E586" s="79">
        <v>26999</v>
      </c>
      <c r="F586" s="79">
        <v>26999</v>
      </c>
      <c r="G586" t="s">
        <v>663</v>
      </c>
      <c r="H586" s="91">
        <f t="shared" si="64"/>
        <v>0</v>
      </c>
    </row>
    <row r="587" spans="1:8">
      <c r="A587" s="71" t="s">
        <v>385</v>
      </c>
      <c r="B587" s="58" t="s">
        <v>646</v>
      </c>
      <c r="C587" s="82" t="s">
        <v>1004</v>
      </c>
      <c r="D587" s="83">
        <f t="shared" si="65"/>
        <v>6499</v>
      </c>
      <c r="E587" s="79">
        <v>6499</v>
      </c>
      <c r="F587" s="79">
        <v>6499</v>
      </c>
      <c r="G587" t="s">
        <v>663</v>
      </c>
      <c r="H587" s="91">
        <f t="shared" si="64"/>
        <v>0</v>
      </c>
    </row>
    <row r="588" spans="1:8">
      <c r="A588" s="71" t="s">
        <v>385</v>
      </c>
      <c r="B588" s="58" t="s">
        <v>647</v>
      </c>
      <c r="C588" s="82" t="s">
        <v>1005</v>
      </c>
      <c r="D588" s="83">
        <f t="shared" si="65"/>
        <v>13999</v>
      </c>
      <c r="E588" s="79">
        <v>13999</v>
      </c>
      <c r="F588" s="79">
        <v>13999</v>
      </c>
      <c r="G588" t="s">
        <v>663</v>
      </c>
      <c r="H588" s="91">
        <f t="shared" si="64"/>
        <v>0</v>
      </c>
    </row>
    <row r="589" spans="1:8">
      <c r="A589" s="71" t="s">
        <v>496</v>
      </c>
      <c r="B589" s="58" t="s">
        <v>650</v>
      </c>
      <c r="C589" s="82" t="s">
        <v>1006</v>
      </c>
      <c r="D589" s="83">
        <f t="shared" si="65"/>
        <v>9999</v>
      </c>
      <c r="E589" s="79">
        <v>9999</v>
      </c>
      <c r="F589" s="79">
        <v>9999</v>
      </c>
      <c r="G589" t="s">
        <v>663</v>
      </c>
      <c r="H589" s="91">
        <f t="shared" si="64"/>
        <v>0</v>
      </c>
    </row>
    <row r="590" spans="1:8">
      <c r="A590" s="71" t="s">
        <v>496</v>
      </c>
      <c r="B590" s="58" t="s">
        <v>651</v>
      </c>
      <c r="C590" s="82" t="s">
        <v>996</v>
      </c>
      <c r="D590" s="83">
        <f t="shared" si="65"/>
        <v>9999</v>
      </c>
      <c r="E590" s="79">
        <v>9999</v>
      </c>
      <c r="F590" s="79">
        <v>9999</v>
      </c>
      <c r="G590" t="s">
        <v>663</v>
      </c>
      <c r="H590" s="91">
        <f t="shared" si="64"/>
        <v>0</v>
      </c>
    </row>
    <row r="591" spans="1:8">
      <c r="A591" s="71" t="s">
        <v>496</v>
      </c>
      <c r="B591" s="58" t="s">
        <v>652</v>
      </c>
      <c r="C591" s="82" t="s">
        <v>1007</v>
      </c>
      <c r="D591" s="83">
        <f t="shared" si="65"/>
        <v>44999</v>
      </c>
      <c r="E591" s="79">
        <v>44999</v>
      </c>
      <c r="F591" s="79">
        <v>44999</v>
      </c>
      <c r="G591" t="s">
        <v>663</v>
      </c>
      <c r="H591" s="91">
        <f t="shared" si="64"/>
        <v>0</v>
      </c>
    </row>
    <row r="592" spans="1:8">
      <c r="A592" s="71" t="s">
        <v>626</v>
      </c>
      <c r="B592" s="58" t="s">
        <v>653</v>
      </c>
      <c r="C592" s="82" t="s">
        <v>996</v>
      </c>
      <c r="D592" s="83">
        <f t="shared" si="65"/>
        <v>7999</v>
      </c>
      <c r="E592" s="79">
        <v>7999</v>
      </c>
      <c r="F592" s="79">
        <v>7999</v>
      </c>
      <c r="G592" t="s">
        <v>663</v>
      </c>
      <c r="H592" s="91">
        <f t="shared" si="64"/>
        <v>0</v>
      </c>
    </row>
    <row r="593" spans="1:8">
      <c r="A593" s="71" t="s">
        <v>338</v>
      </c>
      <c r="B593" s="58" t="s">
        <v>654</v>
      </c>
      <c r="C593" s="82" t="s">
        <v>1008</v>
      </c>
      <c r="D593" s="83">
        <f t="shared" si="65"/>
        <v>25999</v>
      </c>
      <c r="E593" s="79">
        <v>25999</v>
      </c>
      <c r="F593" s="79">
        <v>25999</v>
      </c>
      <c r="G593" t="s">
        <v>663</v>
      </c>
      <c r="H593" s="91">
        <f t="shared" si="64"/>
        <v>0</v>
      </c>
    </row>
    <row r="594" spans="1:8">
      <c r="A594" s="71" t="s">
        <v>271</v>
      </c>
      <c r="B594" s="58" t="s">
        <v>655</v>
      </c>
      <c r="C594" s="82" t="s">
        <v>1009</v>
      </c>
      <c r="D594" s="83">
        <f>E594</f>
        <v>4199</v>
      </c>
      <c r="E594" s="79">
        <v>4199</v>
      </c>
      <c r="F594" s="79">
        <v>4199</v>
      </c>
      <c r="G594" t="s">
        <v>663</v>
      </c>
      <c r="H594" s="91">
        <f t="shared" si="64"/>
        <v>0</v>
      </c>
    </row>
    <row r="595" spans="1:8">
      <c r="A595" s="133" t="s">
        <v>1367</v>
      </c>
      <c r="B595" t="s">
        <v>1360</v>
      </c>
      <c r="C595" t="s">
        <v>1360</v>
      </c>
      <c r="D595" s="130">
        <v>11999</v>
      </c>
      <c r="E595" s="130">
        <v>11999</v>
      </c>
      <c r="F595" s="130">
        <v>11999</v>
      </c>
      <c r="G595" s="66" t="s">
        <v>663</v>
      </c>
    </row>
    <row r="596" spans="1:8">
      <c r="A596" s="133" t="s">
        <v>1367</v>
      </c>
      <c r="B596" t="s">
        <v>1361</v>
      </c>
      <c r="C596" t="s">
        <v>1361</v>
      </c>
      <c r="D596" s="130">
        <v>19999</v>
      </c>
      <c r="E596" s="130">
        <v>19999</v>
      </c>
      <c r="F596" s="130">
        <v>19999</v>
      </c>
      <c r="G596" s="66" t="s">
        <v>663</v>
      </c>
    </row>
    <row r="597" spans="1:8">
      <c r="A597" s="133" t="s">
        <v>1367</v>
      </c>
      <c r="B597" t="s">
        <v>1362</v>
      </c>
      <c r="C597" t="s">
        <v>1362</v>
      </c>
      <c r="D597" s="130">
        <v>22499</v>
      </c>
      <c r="E597" s="130">
        <v>22499</v>
      </c>
      <c r="F597" s="130">
        <v>22499</v>
      </c>
      <c r="G597" s="66" t="s">
        <v>663</v>
      </c>
    </row>
    <row r="598" spans="1:8">
      <c r="A598" s="133" t="s">
        <v>1367</v>
      </c>
      <c r="B598" t="s">
        <v>1363</v>
      </c>
      <c r="C598" t="s">
        <v>1363</v>
      </c>
      <c r="D598" s="130">
        <v>28499</v>
      </c>
      <c r="E598" s="130">
        <v>28499</v>
      </c>
      <c r="F598" s="130">
        <v>28499</v>
      </c>
      <c r="G598" s="66" t="s">
        <v>663</v>
      </c>
    </row>
    <row r="599" spans="1:8">
      <c r="A599" s="133" t="s">
        <v>1367</v>
      </c>
      <c r="B599" t="s">
        <v>1364</v>
      </c>
      <c r="C599" t="s">
        <v>1364</v>
      </c>
      <c r="D599" s="130">
        <v>31499</v>
      </c>
      <c r="E599" s="130">
        <v>31499</v>
      </c>
      <c r="F599" s="130">
        <v>31499</v>
      </c>
      <c r="G599" s="66" t="s">
        <v>663</v>
      </c>
    </row>
    <row r="600" spans="1:8">
      <c r="A600" s="133" t="s">
        <v>1367</v>
      </c>
      <c r="B600" t="s">
        <v>1365</v>
      </c>
      <c r="C600" t="s">
        <v>1365</v>
      </c>
      <c r="D600" s="130">
        <v>30999</v>
      </c>
      <c r="E600" s="130">
        <v>30999</v>
      </c>
      <c r="F600" s="130">
        <v>30999</v>
      </c>
      <c r="G600" s="66" t="s">
        <v>663</v>
      </c>
    </row>
    <row r="601" spans="1:8">
      <c r="A601" s="133" t="s">
        <v>1367</v>
      </c>
      <c r="B601" t="s">
        <v>1366</v>
      </c>
      <c r="C601" t="s">
        <v>1366</v>
      </c>
      <c r="D601" s="130">
        <v>33999</v>
      </c>
      <c r="E601" s="130">
        <v>33999</v>
      </c>
      <c r="F601" s="130">
        <v>33999</v>
      </c>
      <c r="G601" s="66" t="s">
        <v>663</v>
      </c>
    </row>
  </sheetData>
  <autoFilter ref="A1:H1" xr:uid="{FD22C14A-AEEC-43C1-88D1-30F5BD735000}"/>
  <conditionalFormatting sqref="E500:F501">
    <cfRule type="expression" dxfId="1" priority="1">
      <formula>MOD(ROW(),2)=1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AK786"/>
  <sheetViews>
    <sheetView topLeftCell="V45" zoomScale="90" zoomScaleNormal="90" workbookViewId="0">
      <selection activeCell="V64" sqref="V64"/>
    </sheetView>
  </sheetViews>
  <sheetFormatPr baseColWidth="10" defaultRowHeight="14.5"/>
  <cols>
    <col min="1" max="1" width="3.54296875" customWidth="1"/>
    <col min="2" max="2" width="10.81640625" customWidth="1"/>
    <col min="3" max="3" width="56.1796875" customWidth="1"/>
    <col min="4" max="4" width="14.81640625" style="30" customWidth="1"/>
    <col min="5" max="5" width="14.81640625" style="137" customWidth="1"/>
    <col min="6" max="6" width="27.1796875" customWidth="1"/>
    <col min="7" max="7" width="24.26953125" customWidth="1"/>
    <col min="8" max="8" width="5.26953125" bestFit="1" customWidth="1"/>
    <col min="9" max="9" width="10.453125" customWidth="1"/>
    <col min="10" max="10" width="22" customWidth="1"/>
    <col min="11" max="11" width="49" bestFit="1" customWidth="1"/>
    <col min="13" max="13" width="12.453125" bestFit="1" customWidth="1"/>
    <col min="15" max="15" width="12.453125" bestFit="1" customWidth="1"/>
    <col min="16" max="16" width="15.54296875" bestFit="1" customWidth="1"/>
    <col min="18" max="18" width="34.26953125" bestFit="1" customWidth="1"/>
    <col min="19" max="19" width="18.453125" customWidth="1"/>
    <col min="20" max="20" width="7.453125" bestFit="1" customWidth="1"/>
    <col min="21" max="21" width="8.54296875" bestFit="1" customWidth="1"/>
    <col min="22" max="22" width="44.54296875" bestFit="1" customWidth="1"/>
    <col min="23" max="23" width="31.81640625" bestFit="1" customWidth="1"/>
    <col min="24" max="24" width="14.81640625" bestFit="1" customWidth="1"/>
    <col min="26" max="26" width="17.26953125" bestFit="1" customWidth="1"/>
    <col min="27" max="27" width="29.453125" bestFit="1" customWidth="1"/>
    <col min="28" max="28" width="27.453125" customWidth="1"/>
    <col min="29" max="29" width="43.81640625" bestFit="1" customWidth="1"/>
    <col min="30" max="30" width="27.453125" customWidth="1"/>
    <col min="31" max="31" width="17.1796875" bestFit="1" customWidth="1"/>
    <col min="32" max="32" width="36.54296875" customWidth="1"/>
    <col min="33" max="33" width="17.1796875" customWidth="1"/>
    <col min="34" max="34" width="33" bestFit="1" customWidth="1"/>
    <col min="35" max="35" width="30.7265625" bestFit="1" customWidth="1"/>
    <col min="36" max="36" width="11.453125" style="1"/>
  </cols>
  <sheetData>
    <row r="1" spans="2:37">
      <c r="C1" t="s">
        <v>130</v>
      </c>
    </row>
    <row r="2" spans="2:37" ht="29">
      <c r="B2" s="22" t="s">
        <v>102</v>
      </c>
      <c r="C2" s="65" t="s">
        <v>103</v>
      </c>
      <c r="D2" s="24" t="s">
        <v>104</v>
      </c>
      <c r="E2" s="138"/>
    </row>
    <row r="3" spans="2:37">
      <c r="B3" s="45" t="s">
        <v>67</v>
      </c>
      <c r="C3" s="46" t="s">
        <v>213</v>
      </c>
      <c r="D3" s="39">
        <v>26999</v>
      </c>
      <c r="G3" s="12" t="s">
        <v>102</v>
      </c>
      <c r="H3" s="9" t="s">
        <v>170</v>
      </c>
      <c r="I3" s="9" t="s">
        <v>186</v>
      </c>
      <c r="J3" s="9" t="s">
        <v>91</v>
      </c>
      <c r="K3" s="11" t="s">
        <v>67</v>
      </c>
      <c r="L3" s="10" t="s">
        <v>79</v>
      </c>
      <c r="M3" s="9" t="s">
        <v>112</v>
      </c>
      <c r="N3" s="9" t="s">
        <v>90</v>
      </c>
      <c r="O3" s="8" t="s">
        <v>299</v>
      </c>
      <c r="P3" s="9" t="s">
        <v>165</v>
      </c>
      <c r="Q3" s="9" t="s">
        <v>80</v>
      </c>
      <c r="R3" s="9" t="s">
        <v>83</v>
      </c>
      <c r="S3" s="9" t="s">
        <v>215</v>
      </c>
      <c r="T3" s="9" t="s">
        <v>127</v>
      </c>
      <c r="U3" s="9" t="s">
        <v>87</v>
      </c>
      <c r="V3" s="11" t="s">
        <v>74</v>
      </c>
      <c r="W3" s="10" t="s">
        <v>73</v>
      </c>
      <c r="X3" s="9" t="s">
        <v>86</v>
      </c>
      <c r="Y3" s="9" t="s">
        <v>97</v>
      </c>
      <c r="Z3" s="11" t="s">
        <v>93</v>
      </c>
      <c r="AA3" s="52" t="s">
        <v>331</v>
      </c>
      <c r="AB3" s="52" t="s">
        <v>344</v>
      </c>
      <c r="AC3" s="52" t="s">
        <v>386</v>
      </c>
      <c r="AD3" s="52" t="s">
        <v>396</v>
      </c>
      <c r="AE3" s="52" t="s">
        <v>1063</v>
      </c>
      <c r="AF3" s="52" t="s">
        <v>1153</v>
      </c>
      <c r="AG3" s="52" t="s">
        <v>1178</v>
      </c>
      <c r="AH3" s="98" t="s">
        <v>1317</v>
      </c>
      <c r="AI3" s="136" t="s">
        <v>1367</v>
      </c>
      <c r="AJ3" s="13" t="s">
        <v>106</v>
      </c>
      <c r="AK3" s="52" t="s">
        <v>659</v>
      </c>
    </row>
    <row r="4" spans="2:37">
      <c r="B4" s="3" t="s">
        <v>67</v>
      </c>
      <c r="C4" s="20" t="s">
        <v>176</v>
      </c>
      <c r="D4" s="25">
        <v>24799</v>
      </c>
      <c r="E4" s="129"/>
      <c r="G4" s="98" t="s">
        <v>170</v>
      </c>
      <c r="H4" t="s">
        <v>170</v>
      </c>
      <c r="I4" t="s">
        <v>185</v>
      </c>
      <c r="J4" t="s">
        <v>55</v>
      </c>
      <c r="K4" t="s">
        <v>48</v>
      </c>
      <c r="L4">
        <v>9900</v>
      </c>
      <c r="M4" t="s">
        <v>25</v>
      </c>
      <c r="N4" t="s">
        <v>47</v>
      </c>
      <c r="O4" t="s">
        <v>1206</v>
      </c>
      <c r="P4" t="s">
        <v>166</v>
      </c>
      <c r="Q4" t="s">
        <v>81</v>
      </c>
      <c r="R4" t="s">
        <v>13</v>
      </c>
      <c r="S4" t="s">
        <v>217</v>
      </c>
      <c r="T4" t="s">
        <v>157</v>
      </c>
      <c r="U4" t="s">
        <v>9</v>
      </c>
      <c r="V4" t="s">
        <v>53</v>
      </c>
      <c r="W4" t="s">
        <v>545</v>
      </c>
      <c r="X4" t="s">
        <v>195</v>
      </c>
      <c r="Y4" t="s">
        <v>26</v>
      </c>
      <c r="Z4" t="s">
        <v>196</v>
      </c>
      <c r="AA4" t="s">
        <v>551</v>
      </c>
      <c r="AB4" t="s">
        <v>346</v>
      </c>
      <c r="AC4" t="s">
        <v>1116</v>
      </c>
      <c r="AD4" t="s">
        <v>395</v>
      </c>
      <c r="AE4" t="s">
        <v>616</v>
      </c>
      <c r="AF4" t="s">
        <v>1149</v>
      </c>
      <c r="AG4" t="s">
        <v>1176</v>
      </c>
      <c r="AH4" t="s">
        <v>1284</v>
      </c>
      <c r="AI4" t="s">
        <v>1360</v>
      </c>
      <c r="AJ4" s="1">
        <v>6</v>
      </c>
      <c r="AK4" t="s">
        <v>661</v>
      </c>
    </row>
    <row r="5" spans="2:37">
      <c r="B5" s="32" t="s">
        <v>67</v>
      </c>
      <c r="C5" s="34" t="s">
        <v>212</v>
      </c>
      <c r="D5" s="39">
        <v>23499</v>
      </c>
      <c r="G5" s="98" t="s">
        <v>186</v>
      </c>
      <c r="J5" t="s">
        <v>21</v>
      </c>
      <c r="K5" t="s">
        <v>42</v>
      </c>
      <c r="L5">
        <v>9360</v>
      </c>
      <c r="M5" t="s">
        <v>27</v>
      </c>
      <c r="O5" t="s">
        <v>1207</v>
      </c>
      <c r="P5" t="s">
        <v>171</v>
      </c>
      <c r="Q5" t="s">
        <v>88</v>
      </c>
      <c r="R5" t="s">
        <v>82</v>
      </c>
      <c r="T5" t="s">
        <v>128</v>
      </c>
      <c r="U5" t="s">
        <v>164</v>
      </c>
      <c r="V5" t="s">
        <v>45</v>
      </c>
      <c r="W5" t="s">
        <v>92</v>
      </c>
      <c r="X5" t="s">
        <v>10</v>
      </c>
      <c r="Y5" t="s">
        <v>28</v>
      </c>
      <c r="Z5" t="s">
        <v>193</v>
      </c>
      <c r="AA5" t="s">
        <v>483</v>
      </c>
      <c r="AB5" t="s">
        <v>388</v>
      </c>
      <c r="AC5" t="s">
        <v>1117</v>
      </c>
      <c r="AD5" t="s">
        <v>433</v>
      </c>
      <c r="AE5" t="s">
        <v>1144</v>
      </c>
      <c r="AF5" t="s">
        <v>1379</v>
      </c>
      <c r="AH5" t="s">
        <v>1285</v>
      </c>
      <c r="AI5" t="s">
        <v>1361</v>
      </c>
      <c r="AJ5" s="1">
        <v>12</v>
      </c>
      <c r="AK5" t="s">
        <v>660</v>
      </c>
    </row>
    <row r="6" spans="2:37">
      <c r="B6" s="23" t="s">
        <v>73</v>
      </c>
      <c r="C6" s="7" t="s">
        <v>207</v>
      </c>
      <c r="D6" s="42">
        <v>22999</v>
      </c>
      <c r="G6" s="98" t="s">
        <v>91</v>
      </c>
      <c r="J6" t="s">
        <v>100</v>
      </c>
      <c r="K6" t="s">
        <v>40</v>
      </c>
      <c r="L6">
        <v>9620</v>
      </c>
      <c r="O6" t="s">
        <v>1208</v>
      </c>
      <c r="P6" t="s">
        <v>183</v>
      </c>
      <c r="Q6" t="s">
        <v>113</v>
      </c>
      <c r="R6" t="s">
        <v>24</v>
      </c>
      <c r="T6" t="s">
        <v>556</v>
      </c>
      <c r="U6" t="s">
        <v>139</v>
      </c>
      <c r="V6" t="s">
        <v>610</v>
      </c>
      <c r="W6" t="s">
        <v>343</v>
      </c>
      <c r="X6" t="s">
        <v>15</v>
      </c>
      <c r="Y6" t="s">
        <v>115</v>
      </c>
      <c r="Z6" t="s">
        <v>18</v>
      </c>
      <c r="AA6" t="s">
        <v>484</v>
      </c>
      <c r="AC6" t="s">
        <v>549</v>
      </c>
      <c r="AD6" t="s">
        <v>477</v>
      </c>
      <c r="AH6" t="s">
        <v>1287</v>
      </c>
      <c r="AI6" t="s">
        <v>1362</v>
      </c>
      <c r="AJ6" s="1">
        <v>18</v>
      </c>
      <c r="AK6" t="s">
        <v>1145</v>
      </c>
    </row>
    <row r="7" spans="2:37">
      <c r="B7" s="19" t="s">
        <v>67</v>
      </c>
      <c r="C7" s="17" t="s">
        <v>153</v>
      </c>
      <c r="D7" s="28">
        <v>22899</v>
      </c>
      <c r="E7" s="129"/>
      <c r="G7" s="98" t="s">
        <v>67</v>
      </c>
      <c r="J7" t="s">
        <v>99</v>
      </c>
      <c r="K7" t="s">
        <v>39</v>
      </c>
      <c r="O7" t="s">
        <v>1209</v>
      </c>
      <c r="P7" t="s">
        <v>208</v>
      </c>
      <c r="R7" t="s">
        <v>2</v>
      </c>
      <c r="U7" t="s">
        <v>144</v>
      </c>
      <c r="V7" t="s">
        <v>84</v>
      </c>
      <c r="W7" t="s">
        <v>408</v>
      </c>
      <c r="X7" t="s">
        <v>131</v>
      </c>
      <c r="Y7" t="s">
        <v>124</v>
      </c>
      <c r="Z7" t="s">
        <v>94</v>
      </c>
      <c r="AA7" t="s">
        <v>485</v>
      </c>
      <c r="AC7" t="s">
        <v>550</v>
      </c>
      <c r="AD7" t="s">
        <v>612</v>
      </c>
      <c r="AH7" t="s">
        <v>1288</v>
      </c>
      <c r="AI7" t="s">
        <v>1363</v>
      </c>
      <c r="AJ7" s="1">
        <v>24</v>
      </c>
    </row>
    <row r="8" spans="2:37">
      <c r="B8" s="32" t="s">
        <v>67</v>
      </c>
      <c r="C8" s="36" t="s">
        <v>206</v>
      </c>
      <c r="D8" s="41">
        <v>22499</v>
      </c>
      <c r="G8" s="98" t="s">
        <v>79</v>
      </c>
      <c r="J8" t="s">
        <v>145</v>
      </c>
      <c r="K8" t="s">
        <v>37</v>
      </c>
      <c r="O8" t="s">
        <v>1210</v>
      </c>
      <c r="P8" t="s">
        <v>227</v>
      </c>
      <c r="R8" t="s">
        <v>4</v>
      </c>
      <c r="U8" t="s">
        <v>154</v>
      </c>
      <c r="V8" t="s">
        <v>85</v>
      </c>
      <c r="W8" t="s">
        <v>434</v>
      </c>
      <c r="X8" t="s">
        <v>147</v>
      </c>
      <c r="Z8" t="s">
        <v>96</v>
      </c>
      <c r="AA8" t="s">
        <v>497</v>
      </c>
      <c r="AC8" t="s">
        <v>640</v>
      </c>
      <c r="AD8" t="s">
        <v>1078</v>
      </c>
      <c r="AH8" t="s">
        <v>1289</v>
      </c>
      <c r="AI8" t="s">
        <v>1364</v>
      </c>
      <c r="AJ8" s="1">
        <v>36</v>
      </c>
    </row>
    <row r="9" spans="2:37">
      <c r="B9" s="18" t="s">
        <v>67</v>
      </c>
      <c r="C9" s="3" t="s">
        <v>68</v>
      </c>
      <c r="D9" s="40">
        <v>20699</v>
      </c>
      <c r="E9" s="129"/>
      <c r="G9" s="98" t="s">
        <v>112</v>
      </c>
      <c r="J9" t="s">
        <v>180</v>
      </c>
      <c r="K9" t="s">
        <v>34</v>
      </c>
      <c r="O9" t="s">
        <v>1211</v>
      </c>
      <c r="P9" t="s">
        <v>273</v>
      </c>
      <c r="R9" t="s">
        <v>1</v>
      </c>
      <c r="U9" t="s">
        <v>216</v>
      </c>
      <c r="V9" t="s">
        <v>60</v>
      </c>
      <c r="W9" t="s">
        <v>462</v>
      </c>
      <c r="X9" t="s">
        <v>155</v>
      </c>
      <c r="Z9" t="s">
        <v>163</v>
      </c>
      <c r="AA9" t="s">
        <v>516</v>
      </c>
      <c r="AC9" t="s">
        <v>1110</v>
      </c>
      <c r="AD9" t="s">
        <v>1179</v>
      </c>
      <c r="AI9" t="s">
        <v>1365</v>
      </c>
      <c r="AJ9" s="1">
        <v>48</v>
      </c>
    </row>
    <row r="10" spans="2:37">
      <c r="B10" s="3" t="s">
        <v>67</v>
      </c>
      <c r="C10" s="5" t="s">
        <v>152</v>
      </c>
      <c r="D10" s="28">
        <v>20599</v>
      </c>
      <c r="E10" s="129"/>
      <c r="G10" s="98" t="s">
        <v>90</v>
      </c>
      <c r="J10" s="21">
        <v>2038</v>
      </c>
      <c r="K10" t="s">
        <v>77</v>
      </c>
      <c r="O10" t="s">
        <v>1195</v>
      </c>
      <c r="P10" t="s">
        <v>276</v>
      </c>
      <c r="R10" t="s">
        <v>98</v>
      </c>
      <c r="V10" t="s">
        <v>61</v>
      </c>
      <c r="W10" t="s">
        <v>606</v>
      </c>
      <c r="X10" t="s">
        <v>158</v>
      </c>
      <c r="Z10" t="s">
        <v>179</v>
      </c>
      <c r="AA10" t="s">
        <v>521</v>
      </c>
      <c r="AC10" t="s">
        <v>400</v>
      </c>
      <c r="AD10" t="s">
        <v>1270</v>
      </c>
      <c r="AI10" t="s">
        <v>1366</v>
      </c>
    </row>
    <row r="11" spans="2:37">
      <c r="B11" s="3" t="s">
        <v>67</v>
      </c>
      <c r="C11" s="5" t="s">
        <v>150</v>
      </c>
      <c r="D11" s="28">
        <v>20099</v>
      </c>
      <c r="E11" s="129"/>
      <c r="G11" s="98" t="s">
        <v>299</v>
      </c>
      <c r="J11" s="21">
        <v>5010</v>
      </c>
      <c r="K11" t="s">
        <v>76</v>
      </c>
      <c r="O11" t="s">
        <v>1212</v>
      </c>
      <c r="P11" t="s">
        <v>284</v>
      </c>
      <c r="R11" t="s">
        <v>136</v>
      </c>
      <c r="V11" t="s">
        <v>0</v>
      </c>
      <c r="W11" t="s">
        <v>607</v>
      </c>
      <c r="X11" t="s">
        <v>192</v>
      </c>
      <c r="Z11" t="s">
        <v>220</v>
      </c>
      <c r="AA11" t="s">
        <v>526</v>
      </c>
      <c r="AC11" t="s">
        <v>431</v>
      </c>
      <c r="AD11" t="s">
        <v>1263</v>
      </c>
    </row>
    <row r="12" spans="2:37">
      <c r="B12" s="19" t="s">
        <v>73</v>
      </c>
      <c r="C12" s="17" t="s">
        <v>168</v>
      </c>
      <c r="D12" s="27">
        <v>19999</v>
      </c>
      <c r="E12" s="129"/>
      <c r="G12" s="98" t="s">
        <v>165</v>
      </c>
      <c r="J12" s="44" t="s">
        <v>209</v>
      </c>
      <c r="K12" t="s">
        <v>71</v>
      </c>
      <c r="O12" t="s">
        <v>1283</v>
      </c>
      <c r="P12" t="s">
        <v>291</v>
      </c>
      <c r="R12" t="s">
        <v>17</v>
      </c>
      <c r="V12" t="s">
        <v>50</v>
      </c>
      <c r="W12" t="s">
        <v>617</v>
      </c>
      <c r="Z12" t="s">
        <v>221</v>
      </c>
      <c r="AA12" t="s">
        <v>552</v>
      </c>
      <c r="AC12" t="s">
        <v>451</v>
      </c>
      <c r="AD12" t="s">
        <v>1278</v>
      </c>
    </row>
    <row r="13" spans="2:37">
      <c r="B13" s="35" t="s">
        <v>67</v>
      </c>
      <c r="C13" s="37" t="s">
        <v>204</v>
      </c>
      <c r="D13" s="41">
        <v>19999</v>
      </c>
      <c r="G13" s="98" t="s">
        <v>80</v>
      </c>
      <c r="J13" t="s">
        <v>226</v>
      </c>
      <c r="K13" t="s">
        <v>36</v>
      </c>
      <c r="O13" t="s">
        <v>1286</v>
      </c>
      <c r="P13" t="s">
        <v>292</v>
      </c>
      <c r="R13" t="s">
        <v>201</v>
      </c>
      <c r="V13" t="s">
        <v>49</v>
      </c>
      <c r="W13" t="s">
        <v>297</v>
      </c>
      <c r="Z13" t="s">
        <v>352</v>
      </c>
      <c r="AA13" t="s">
        <v>553</v>
      </c>
      <c r="AC13" t="s">
        <v>495</v>
      </c>
      <c r="AD13" t="s">
        <v>454</v>
      </c>
    </row>
    <row r="14" spans="2:37">
      <c r="B14" s="6" t="s">
        <v>67</v>
      </c>
      <c r="C14" s="17" t="s">
        <v>69</v>
      </c>
      <c r="D14" s="26">
        <v>19699</v>
      </c>
      <c r="E14" s="129"/>
      <c r="G14" s="98" t="s">
        <v>83</v>
      </c>
      <c r="J14" t="s">
        <v>332</v>
      </c>
      <c r="K14" t="s">
        <v>172</v>
      </c>
      <c r="O14" t="s">
        <v>1290</v>
      </c>
      <c r="P14" t="s">
        <v>293</v>
      </c>
      <c r="R14" t="s">
        <v>146</v>
      </c>
      <c r="V14" t="s">
        <v>188</v>
      </c>
      <c r="W14" t="s">
        <v>325</v>
      </c>
      <c r="Z14" t="s">
        <v>351</v>
      </c>
      <c r="AA14" t="s">
        <v>598</v>
      </c>
      <c r="AC14" t="s">
        <v>528</v>
      </c>
      <c r="AD14" t="s">
        <v>570</v>
      </c>
    </row>
    <row r="15" spans="2:37">
      <c r="B15" s="6" t="s">
        <v>73</v>
      </c>
      <c r="C15" s="17" t="s">
        <v>182</v>
      </c>
      <c r="D15" s="26">
        <v>19699</v>
      </c>
      <c r="E15" s="129"/>
      <c r="G15" s="98" t="s">
        <v>215</v>
      </c>
      <c r="J15" t="s">
        <v>356</v>
      </c>
      <c r="K15" t="s">
        <v>32</v>
      </c>
      <c r="O15" t="s">
        <v>1334</v>
      </c>
      <c r="P15" t="s">
        <v>308</v>
      </c>
      <c r="R15" t="s">
        <v>218</v>
      </c>
      <c r="V15" t="s">
        <v>22</v>
      </c>
      <c r="W15" t="s">
        <v>375</v>
      </c>
      <c r="Z15" t="s">
        <v>366</v>
      </c>
      <c r="AA15" t="s">
        <v>609</v>
      </c>
      <c r="AC15" t="s">
        <v>641</v>
      </c>
      <c r="AD15" t="s">
        <v>1079</v>
      </c>
    </row>
    <row r="16" spans="2:37">
      <c r="B16" s="35" t="s">
        <v>67</v>
      </c>
      <c r="C16" s="37" t="s">
        <v>205</v>
      </c>
      <c r="D16" s="41">
        <v>18999</v>
      </c>
      <c r="G16" s="98" t="s">
        <v>127</v>
      </c>
      <c r="J16" t="s">
        <v>365</v>
      </c>
      <c r="K16" t="s">
        <v>29</v>
      </c>
      <c r="O16" t="s">
        <v>1335</v>
      </c>
      <c r="P16" t="s">
        <v>309</v>
      </c>
      <c r="R16" t="s">
        <v>89</v>
      </c>
      <c r="V16" t="s">
        <v>59</v>
      </c>
      <c r="W16" t="s">
        <v>479</v>
      </c>
      <c r="Z16" t="s">
        <v>383</v>
      </c>
      <c r="AA16" t="s">
        <v>627</v>
      </c>
      <c r="AC16" t="s">
        <v>447</v>
      </c>
      <c r="AD16" t="s">
        <v>1130</v>
      </c>
    </row>
    <row r="17" spans="2:30">
      <c r="B17" s="3" t="s">
        <v>67</v>
      </c>
      <c r="C17" s="5" t="s">
        <v>70</v>
      </c>
      <c r="D17" s="28">
        <v>18499</v>
      </c>
      <c r="E17" s="129"/>
      <c r="G17" s="98" t="s">
        <v>87</v>
      </c>
      <c r="J17" t="s">
        <v>420</v>
      </c>
      <c r="K17" t="s">
        <v>75</v>
      </c>
      <c r="O17" t="s">
        <v>1336</v>
      </c>
      <c r="P17" t="s">
        <v>310</v>
      </c>
      <c r="R17" t="s">
        <v>65</v>
      </c>
      <c r="V17" t="s">
        <v>544</v>
      </c>
      <c r="W17" t="s">
        <v>625</v>
      </c>
      <c r="Z17" t="s">
        <v>384</v>
      </c>
      <c r="AA17" t="s">
        <v>632</v>
      </c>
      <c r="AC17" t="s">
        <v>446</v>
      </c>
      <c r="AD17" t="s">
        <v>1354</v>
      </c>
    </row>
    <row r="18" spans="2:30">
      <c r="B18" s="19" t="s">
        <v>67</v>
      </c>
      <c r="C18" s="17" t="s">
        <v>151</v>
      </c>
      <c r="D18" s="28">
        <v>18299</v>
      </c>
      <c r="E18" s="129"/>
      <c r="G18" s="98" t="s">
        <v>74</v>
      </c>
      <c r="J18" t="s">
        <v>427</v>
      </c>
      <c r="K18" t="s">
        <v>72</v>
      </c>
      <c r="O18" t="s">
        <v>1337</v>
      </c>
      <c r="P18" t="s">
        <v>378</v>
      </c>
      <c r="R18" t="s">
        <v>44</v>
      </c>
      <c r="V18" t="s">
        <v>189</v>
      </c>
      <c r="W18" t="s">
        <v>624</v>
      </c>
      <c r="Z18" t="s">
        <v>387</v>
      </c>
      <c r="AA18" t="s">
        <v>1072</v>
      </c>
      <c r="AC18" t="s">
        <v>492</v>
      </c>
      <c r="AD18" t="s">
        <v>1196</v>
      </c>
    </row>
    <row r="19" spans="2:30">
      <c r="B19" s="2" t="s">
        <v>74</v>
      </c>
      <c r="C19" s="5" t="s">
        <v>141</v>
      </c>
      <c r="D19" s="28">
        <v>18299</v>
      </c>
      <c r="E19" s="129"/>
      <c r="G19" s="98" t="s">
        <v>73</v>
      </c>
      <c r="J19" t="s">
        <v>432</v>
      </c>
      <c r="K19" t="s">
        <v>69</v>
      </c>
      <c r="O19" s="58" t="s">
        <v>1340</v>
      </c>
      <c r="P19" t="s">
        <v>460</v>
      </c>
      <c r="R19" t="s">
        <v>222</v>
      </c>
      <c r="V19" t="s">
        <v>237</v>
      </c>
      <c r="W19" t="s">
        <v>298</v>
      </c>
      <c r="Z19" t="s">
        <v>1091</v>
      </c>
      <c r="AA19" t="s">
        <v>633</v>
      </c>
      <c r="AC19" t="s">
        <v>493</v>
      </c>
      <c r="AD19" t="s">
        <v>1344</v>
      </c>
    </row>
    <row r="20" spans="2:30">
      <c r="B20" s="7" t="s">
        <v>67</v>
      </c>
      <c r="C20" s="17" t="s">
        <v>29</v>
      </c>
      <c r="D20" s="26">
        <v>18199</v>
      </c>
      <c r="E20" s="129"/>
      <c r="G20" s="98" t="s">
        <v>86</v>
      </c>
      <c r="J20" t="s">
        <v>435</v>
      </c>
      <c r="K20" t="s">
        <v>33</v>
      </c>
      <c r="P20" t="s">
        <v>504</v>
      </c>
      <c r="R20" t="s">
        <v>223</v>
      </c>
      <c r="V20" t="s">
        <v>258</v>
      </c>
      <c r="W20" t="s">
        <v>329</v>
      </c>
      <c r="Z20" t="s">
        <v>1092</v>
      </c>
      <c r="AA20" t="s">
        <v>639</v>
      </c>
      <c r="AC20" t="s">
        <v>494</v>
      </c>
      <c r="AD20" t="s">
        <v>1359</v>
      </c>
    </row>
    <row r="21" spans="2:30">
      <c r="B21" s="6" t="s">
        <v>67</v>
      </c>
      <c r="C21" s="17" t="s">
        <v>71</v>
      </c>
      <c r="D21" s="26">
        <v>18099</v>
      </c>
      <c r="E21" s="129"/>
      <c r="G21" s="98" t="s">
        <v>97</v>
      </c>
      <c r="J21" t="s">
        <v>599</v>
      </c>
      <c r="K21" t="s">
        <v>70</v>
      </c>
      <c r="P21" t="s">
        <v>509</v>
      </c>
      <c r="R21" t="s">
        <v>8</v>
      </c>
      <c r="V21" t="s">
        <v>333</v>
      </c>
      <c r="W21" t="s">
        <v>377</v>
      </c>
      <c r="Z21" t="s">
        <v>1306</v>
      </c>
      <c r="AA21" t="s">
        <v>1055</v>
      </c>
      <c r="AC21" t="s">
        <v>491</v>
      </c>
      <c r="AD21" t="s">
        <v>1333</v>
      </c>
    </row>
    <row r="22" spans="2:30">
      <c r="B22" s="6" t="s">
        <v>67</v>
      </c>
      <c r="C22" s="17" t="s">
        <v>72</v>
      </c>
      <c r="D22" s="26">
        <v>17999</v>
      </c>
      <c r="E22" s="129"/>
      <c r="G22" s="98" t="s">
        <v>93</v>
      </c>
      <c r="J22" t="s">
        <v>600</v>
      </c>
      <c r="K22" t="s">
        <v>68</v>
      </c>
      <c r="P22" t="s">
        <v>548</v>
      </c>
      <c r="R22" t="s">
        <v>118</v>
      </c>
      <c r="V22" t="s">
        <v>364</v>
      </c>
      <c r="W22" t="s">
        <v>122</v>
      </c>
      <c r="Z22" s="46" t="s">
        <v>1369</v>
      </c>
      <c r="AA22" t="s">
        <v>650</v>
      </c>
      <c r="AC22" t="s">
        <v>532</v>
      </c>
      <c r="AD22" t="s">
        <v>394</v>
      </c>
    </row>
    <row r="23" spans="2:30">
      <c r="B23" s="3" t="s">
        <v>73</v>
      </c>
      <c r="C23" s="5" t="s">
        <v>140</v>
      </c>
      <c r="D23" s="28">
        <v>17989</v>
      </c>
      <c r="E23" s="129"/>
      <c r="G23" s="98" t="s">
        <v>331</v>
      </c>
      <c r="J23" t="s">
        <v>601</v>
      </c>
      <c r="K23" t="s">
        <v>119</v>
      </c>
      <c r="P23" t="s">
        <v>558</v>
      </c>
      <c r="R23" t="s">
        <v>167</v>
      </c>
      <c r="V23" t="s">
        <v>1358</v>
      </c>
      <c r="W23" t="s">
        <v>289</v>
      </c>
      <c r="Z23" s="46" t="s">
        <v>1370</v>
      </c>
      <c r="AA23" t="s">
        <v>651</v>
      </c>
      <c r="AC23" t="s">
        <v>525</v>
      </c>
      <c r="AD23" t="s">
        <v>571</v>
      </c>
    </row>
    <row r="24" spans="2:30">
      <c r="B24" s="3" t="s">
        <v>67</v>
      </c>
      <c r="C24" s="5" t="s">
        <v>149</v>
      </c>
      <c r="D24" s="28">
        <v>17799</v>
      </c>
      <c r="E24" s="129"/>
      <c r="G24" s="98" t="s">
        <v>344</v>
      </c>
      <c r="K24" t="s">
        <v>191</v>
      </c>
      <c r="P24" s="58" t="s">
        <v>613</v>
      </c>
      <c r="R24" t="s">
        <v>135</v>
      </c>
      <c r="V24" t="s">
        <v>51</v>
      </c>
      <c r="W24" t="s">
        <v>326</v>
      </c>
      <c r="Z24" t="s">
        <v>1373</v>
      </c>
      <c r="AA24" t="s">
        <v>652</v>
      </c>
      <c r="AC24" t="s">
        <v>646</v>
      </c>
      <c r="AD24" t="s">
        <v>1057</v>
      </c>
    </row>
    <row r="25" spans="2:30">
      <c r="B25" s="6" t="s">
        <v>73</v>
      </c>
      <c r="C25" s="17" t="s">
        <v>117</v>
      </c>
      <c r="D25" s="26">
        <v>17699</v>
      </c>
      <c r="E25" s="129"/>
      <c r="G25" s="98" t="s">
        <v>386</v>
      </c>
      <c r="K25" t="s">
        <v>120</v>
      </c>
      <c r="P25" t="s">
        <v>614</v>
      </c>
      <c r="R25" t="s">
        <v>159</v>
      </c>
      <c r="V25" t="s">
        <v>54</v>
      </c>
      <c r="W25" t="s">
        <v>376</v>
      </c>
      <c r="AA25" t="s">
        <v>653</v>
      </c>
      <c r="AC25" t="s">
        <v>1382</v>
      </c>
      <c r="AD25" t="s">
        <v>1134</v>
      </c>
    </row>
    <row r="26" spans="2:30">
      <c r="B26" s="2" t="s">
        <v>67</v>
      </c>
      <c r="C26" s="5" t="s">
        <v>175</v>
      </c>
      <c r="D26" s="28">
        <v>17299</v>
      </c>
      <c r="E26" s="129"/>
      <c r="G26" s="98" t="s">
        <v>396</v>
      </c>
      <c r="K26" t="s">
        <v>148</v>
      </c>
      <c r="R26" t="s">
        <v>101</v>
      </c>
      <c r="V26" t="s">
        <v>52</v>
      </c>
      <c r="W26" t="s">
        <v>635</v>
      </c>
      <c r="AA26" t="s">
        <v>1049</v>
      </c>
      <c r="AC26" t="s">
        <v>430</v>
      </c>
      <c r="AD26" t="s">
        <v>1214</v>
      </c>
    </row>
    <row r="27" spans="2:30">
      <c r="B27" s="7" t="s">
        <v>73</v>
      </c>
      <c r="C27" s="17" t="s">
        <v>181</v>
      </c>
      <c r="D27" s="26">
        <v>17299</v>
      </c>
      <c r="E27" s="129"/>
      <c r="G27" s="98" t="s">
        <v>1063</v>
      </c>
      <c r="K27" t="s">
        <v>149</v>
      </c>
      <c r="R27" t="s">
        <v>95</v>
      </c>
      <c r="V27" t="s">
        <v>56</v>
      </c>
      <c r="W27" t="s">
        <v>114</v>
      </c>
      <c r="AA27" t="s">
        <v>1050</v>
      </c>
      <c r="AC27" t="s">
        <v>450</v>
      </c>
      <c r="AD27" t="s">
        <v>1259</v>
      </c>
    </row>
    <row r="28" spans="2:30">
      <c r="B28" s="23" t="s">
        <v>73</v>
      </c>
      <c r="C28" s="17" t="s">
        <v>30</v>
      </c>
      <c r="D28" s="28">
        <v>16899</v>
      </c>
      <c r="E28" s="129"/>
      <c r="G28" s="98" t="s">
        <v>1153</v>
      </c>
      <c r="K28" t="s">
        <v>150</v>
      </c>
      <c r="R28" t="s">
        <v>184</v>
      </c>
      <c r="V28" t="s">
        <v>502</v>
      </c>
      <c r="W28" t="s">
        <v>290</v>
      </c>
      <c r="AA28" t="s">
        <v>1051</v>
      </c>
      <c r="AC28" t="s">
        <v>461</v>
      </c>
      <c r="AD28" t="s">
        <v>1220</v>
      </c>
    </row>
    <row r="29" spans="2:30">
      <c r="B29" s="2" t="s">
        <v>73</v>
      </c>
      <c r="C29" s="5" t="s">
        <v>31</v>
      </c>
      <c r="D29" s="28">
        <v>16499</v>
      </c>
      <c r="E29" s="129"/>
      <c r="G29" s="98" t="s">
        <v>1178</v>
      </c>
      <c r="K29" t="s">
        <v>151</v>
      </c>
      <c r="R29" t="s">
        <v>197</v>
      </c>
      <c r="V29" t="s">
        <v>611</v>
      </c>
      <c r="W29" t="s">
        <v>311</v>
      </c>
      <c r="AA29" t="s">
        <v>1052</v>
      </c>
      <c r="AC29" t="s">
        <v>605</v>
      </c>
      <c r="AD29" t="s">
        <v>1321</v>
      </c>
    </row>
    <row r="30" spans="2:30">
      <c r="B30" s="34" t="s">
        <v>67</v>
      </c>
      <c r="C30" s="36" t="s">
        <v>203</v>
      </c>
      <c r="D30" s="39">
        <v>16499</v>
      </c>
      <c r="G30" s="98" t="s">
        <v>1317</v>
      </c>
      <c r="K30" t="s">
        <v>152</v>
      </c>
      <c r="R30" t="s">
        <v>187</v>
      </c>
      <c r="V30" t="s">
        <v>129</v>
      </c>
      <c r="W30" t="s">
        <v>337</v>
      </c>
      <c r="AA30" t="s">
        <v>1096</v>
      </c>
      <c r="AC30" t="s">
        <v>647</v>
      </c>
      <c r="AD30" t="s">
        <v>1056</v>
      </c>
    </row>
    <row r="31" spans="2:30">
      <c r="B31" s="7" t="s">
        <v>67</v>
      </c>
      <c r="C31" s="17" t="s">
        <v>33</v>
      </c>
      <c r="D31" s="26">
        <v>16299</v>
      </c>
      <c r="E31" s="129"/>
      <c r="G31" s="136" t="s">
        <v>1367</v>
      </c>
      <c r="K31" t="s">
        <v>153</v>
      </c>
      <c r="R31" t="s">
        <v>202</v>
      </c>
      <c r="V31" t="s">
        <v>143</v>
      </c>
      <c r="W31" t="s">
        <v>512</v>
      </c>
      <c r="AA31" t="s">
        <v>1099</v>
      </c>
      <c r="AC31" t="s">
        <v>530</v>
      </c>
      <c r="AD31" t="s">
        <v>1124</v>
      </c>
    </row>
    <row r="32" spans="2:30">
      <c r="B32" s="3" t="s">
        <v>83</v>
      </c>
      <c r="C32" s="5" t="s">
        <v>167</v>
      </c>
      <c r="D32" s="28">
        <v>15999</v>
      </c>
      <c r="E32" s="129"/>
      <c r="K32" t="s">
        <v>173</v>
      </c>
      <c r="R32" t="s">
        <v>156</v>
      </c>
      <c r="V32" t="s">
        <v>126</v>
      </c>
      <c r="W32" t="s">
        <v>634</v>
      </c>
      <c r="AA32" t="s">
        <v>1100</v>
      </c>
      <c r="AC32" t="s">
        <v>489</v>
      </c>
      <c r="AD32" t="s">
        <v>1264</v>
      </c>
    </row>
    <row r="33" spans="2:30">
      <c r="B33" s="7" t="s">
        <v>67</v>
      </c>
      <c r="C33" s="17" t="s">
        <v>32</v>
      </c>
      <c r="D33" s="26">
        <v>15999</v>
      </c>
      <c r="E33" s="129"/>
      <c r="K33" t="s">
        <v>174</v>
      </c>
      <c r="R33" t="s">
        <v>130</v>
      </c>
      <c r="V33" t="s">
        <v>501</v>
      </c>
      <c r="W33" s="44" t="s">
        <v>241</v>
      </c>
      <c r="AA33" t="s">
        <v>1101</v>
      </c>
      <c r="AC33" t="s">
        <v>490</v>
      </c>
      <c r="AD33" t="s">
        <v>1314</v>
      </c>
    </row>
    <row r="34" spans="2:30">
      <c r="B34" s="2" t="s">
        <v>74</v>
      </c>
      <c r="C34" s="5" t="s">
        <v>5</v>
      </c>
      <c r="D34" s="28">
        <v>15999</v>
      </c>
      <c r="E34" s="129"/>
      <c r="K34" t="s">
        <v>175</v>
      </c>
      <c r="R34" t="s">
        <v>64</v>
      </c>
      <c r="V34" t="s">
        <v>177</v>
      </c>
      <c r="W34" t="s">
        <v>121</v>
      </c>
      <c r="AA34" t="s">
        <v>1121</v>
      </c>
      <c r="AC34" t="s">
        <v>524</v>
      </c>
      <c r="AD34" t="s">
        <v>1292</v>
      </c>
    </row>
    <row r="35" spans="2:30">
      <c r="B35" s="7" t="s">
        <v>67</v>
      </c>
      <c r="C35" s="17" t="s">
        <v>34</v>
      </c>
      <c r="D35" s="26">
        <v>15799</v>
      </c>
      <c r="E35" s="129"/>
      <c r="K35" t="s">
        <v>176</v>
      </c>
      <c r="R35" t="s">
        <v>3</v>
      </c>
      <c r="V35" t="s">
        <v>178</v>
      </c>
      <c r="W35" t="s">
        <v>169</v>
      </c>
      <c r="AA35" t="s">
        <v>1123</v>
      </c>
      <c r="AC35" t="s">
        <v>1241</v>
      </c>
      <c r="AD35" t="s">
        <v>499</v>
      </c>
    </row>
    <row r="36" spans="2:30">
      <c r="B36" s="3" t="s">
        <v>67</v>
      </c>
      <c r="C36" s="5" t="s">
        <v>75</v>
      </c>
      <c r="D36" s="28">
        <v>15599</v>
      </c>
      <c r="E36" s="129"/>
      <c r="K36" s="31" t="s">
        <v>203</v>
      </c>
      <c r="R36" t="s">
        <v>57</v>
      </c>
      <c r="V36" t="s">
        <v>503</v>
      </c>
      <c r="W36" t="s">
        <v>275</v>
      </c>
      <c r="AA36" t="s">
        <v>1157</v>
      </c>
      <c r="AC36" t="s">
        <v>1315</v>
      </c>
      <c r="AD36" t="s">
        <v>543</v>
      </c>
    </row>
    <row r="37" spans="2:30">
      <c r="B37" s="3" t="s">
        <v>67</v>
      </c>
      <c r="C37" s="5" t="s">
        <v>148</v>
      </c>
      <c r="D37" s="28">
        <v>15499</v>
      </c>
      <c r="E37" s="129"/>
      <c r="K37" s="31" t="s">
        <v>204</v>
      </c>
      <c r="R37" t="s">
        <v>66</v>
      </c>
      <c r="V37" t="s">
        <v>537</v>
      </c>
      <c r="W37" t="s">
        <v>304</v>
      </c>
      <c r="AA37" t="s">
        <v>1158</v>
      </c>
      <c r="AC37" t="s">
        <v>1316</v>
      </c>
      <c r="AD37" t="s">
        <v>602</v>
      </c>
    </row>
    <row r="38" spans="2:30">
      <c r="B38" s="6" t="s">
        <v>73</v>
      </c>
      <c r="C38" s="17" t="s">
        <v>116</v>
      </c>
      <c r="D38" s="26">
        <v>15479</v>
      </c>
      <c r="E38" s="129"/>
      <c r="K38" s="31" t="s">
        <v>205</v>
      </c>
      <c r="R38" t="s">
        <v>63</v>
      </c>
      <c r="V38" t="s">
        <v>236</v>
      </c>
      <c r="W38" t="s">
        <v>342</v>
      </c>
      <c r="AA38" t="s">
        <v>1167</v>
      </c>
      <c r="AC38" t="s">
        <v>1356</v>
      </c>
      <c r="AD38" t="s">
        <v>1171</v>
      </c>
    </row>
    <row r="39" spans="2:30">
      <c r="B39" s="3" t="s">
        <v>83</v>
      </c>
      <c r="C39" s="5" t="s">
        <v>187</v>
      </c>
      <c r="D39" s="28">
        <v>15299</v>
      </c>
      <c r="E39" s="129"/>
      <c r="K39" s="31" t="s">
        <v>206</v>
      </c>
      <c r="R39" t="s">
        <v>58</v>
      </c>
      <c r="V39" t="s">
        <v>234</v>
      </c>
      <c r="W39" t="s">
        <v>225</v>
      </c>
      <c r="AA39" t="s">
        <v>1170</v>
      </c>
      <c r="AC39" t="s">
        <v>1357</v>
      </c>
      <c r="AD39" t="s">
        <v>1172</v>
      </c>
    </row>
    <row r="40" spans="2:30">
      <c r="B40" s="3" t="s">
        <v>73</v>
      </c>
      <c r="C40" s="5" t="s">
        <v>35</v>
      </c>
      <c r="D40" s="28">
        <v>15299</v>
      </c>
      <c r="E40" s="129"/>
      <c r="K40" s="31" t="s">
        <v>212</v>
      </c>
      <c r="R40" t="s">
        <v>62</v>
      </c>
      <c r="V40" t="s">
        <v>500</v>
      </c>
      <c r="W40" t="s">
        <v>224</v>
      </c>
      <c r="AA40" t="s">
        <v>1197</v>
      </c>
      <c r="AC40" t="s">
        <v>1326</v>
      </c>
      <c r="AD40" t="s">
        <v>1243</v>
      </c>
    </row>
    <row r="41" spans="2:30">
      <c r="B41" s="3" t="s">
        <v>67</v>
      </c>
      <c r="C41" s="5" t="s">
        <v>76</v>
      </c>
      <c r="D41" s="28">
        <v>15199</v>
      </c>
      <c r="E41" s="129"/>
      <c r="K41" s="31" t="s">
        <v>213</v>
      </c>
      <c r="R41" t="s">
        <v>210</v>
      </c>
      <c r="V41" t="s">
        <v>305</v>
      </c>
      <c r="W41" t="s">
        <v>307</v>
      </c>
      <c r="AA41" t="s">
        <v>1198</v>
      </c>
      <c r="AC41" t="s">
        <v>1327</v>
      </c>
      <c r="AD41" t="s">
        <v>1244</v>
      </c>
    </row>
    <row r="42" spans="2:30">
      <c r="B42" s="3" t="s">
        <v>86</v>
      </c>
      <c r="C42" s="5" t="s">
        <v>192</v>
      </c>
      <c r="D42" s="28">
        <v>14999</v>
      </c>
      <c r="E42" s="129"/>
      <c r="K42" s="31" t="s">
        <v>246</v>
      </c>
      <c r="R42" t="s">
        <v>138</v>
      </c>
      <c r="V42" t="s">
        <v>281</v>
      </c>
      <c r="W42" t="s">
        <v>14</v>
      </c>
      <c r="AA42" t="s">
        <v>1202</v>
      </c>
      <c r="AC42" t="s">
        <v>879</v>
      </c>
      <c r="AD42" t="s">
        <v>1374</v>
      </c>
    </row>
    <row r="43" spans="2:30">
      <c r="B43" s="3" t="s">
        <v>73</v>
      </c>
      <c r="C43" s="5" t="s">
        <v>6</v>
      </c>
      <c r="D43" s="28">
        <v>14599</v>
      </c>
      <c r="E43" s="129"/>
      <c r="K43" s="31" t="s">
        <v>247</v>
      </c>
      <c r="R43" t="s">
        <v>198</v>
      </c>
      <c r="V43" t="s">
        <v>280</v>
      </c>
      <c r="W43" t="s">
        <v>11</v>
      </c>
      <c r="AA43" t="s">
        <v>1215</v>
      </c>
      <c r="AC43" t="s">
        <v>486</v>
      </c>
      <c r="AD43" t="s">
        <v>445</v>
      </c>
    </row>
    <row r="44" spans="2:30">
      <c r="B44" s="3" t="s">
        <v>83</v>
      </c>
      <c r="C44" s="5" t="s">
        <v>184</v>
      </c>
      <c r="D44" s="28">
        <v>14499</v>
      </c>
      <c r="E44" s="129"/>
      <c r="K44" s="31" t="s">
        <v>248</v>
      </c>
      <c r="R44" t="s">
        <v>200</v>
      </c>
      <c r="V44" t="s">
        <v>368</v>
      </c>
      <c r="W44" t="s">
        <v>560</v>
      </c>
      <c r="AA44" t="s">
        <v>1218</v>
      </c>
      <c r="AC44" t="s">
        <v>1088</v>
      </c>
      <c r="AD44" t="s">
        <v>628</v>
      </c>
    </row>
    <row r="45" spans="2:30">
      <c r="B45" s="3" t="s">
        <v>67</v>
      </c>
      <c r="C45" s="5" t="s">
        <v>36</v>
      </c>
      <c r="D45" s="28">
        <v>13899</v>
      </c>
      <c r="E45" s="129"/>
      <c r="K45" s="31" t="s">
        <v>249</v>
      </c>
      <c r="R45" t="s">
        <v>23</v>
      </c>
      <c r="V45" t="s">
        <v>369</v>
      </c>
      <c r="W45" t="s">
        <v>562</v>
      </c>
      <c r="AA45" t="s">
        <v>1223</v>
      </c>
      <c r="AC45" t="s">
        <v>603</v>
      </c>
      <c r="AD45" t="s">
        <v>1383</v>
      </c>
    </row>
    <row r="46" spans="2:30">
      <c r="B46" s="7" t="s">
        <v>67</v>
      </c>
      <c r="C46" s="17" t="s">
        <v>37</v>
      </c>
      <c r="D46" s="26">
        <v>13899</v>
      </c>
      <c r="E46" s="129"/>
      <c r="K46" t="s">
        <v>244</v>
      </c>
      <c r="R46" t="s">
        <v>231</v>
      </c>
      <c r="V46" t="s">
        <v>538</v>
      </c>
      <c r="W46" t="s">
        <v>561</v>
      </c>
      <c r="AA46" t="s">
        <v>1224</v>
      </c>
      <c r="AC46" t="s">
        <v>604</v>
      </c>
    </row>
    <row r="47" spans="2:30">
      <c r="B47" s="3" t="s">
        <v>67</v>
      </c>
      <c r="C47" s="5" t="s">
        <v>77</v>
      </c>
      <c r="D47" s="28">
        <v>13799</v>
      </c>
      <c r="E47" s="129"/>
      <c r="K47" t="s">
        <v>245</v>
      </c>
      <c r="R47" t="s">
        <v>230</v>
      </c>
      <c r="V47" t="s">
        <v>265</v>
      </c>
      <c r="W47" t="s">
        <v>563</v>
      </c>
      <c r="AA47" t="s">
        <v>1231</v>
      </c>
      <c r="AC47" t="s">
        <v>1156</v>
      </c>
    </row>
    <row r="48" spans="2:30">
      <c r="B48" s="7" t="s">
        <v>73</v>
      </c>
      <c r="C48" s="17" t="s">
        <v>38</v>
      </c>
      <c r="D48" s="26">
        <v>13299</v>
      </c>
      <c r="E48" s="129"/>
      <c r="K48" s="31" t="s">
        <v>259</v>
      </c>
      <c r="R48" t="s">
        <v>232</v>
      </c>
      <c r="V48" t="s">
        <v>312</v>
      </c>
      <c r="W48" t="s">
        <v>160</v>
      </c>
      <c r="AA48" t="s">
        <v>1246</v>
      </c>
      <c r="AC48" t="s">
        <v>1216</v>
      </c>
    </row>
    <row r="49" spans="2:29">
      <c r="B49" s="2" t="s">
        <v>67</v>
      </c>
      <c r="C49" s="5" t="s">
        <v>174</v>
      </c>
      <c r="D49" s="28">
        <v>12799</v>
      </c>
      <c r="E49" s="129"/>
      <c r="K49" s="31" t="s">
        <v>260</v>
      </c>
      <c r="R49" t="s">
        <v>233</v>
      </c>
      <c r="V49" t="s">
        <v>41</v>
      </c>
      <c r="W49" t="s">
        <v>20</v>
      </c>
      <c r="AA49" t="s">
        <v>1253</v>
      </c>
      <c r="AC49" t="s">
        <v>1201</v>
      </c>
    </row>
    <row r="50" spans="2:29">
      <c r="B50" s="3" t="s">
        <v>73</v>
      </c>
      <c r="C50" s="5" t="s">
        <v>78</v>
      </c>
      <c r="D50" s="28">
        <v>12699</v>
      </c>
      <c r="E50" s="129"/>
      <c r="K50" s="31" t="s">
        <v>261</v>
      </c>
      <c r="R50" t="s">
        <v>235</v>
      </c>
      <c r="V50" t="s">
        <v>43</v>
      </c>
      <c r="W50" t="s">
        <v>19</v>
      </c>
      <c r="AA50" t="s">
        <v>1255</v>
      </c>
      <c r="AC50" t="s">
        <v>1309</v>
      </c>
    </row>
    <row r="51" spans="2:29">
      <c r="B51" s="2" t="s">
        <v>67</v>
      </c>
      <c r="C51" s="5" t="s">
        <v>172</v>
      </c>
      <c r="D51" s="28">
        <v>12499</v>
      </c>
      <c r="E51" s="129"/>
      <c r="K51" s="31" t="s">
        <v>262</v>
      </c>
      <c r="R51" t="s">
        <v>243</v>
      </c>
      <c r="V51" t="s">
        <v>5</v>
      </c>
      <c r="W51" t="s">
        <v>125</v>
      </c>
      <c r="AA51" t="s">
        <v>1274</v>
      </c>
      <c r="AC51" t="s">
        <v>1282</v>
      </c>
    </row>
    <row r="52" spans="2:29">
      <c r="B52" s="2" t="s">
        <v>67</v>
      </c>
      <c r="C52" s="5" t="s">
        <v>39</v>
      </c>
      <c r="D52" s="28">
        <v>12399</v>
      </c>
      <c r="E52" s="129"/>
      <c r="K52" s="31" t="s">
        <v>263</v>
      </c>
      <c r="R52" t="s">
        <v>254</v>
      </c>
      <c r="V52" t="s">
        <v>46</v>
      </c>
      <c r="W52" t="s">
        <v>123</v>
      </c>
      <c r="AA52" t="s">
        <v>1275</v>
      </c>
      <c r="AC52" t="s">
        <v>448</v>
      </c>
    </row>
    <row r="53" spans="2:29">
      <c r="B53" s="7" t="s">
        <v>67</v>
      </c>
      <c r="C53" s="17" t="s">
        <v>40</v>
      </c>
      <c r="D53" s="26">
        <v>12299</v>
      </c>
      <c r="E53" s="129"/>
      <c r="K53" s="31" t="s">
        <v>264</v>
      </c>
      <c r="R53" t="s">
        <v>255</v>
      </c>
      <c r="V53" t="s">
        <v>141</v>
      </c>
      <c r="W53" s="44" t="s">
        <v>239</v>
      </c>
      <c r="AA53" t="s">
        <v>1281</v>
      </c>
      <c r="AC53" t="s">
        <v>529</v>
      </c>
    </row>
    <row r="54" spans="2:29">
      <c r="B54" s="7" t="s">
        <v>74</v>
      </c>
      <c r="C54" s="17" t="s">
        <v>7</v>
      </c>
      <c r="D54" s="26">
        <v>12199</v>
      </c>
      <c r="E54" s="129"/>
      <c r="K54" t="s">
        <v>268</v>
      </c>
      <c r="R54" t="s">
        <v>256</v>
      </c>
      <c r="V54" t="s">
        <v>142</v>
      </c>
      <c r="W54" t="s">
        <v>279</v>
      </c>
      <c r="AA54" t="s">
        <v>1311</v>
      </c>
      <c r="AC54" t="s">
        <v>449</v>
      </c>
    </row>
    <row r="55" spans="2:29">
      <c r="B55" s="15" t="s">
        <v>79</v>
      </c>
      <c r="C55" s="16">
        <v>9900</v>
      </c>
      <c r="D55" s="25">
        <v>12103</v>
      </c>
      <c r="E55" s="129"/>
      <c r="K55" t="s">
        <v>269</v>
      </c>
      <c r="R55" s="31" t="s">
        <v>266</v>
      </c>
      <c r="V55" t="s">
        <v>190</v>
      </c>
      <c r="W55" t="s">
        <v>274</v>
      </c>
      <c r="AA55" t="s">
        <v>1312</v>
      </c>
      <c r="AC55" t="s">
        <v>1084</v>
      </c>
    </row>
    <row r="56" spans="2:29">
      <c r="B56" s="3" t="s">
        <v>83</v>
      </c>
      <c r="C56" s="3" t="s">
        <v>156</v>
      </c>
      <c r="D56" s="29">
        <v>11999</v>
      </c>
      <c r="E56" s="129"/>
      <c r="K56" t="s">
        <v>270</v>
      </c>
      <c r="R56" t="s">
        <v>272</v>
      </c>
      <c r="V56" t="s">
        <v>238</v>
      </c>
      <c r="W56" t="s">
        <v>16</v>
      </c>
      <c r="AA56" t="s">
        <v>1313</v>
      </c>
      <c r="AC56" t="s">
        <v>1137</v>
      </c>
    </row>
    <row r="57" spans="2:29">
      <c r="B57" s="3" t="s">
        <v>73</v>
      </c>
      <c r="C57" s="3" t="s">
        <v>169</v>
      </c>
      <c r="D57" s="29">
        <v>11999</v>
      </c>
      <c r="E57" s="129"/>
      <c r="K57" t="s">
        <v>316</v>
      </c>
      <c r="R57" s="31" t="s">
        <v>277</v>
      </c>
      <c r="V57" t="s">
        <v>487</v>
      </c>
      <c r="W57" t="s">
        <v>161</v>
      </c>
      <c r="AA57" t="s">
        <v>1323</v>
      </c>
      <c r="AC57" t="s">
        <v>1262</v>
      </c>
    </row>
    <row r="58" spans="2:29">
      <c r="B58" s="2" t="s">
        <v>80</v>
      </c>
      <c r="C58" s="2" t="s">
        <v>81</v>
      </c>
      <c r="D58" s="29">
        <v>11899</v>
      </c>
      <c r="E58" s="129"/>
      <c r="K58" t="s">
        <v>317</v>
      </c>
      <c r="R58" s="31" t="s">
        <v>278</v>
      </c>
      <c r="V58" t="s">
        <v>470</v>
      </c>
      <c r="W58" s="44" t="s">
        <v>240</v>
      </c>
      <c r="AA58" t="s">
        <v>1332</v>
      </c>
      <c r="AC58" s="58" t="s">
        <v>1350</v>
      </c>
    </row>
    <row r="59" spans="2:29">
      <c r="B59" s="2" t="s">
        <v>67</v>
      </c>
      <c r="C59" s="3" t="s">
        <v>120</v>
      </c>
      <c r="D59" s="29">
        <v>11199</v>
      </c>
      <c r="E59" s="129"/>
      <c r="K59" t="s">
        <v>318</v>
      </c>
      <c r="R59" s="31" t="s">
        <v>282</v>
      </c>
      <c r="V59" t="s">
        <v>419</v>
      </c>
      <c r="W59" t="s">
        <v>267</v>
      </c>
      <c r="AA59" t="s">
        <v>1352</v>
      </c>
      <c r="AC59" t="s">
        <v>1089</v>
      </c>
    </row>
    <row r="60" spans="2:29">
      <c r="B60" s="7" t="s">
        <v>74</v>
      </c>
      <c r="C60" s="7" t="s">
        <v>41</v>
      </c>
      <c r="D60" s="25">
        <v>10999</v>
      </c>
      <c r="E60" s="129"/>
      <c r="K60" t="s">
        <v>319</v>
      </c>
      <c r="R60" t="s">
        <v>294</v>
      </c>
      <c r="V60" t="s">
        <v>417</v>
      </c>
      <c r="W60" t="s">
        <v>12</v>
      </c>
      <c r="AA60" t="s">
        <v>1353</v>
      </c>
      <c r="AC60" t="s">
        <v>1239</v>
      </c>
    </row>
    <row r="61" spans="2:29">
      <c r="B61" s="2" t="s">
        <v>74</v>
      </c>
      <c r="C61" s="3" t="s">
        <v>190</v>
      </c>
      <c r="D61" s="29">
        <v>10999</v>
      </c>
      <c r="E61" s="129"/>
      <c r="K61" t="s">
        <v>320</v>
      </c>
      <c r="R61" t="s">
        <v>295</v>
      </c>
      <c r="V61" t="s">
        <v>444</v>
      </c>
      <c r="W61" t="s">
        <v>199</v>
      </c>
      <c r="AA61" t="s">
        <v>1380</v>
      </c>
      <c r="AC61" t="s">
        <v>1240</v>
      </c>
    </row>
    <row r="62" spans="2:29">
      <c r="B62" s="3" t="s">
        <v>83</v>
      </c>
      <c r="C62" s="3" t="s">
        <v>118</v>
      </c>
      <c r="D62" s="29">
        <v>10449</v>
      </c>
      <c r="E62" s="129"/>
      <c r="K62" t="s">
        <v>321</v>
      </c>
      <c r="R62" t="s">
        <v>296</v>
      </c>
      <c r="V62" t="s">
        <v>373</v>
      </c>
      <c r="W62" t="s">
        <v>162</v>
      </c>
      <c r="AA62" t="s">
        <v>1384</v>
      </c>
      <c r="AC62" t="s">
        <v>1393</v>
      </c>
    </row>
    <row r="63" spans="2:29">
      <c r="B63" s="7" t="s">
        <v>67</v>
      </c>
      <c r="C63" s="7" t="s">
        <v>42</v>
      </c>
      <c r="D63" s="25">
        <v>10399</v>
      </c>
      <c r="E63" s="129"/>
      <c r="K63" t="s">
        <v>322</v>
      </c>
      <c r="R63" t="s">
        <v>306</v>
      </c>
      <c r="V63" t="s">
        <v>478</v>
      </c>
      <c r="W63" t="s">
        <v>194</v>
      </c>
      <c r="AA63" t="s">
        <v>1385</v>
      </c>
    </row>
    <row r="64" spans="2:29">
      <c r="B64" s="3" t="s">
        <v>73</v>
      </c>
      <c r="C64" s="3" t="s">
        <v>121</v>
      </c>
      <c r="D64" s="29">
        <v>10399</v>
      </c>
      <c r="E64" s="129"/>
      <c r="K64" t="s">
        <v>323</v>
      </c>
      <c r="R64" t="s">
        <v>328</v>
      </c>
      <c r="V64" t="s">
        <v>482</v>
      </c>
      <c r="W64" s="44" t="s">
        <v>250</v>
      </c>
      <c r="AA64" s="58" t="s">
        <v>1394</v>
      </c>
    </row>
    <row r="65" spans="2:23">
      <c r="B65" s="2" t="s">
        <v>74</v>
      </c>
      <c r="C65" s="3" t="s">
        <v>142</v>
      </c>
      <c r="D65" s="29">
        <v>9949</v>
      </c>
      <c r="E65" s="129"/>
      <c r="K65" t="s">
        <v>324</v>
      </c>
      <c r="R65" t="s">
        <v>335</v>
      </c>
      <c r="V65" t="s">
        <v>480</v>
      </c>
      <c r="W65" t="s">
        <v>340</v>
      </c>
    </row>
    <row r="66" spans="2:23">
      <c r="B66" s="3" t="s">
        <v>83</v>
      </c>
      <c r="C66" s="3" t="s">
        <v>202</v>
      </c>
      <c r="D66" s="29">
        <v>9909</v>
      </c>
      <c r="E66" s="129"/>
      <c r="K66" t="s">
        <v>359</v>
      </c>
      <c r="R66" t="s">
        <v>339</v>
      </c>
      <c r="V66" t="s">
        <v>539</v>
      </c>
      <c r="W66" t="s">
        <v>389</v>
      </c>
    </row>
    <row r="67" spans="2:23">
      <c r="B67" s="7" t="s">
        <v>67</v>
      </c>
      <c r="C67" s="6" t="s">
        <v>173</v>
      </c>
      <c r="D67" s="25">
        <v>9799</v>
      </c>
      <c r="E67" s="129"/>
      <c r="K67" t="s">
        <v>360</v>
      </c>
      <c r="R67" t="s">
        <v>350</v>
      </c>
      <c r="V67" t="s">
        <v>510</v>
      </c>
      <c r="W67" t="s">
        <v>390</v>
      </c>
    </row>
    <row r="68" spans="2:23">
      <c r="B68" s="2" t="s">
        <v>74</v>
      </c>
      <c r="C68" s="2" t="s">
        <v>43</v>
      </c>
      <c r="D68" s="29">
        <v>9799</v>
      </c>
      <c r="E68" s="129"/>
      <c r="K68" t="s">
        <v>361</v>
      </c>
      <c r="R68" t="s">
        <v>353</v>
      </c>
      <c r="V68" t="s">
        <v>1173</v>
      </c>
      <c r="W68" t="s">
        <v>140</v>
      </c>
    </row>
    <row r="69" spans="2:23">
      <c r="B69" s="2" t="s">
        <v>67</v>
      </c>
      <c r="C69" s="3" t="s">
        <v>119</v>
      </c>
      <c r="D69" s="29">
        <v>8999</v>
      </c>
      <c r="E69" s="129"/>
      <c r="K69" t="s">
        <v>402</v>
      </c>
      <c r="R69" t="s">
        <v>354</v>
      </c>
      <c r="V69" t="s">
        <v>1154</v>
      </c>
      <c r="W69" t="s">
        <v>207</v>
      </c>
    </row>
    <row r="70" spans="2:23">
      <c r="B70" s="6" t="s">
        <v>83</v>
      </c>
      <c r="C70" s="6" t="s">
        <v>82</v>
      </c>
      <c r="D70" s="25">
        <v>8899</v>
      </c>
      <c r="E70" s="129"/>
      <c r="K70" t="s">
        <v>403</v>
      </c>
      <c r="R70" t="s">
        <v>362</v>
      </c>
      <c r="V70" t="s">
        <v>1261</v>
      </c>
      <c r="W70" t="s">
        <v>348</v>
      </c>
    </row>
    <row r="71" spans="2:23">
      <c r="B71" s="2" t="s">
        <v>83</v>
      </c>
      <c r="C71" s="2" t="s">
        <v>44</v>
      </c>
      <c r="D71" s="29">
        <v>8899</v>
      </c>
      <c r="E71" s="129"/>
      <c r="K71" t="s">
        <v>404</v>
      </c>
      <c r="R71" t="s">
        <v>367</v>
      </c>
      <c r="V71" t="s">
        <v>1276</v>
      </c>
      <c r="W71" t="s">
        <v>349</v>
      </c>
    </row>
    <row r="72" spans="2:23">
      <c r="B72" s="6" t="s">
        <v>73</v>
      </c>
      <c r="C72" s="6" t="s">
        <v>114</v>
      </c>
      <c r="D72" s="25">
        <v>8669</v>
      </c>
      <c r="E72" s="129"/>
      <c r="K72" t="s">
        <v>405</v>
      </c>
      <c r="R72" t="s">
        <v>371</v>
      </c>
      <c r="V72" t="s">
        <v>1325</v>
      </c>
      <c r="W72" t="s">
        <v>357</v>
      </c>
    </row>
    <row r="73" spans="2:23">
      <c r="B73" s="3" t="s">
        <v>86</v>
      </c>
      <c r="C73" s="3" t="s">
        <v>131</v>
      </c>
      <c r="D73" s="29">
        <v>8499</v>
      </c>
      <c r="E73" s="129"/>
      <c r="K73" t="s">
        <v>406</v>
      </c>
      <c r="R73" t="s">
        <v>372</v>
      </c>
      <c r="V73" t="s">
        <v>1343</v>
      </c>
      <c r="W73" t="s">
        <v>1103</v>
      </c>
    </row>
    <row r="74" spans="2:23">
      <c r="B74" s="7" t="s">
        <v>83</v>
      </c>
      <c r="C74" s="7" t="s">
        <v>8</v>
      </c>
      <c r="D74" s="25">
        <v>8399</v>
      </c>
      <c r="E74" s="129"/>
      <c r="K74" t="s">
        <v>407</v>
      </c>
      <c r="R74" t="s">
        <v>370</v>
      </c>
      <c r="V74" t="s">
        <v>436</v>
      </c>
      <c r="W74" t="s">
        <v>1104</v>
      </c>
    </row>
    <row r="75" spans="2:23">
      <c r="B75" s="2" t="s">
        <v>74</v>
      </c>
      <c r="C75" s="2" t="s">
        <v>45</v>
      </c>
      <c r="D75" s="29">
        <v>8199</v>
      </c>
      <c r="E75" s="129"/>
      <c r="K75" t="s">
        <v>410</v>
      </c>
      <c r="R75" t="s">
        <v>380</v>
      </c>
      <c r="V75" t="s">
        <v>443</v>
      </c>
      <c r="W75" t="s">
        <v>1109</v>
      </c>
    </row>
    <row r="76" spans="2:23">
      <c r="B76" s="6" t="s">
        <v>86</v>
      </c>
      <c r="C76" s="6" t="s">
        <v>155</v>
      </c>
      <c r="D76" s="25">
        <v>7949</v>
      </c>
      <c r="E76" s="129"/>
      <c r="K76" t="s">
        <v>411</v>
      </c>
      <c r="R76" t="s">
        <v>381</v>
      </c>
      <c r="V76" t="s">
        <v>457</v>
      </c>
      <c r="W76" t="s">
        <v>1105</v>
      </c>
    </row>
    <row r="77" spans="2:23">
      <c r="B77" s="3" t="s">
        <v>73</v>
      </c>
      <c r="C77" s="3" t="s">
        <v>133</v>
      </c>
      <c r="D77" s="29">
        <v>7899</v>
      </c>
      <c r="E77" s="129"/>
      <c r="K77" t="s">
        <v>412</v>
      </c>
      <c r="R77" t="s">
        <v>399</v>
      </c>
      <c r="V77" t="s">
        <v>481</v>
      </c>
      <c r="W77" t="s">
        <v>1106</v>
      </c>
    </row>
    <row r="78" spans="2:23">
      <c r="B78" s="15" t="s">
        <v>79</v>
      </c>
      <c r="C78" s="16">
        <v>9360</v>
      </c>
      <c r="D78" s="25">
        <v>7894</v>
      </c>
      <c r="E78" s="129"/>
      <c r="K78" t="s">
        <v>413</v>
      </c>
      <c r="R78" t="s">
        <v>409</v>
      </c>
      <c r="V78" t="s">
        <v>397</v>
      </c>
      <c r="W78" t="s">
        <v>78</v>
      </c>
    </row>
    <row r="79" spans="2:23">
      <c r="B79" s="7" t="s">
        <v>74</v>
      </c>
      <c r="C79" s="7" t="s">
        <v>46</v>
      </c>
      <c r="D79" s="26">
        <v>7499</v>
      </c>
      <c r="E79" s="129"/>
      <c r="K79" t="s">
        <v>414</v>
      </c>
      <c r="R79" t="s">
        <v>428</v>
      </c>
      <c r="V79" t="s">
        <v>398</v>
      </c>
      <c r="W79" t="s">
        <v>6</v>
      </c>
    </row>
    <row r="80" spans="2:23">
      <c r="B80" s="3" t="s">
        <v>74</v>
      </c>
      <c r="C80" s="3" t="s">
        <v>84</v>
      </c>
      <c r="D80" s="28">
        <v>7499</v>
      </c>
      <c r="E80" s="129"/>
      <c r="K80" t="s">
        <v>415</v>
      </c>
      <c r="R80" t="s">
        <v>429</v>
      </c>
      <c r="V80" t="s">
        <v>421</v>
      </c>
      <c r="W80" t="s">
        <v>38</v>
      </c>
    </row>
    <row r="81" spans="2:23">
      <c r="B81" s="6" t="s">
        <v>74</v>
      </c>
      <c r="C81" s="6" t="s">
        <v>85</v>
      </c>
      <c r="D81" s="26">
        <v>7499</v>
      </c>
      <c r="E81" s="129"/>
      <c r="K81" t="s">
        <v>463</v>
      </c>
      <c r="R81" t="s">
        <v>456</v>
      </c>
      <c r="V81" t="s">
        <v>608</v>
      </c>
      <c r="W81" t="s">
        <v>30</v>
      </c>
    </row>
    <row r="82" spans="2:23">
      <c r="B82" s="5" t="s">
        <v>86</v>
      </c>
      <c r="C82" s="5" t="s">
        <v>10</v>
      </c>
      <c r="D82" s="28">
        <v>7299</v>
      </c>
      <c r="E82" s="129"/>
      <c r="K82" t="s">
        <v>464</v>
      </c>
      <c r="R82" t="s">
        <v>455</v>
      </c>
      <c r="V82" t="s">
        <v>315</v>
      </c>
      <c r="W82" t="s">
        <v>35</v>
      </c>
    </row>
    <row r="83" spans="2:23">
      <c r="B83" s="2" t="s">
        <v>87</v>
      </c>
      <c r="C83" s="2" t="s">
        <v>9</v>
      </c>
      <c r="D83" s="28">
        <v>7299</v>
      </c>
      <c r="E83" s="129"/>
      <c r="K83" t="s">
        <v>465</v>
      </c>
      <c r="R83" t="s">
        <v>458</v>
      </c>
      <c r="V83" t="s">
        <v>638</v>
      </c>
      <c r="W83" t="s">
        <v>31</v>
      </c>
    </row>
    <row r="84" spans="2:23">
      <c r="B84" s="3" t="s">
        <v>80</v>
      </c>
      <c r="C84" s="3" t="s">
        <v>88</v>
      </c>
      <c r="D84" s="28">
        <v>7099</v>
      </c>
      <c r="E84" s="129"/>
      <c r="K84" t="s">
        <v>466</v>
      </c>
      <c r="R84" t="s">
        <v>459</v>
      </c>
      <c r="V84" t="s">
        <v>1143</v>
      </c>
      <c r="W84" t="s">
        <v>168</v>
      </c>
    </row>
    <row r="85" spans="2:23">
      <c r="B85" s="2" t="s">
        <v>74</v>
      </c>
      <c r="C85" s="3" t="s">
        <v>178</v>
      </c>
      <c r="D85" s="29">
        <v>6999</v>
      </c>
      <c r="E85" s="129"/>
      <c r="K85" t="s">
        <v>467</v>
      </c>
      <c r="R85" t="s">
        <v>488</v>
      </c>
      <c r="V85" t="s">
        <v>1133</v>
      </c>
      <c r="W85" t="s">
        <v>117</v>
      </c>
    </row>
    <row r="86" spans="2:23">
      <c r="B86" s="6" t="s">
        <v>67</v>
      </c>
      <c r="C86" s="6" t="s">
        <v>191</v>
      </c>
      <c r="D86" s="26">
        <v>6999</v>
      </c>
      <c r="E86" s="129"/>
      <c r="K86" t="s">
        <v>468</v>
      </c>
      <c r="R86" t="s">
        <v>498</v>
      </c>
      <c r="V86" t="s">
        <v>1159</v>
      </c>
      <c r="W86" t="s">
        <v>116</v>
      </c>
    </row>
    <row r="87" spans="2:23">
      <c r="B87" s="3" t="s">
        <v>73</v>
      </c>
      <c r="C87" s="3" t="s">
        <v>194</v>
      </c>
      <c r="D87" s="29">
        <v>6999</v>
      </c>
      <c r="E87" s="129"/>
      <c r="K87" t="s">
        <v>469</v>
      </c>
      <c r="R87" t="s">
        <v>511</v>
      </c>
      <c r="V87" t="s">
        <v>1227</v>
      </c>
      <c r="W87" t="s">
        <v>181</v>
      </c>
    </row>
    <row r="88" spans="2:23">
      <c r="B88" s="3" t="s">
        <v>73</v>
      </c>
      <c r="C88" s="3" t="s">
        <v>162</v>
      </c>
      <c r="D88" s="29">
        <v>6919</v>
      </c>
      <c r="E88" s="129"/>
      <c r="K88" t="s">
        <v>471</v>
      </c>
      <c r="R88" t="s">
        <v>527</v>
      </c>
      <c r="V88" t="s">
        <v>1250</v>
      </c>
      <c r="W88" t="s">
        <v>182</v>
      </c>
    </row>
    <row r="89" spans="2:23">
      <c r="B89" s="17" t="s">
        <v>83</v>
      </c>
      <c r="C89" s="17" t="s">
        <v>89</v>
      </c>
      <c r="D89" s="26">
        <v>6899</v>
      </c>
      <c r="E89" s="129"/>
      <c r="K89" t="s">
        <v>472</v>
      </c>
      <c r="R89" t="s">
        <v>534</v>
      </c>
      <c r="V89" t="s">
        <v>1320</v>
      </c>
      <c r="W89" s="44" t="s">
        <v>228</v>
      </c>
    </row>
    <row r="90" spans="2:23">
      <c r="B90" s="2" t="s">
        <v>90</v>
      </c>
      <c r="C90" s="2" t="s">
        <v>47</v>
      </c>
      <c r="D90" s="28">
        <v>6899</v>
      </c>
      <c r="E90" s="129"/>
      <c r="K90" t="s">
        <v>473</v>
      </c>
      <c r="R90" t="s">
        <v>555</v>
      </c>
      <c r="V90" t="s">
        <v>1291</v>
      </c>
      <c r="W90" s="44" t="s">
        <v>229</v>
      </c>
    </row>
    <row r="91" spans="2:23">
      <c r="B91" s="7" t="s">
        <v>67</v>
      </c>
      <c r="C91" s="7" t="s">
        <v>48</v>
      </c>
      <c r="D91" s="26">
        <v>6899</v>
      </c>
      <c r="E91" s="129"/>
      <c r="K91" t="s">
        <v>476</v>
      </c>
      <c r="R91" t="s">
        <v>582</v>
      </c>
      <c r="V91" t="s">
        <v>637</v>
      </c>
      <c r="W91" s="44" t="s">
        <v>242</v>
      </c>
    </row>
    <row r="92" spans="2:23">
      <c r="B92" s="4" t="s">
        <v>79</v>
      </c>
      <c r="C92" s="14">
        <v>9620</v>
      </c>
      <c r="D92" s="29">
        <v>6699</v>
      </c>
      <c r="E92" s="129"/>
      <c r="K92" t="s">
        <v>513</v>
      </c>
      <c r="R92" t="s">
        <v>583</v>
      </c>
      <c r="V92" t="s">
        <v>1228</v>
      </c>
      <c r="W92" t="s">
        <v>134</v>
      </c>
    </row>
    <row r="93" spans="2:23">
      <c r="B93" s="3" t="s">
        <v>86</v>
      </c>
      <c r="C93" s="3" t="s">
        <v>147</v>
      </c>
      <c r="D93" s="29">
        <v>6599</v>
      </c>
      <c r="E93" s="129"/>
      <c r="K93" t="s">
        <v>514</v>
      </c>
      <c r="R93" t="s">
        <v>584</v>
      </c>
      <c r="V93" t="s">
        <v>1341</v>
      </c>
      <c r="W93" t="s">
        <v>133</v>
      </c>
    </row>
    <row r="94" spans="2:23">
      <c r="B94" s="2" t="s">
        <v>73</v>
      </c>
      <c r="C94" s="3" t="s">
        <v>122</v>
      </c>
      <c r="D94" s="29">
        <v>6579</v>
      </c>
      <c r="E94" s="129"/>
      <c r="K94" t="s">
        <v>515</v>
      </c>
      <c r="R94" t="s">
        <v>585</v>
      </c>
      <c r="V94" t="s">
        <v>517</v>
      </c>
      <c r="W94" t="s">
        <v>391</v>
      </c>
    </row>
    <row r="95" spans="2:23">
      <c r="B95" s="2" t="s">
        <v>74</v>
      </c>
      <c r="C95" s="2" t="s">
        <v>49</v>
      </c>
      <c r="D95" s="29">
        <v>6499</v>
      </c>
      <c r="E95" s="129"/>
      <c r="K95" t="s">
        <v>564</v>
      </c>
      <c r="R95" t="s">
        <v>586</v>
      </c>
      <c r="V95" t="s">
        <v>1127</v>
      </c>
      <c r="W95" t="s">
        <v>392</v>
      </c>
    </row>
    <row r="96" spans="2:23">
      <c r="B96" s="2" t="s">
        <v>73</v>
      </c>
      <c r="C96" s="2" t="s">
        <v>11</v>
      </c>
      <c r="D96" s="29">
        <v>6399</v>
      </c>
      <c r="E96" s="129"/>
      <c r="K96" t="s">
        <v>565</v>
      </c>
      <c r="R96" t="s">
        <v>587</v>
      </c>
      <c r="V96" t="s">
        <v>1076</v>
      </c>
      <c r="W96" t="s">
        <v>374</v>
      </c>
    </row>
    <row r="97" spans="2:23">
      <c r="B97" s="6" t="s">
        <v>83</v>
      </c>
      <c r="C97" s="6" t="s">
        <v>135</v>
      </c>
      <c r="D97" s="25">
        <v>6299</v>
      </c>
      <c r="E97" s="129"/>
      <c r="K97" t="s">
        <v>566</v>
      </c>
      <c r="R97" t="s">
        <v>527</v>
      </c>
      <c r="V97" t="s">
        <v>1129</v>
      </c>
      <c r="W97" t="s">
        <v>474</v>
      </c>
    </row>
    <row r="98" spans="2:23">
      <c r="B98" s="6" t="s">
        <v>73</v>
      </c>
      <c r="C98" s="6" t="s">
        <v>161</v>
      </c>
      <c r="D98" s="25">
        <v>5999</v>
      </c>
      <c r="E98" s="129"/>
      <c r="K98" t="s">
        <v>567</v>
      </c>
      <c r="R98" t="s">
        <v>588</v>
      </c>
      <c r="V98" t="s">
        <v>1199</v>
      </c>
      <c r="W98" t="s">
        <v>475</v>
      </c>
    </row>
    <row r="99" spans="2:23">
      <c r="B99" s="7" t="s">
        <v>73</v>
      </c>
      <c r="C99" s="7" t="s">
        <v>12</v>
      </c>
      <c r="D99" s="25">
        <v>5799</v>
      </c>
      <c r="E99" s="129"/>
      <c r="K99" t="s">
        <v>568</v>
      </c>
      <c r="R99" t="s">
        <v>589</v>
      </c>
      <c r="V99" t="s">
        <v>1269</v>
      </c>
      <c r="W99" t="s">
        <v>1107</v>
      </c>
    </row>
    <row r="100" spans="2:23">
      <c r="B100" s="3" t="s">
        <v>87</v>
      </c>
      <c r="C100" s="3" t="s">
        <v>144</v>
      </c>
      <c r="D100" s="29">
        <v>5699</v>
      </c>
      <c r="E100" s="129"/>
      <c r="K100" t="s">
        <v>569</v>
      </c>
      <c r="R100" t="s">
        <v>590</v>
      </c>
      <c r="V100" t="s">
        <v>540</v>
      </c>
      <c r="W100" t="s">
        <v>1108</v>
      </c>
    </row>
    <row r="101" spans="2:23">
      <c r="B101" s="2" t="s">
        <v>74</v>
      </c>
      <c r="C101" s="3" t="s">
        <v>177</v>
      </c>
      <c r="D101" s="29">
        <v>5599</v>
      </c>
      <c r="E101" s="129"/>
      <c r="K101" t="s">
        <v>572</v>
      </c>
      <c r="R101" t="s">
        <v>591</v>
      </c>
      <c r="V101" t="s">
        <v>1342</v>
      </c>
      <c r="W101" s="31" t="s">
        <v>252</v>
      </c>
    </row>
    <row r="102" spans="2:23">
      <c r="B102" s="2" t="s">
        <v>74</v>
      </c>
      <c r="C102" s="2" t="s">
        <v>51</v>
      </c>
      <c r="D102" s="29">
        <v>5299</v>
      </c>
      <c r="E102" s="129"/>
      <c r="K102" t="s">
        <v>573</v>
      </c>
      <c r="R102" t="s">
        <v>592</v>
      </c>
      <c r="V102" t="s">
        <v>327</v>
      </c>
      <c r="W102" t="s">
        <v>286</v>
      </c>
    </row>
    <row r="103" spans="2:23">
      <c r="B103" s="7" t="s">
        <v>74</v>
      </c>
      <c r="C103" s="7" t="s">
        <v>52</v>
      </c>
      <c r="D103" s="25">
        <v>5299</v>
      </c>
      <c r="E103" s="129"/>
      <c r="K103" t="s">
        <v>574</v>
      </c>
      <c r="R103" t="s">
        <v>593</v>
      </c>
      <c r="V103" t="s">
        <v>330</v>
      </c>
      <c r="W103" t="s">
        <v>285</v>
      </c>
    </row>
    <row r="104" spans="2:23">
      <c r="B104" s="2" t="s">
        <v>74</v>
      </c>
      <c r="C104" s="2" t="s">
        <v>53</v>
      </c>
      <c r="D104" s="29">
        <v>5199</v>
      </c>
      <c r="E104" s="129"/>
      <c r="K104" t="s">
        <v>575</v>
      </c>
      <c r="R104" t="s">
        <v>594</v>
      </c>
      <c r="V104" t="s">
        <v>1077</v>
      </c>
      <c r="W104" t="s">
        <v>287</v>
      </c>
    </row>
    <row r="105" spans="2:23">
      <c r="B105" s="2" t="s">
        <v>83</v>
      </c>
      <c r="C105" s="2" t="s">
        <v>13</v>
      </c>
      <c r="D105" s="29">
        <v>5199</v>
      </c>
      <c r="E105" s="129"/>
      <c r="K105" t="s">
        <v>576</v>
      </c>
      <c r="R105" t="s">
        <v>595</v>
      </c>
      <c r="V105" t="s">
        <v>382</v>
      </c>
      <c r="W105" t="s">
        <v>288</v>
      </c>
    </row>
    <row r="106" spans="2:23">
      <c r="B106" s="2" t="s">
        <v>74</v>
      </c>
      <c r="C106" s="2" t="s">
        <v>0</v>
      </c>
      <c r="D106" s="29">
        <v>5199</v>
      </c>
      <c r="E106" s="129"/>
      <c r="K106" t="s">
        <v>577</v>
      </c>
      <c r="R106" t="s">
        <v>596</v>
      </c>
      <c r="V106" t="s">
        <v>518</v>
      </c>
      <c r="W106" t="s">
        <v>618</v>
      </c>
    </row>
    <row r="107" spans="2:23">
      <c r="B107" s="7" t="s">
        <v>86</v>
      </c>
      <c r="C107" s="7" t="s">
        <v>195</v>
      </c>
      <c r="D107" s="25">
        <v>5199</v>
      </c>
      <c r="E107" s="129"/>
      <c r="K107" t="s">
        <v>578</v>
      </c>
      <c r="R107" t="s">
        <v>597</v>
      </c>
      <c r="V107" t="s">
        <v>334</v>
      </c>
      <c r="W107" t="s">
        <v>619</v>
      </c>
    </row>
    <row r="108" spans="2:23">
      <c r="B108" s="7" t="s">
        <v>73</v>
      </c>
      <c r="C108" s="7" t="s">
        <v>199</v>
      </c>
      <c r="D108" s="25">
        <v>5139</v>
      </c>
      <c r="E108" s="129"/>
      <c r="K108" t="s">
        <v>579</v>
      </c>
      <c r="R108" t="s">
        <v>630</v>
      </c>
      <c r="V108" t="s">
        <v>416</v>
      </c>
      <c r="W108" t="s">
        <v>620</v>
      </c>
    </row>
    <row r="109" spans="2:23">
      <c r="B109" s="6" t="s">
        <v>83</v>
      </c>
      <c r="C109" s="6" t="s">
        <v>218</v>
      </c>
      <c r="D109" s="25">
        <v>4999</v>
      </c>
      <c r="E109" s="129"/>
      <c r="K109" t="s">
        <v>581</v>
      </c>
      <c r="R109" t="s">
        <v>631</v>
      </c>
      <c r="V109" t="s">
        <v>1200</v>
      </c>
      <c r="W109" t="s">
        <v>623</v>
      </c>
    </row>
    <row r="110" spans="2:23">
      <c r="B110" s="6" t="s">
        <v>87</v>
      </c>
      <c r="C110" s="6" t="s">
        <v>154</v>
      </c>
      <c r="D110" s="25">
        <v>4949</v>
      </c>
      <c r="E110" s="129"/>
      <c r="K110" t="s">
        <v>642</v>
      </c>
      <c r="R110" t="s">
        <v>654</v>
      </c>
      <c r="V110" t="s">
        <v>1277</v>
      </c>
      <c r="W110" t="s">
        <v>621</v>
      </c>
    </row>
    <row r="111" spans="2:23">
      <c r="B111" s="2" t="s">
        <v>74</v>
      </c>
      <c r="C111" s="2" t="s">
        <v>54</v>
      </c>
      <c r="D111" s="29">
        <v>4799</v>
      </c>
      <c r="E111" s="129"/>
      <c r="K111" t="s">
        <v>643</v>
      </c>
      <c r="R111" t="s">
        <v>1266</v>
      </c>
      <c r="V111" t="s">
        <v>7</v>
      </c>
      <c r="W111" t="s">
        <v>622</v>
      </c>
    </row>
    <row r="112" spans="2:23">
      <c r="B112" s="2" t="s">
        <v>73</v>
      </c>
      <c r="C112" s="2" t="s">
        <v>14</v>
      </c>
      <c r="D112" s="29">
        <v>4799</v>
      </c>
      <c r="E112" s="129"/>
      <c r="K112" t="s">
        <v>644</v>
      </c>
      <c r="R112" t="s">
        <v>1267</v>
      </c>
      <c r="V112" s="46" t="s">
        <v>302</v>
      </c>
      <c r="W112" t="s">
        <v>629</v>
      </c>
    </row>
    <row r="113" spans="2:23">
      <c r="B113" s="6" t="s">
        <v>74</v>
      </c>
      <c r="C113" s="6" t="s">
        <v>129</v>
      </c>
      <c r="D113" s="25">
        <v>4799</v>
      </c>
      <c r="E113" s="129"/>
      <c r="K113" t="s">
        <v>645</v>
      </c>
      <c r="R113" t="s">
        <v>1318</v>
      </c>
      <c r="W113" t="s">
        <v>531</v>
      </c>
    </row>
    <row r="114" spans="2:23">
      <c r="B114" s="3" t="s">
        <v>87</v>
      </c>
      <c r="C114" s="3" t="s">
        <v>139</v>
      </c>
      <c r="D114" s="29">
        <v>4779</v>
      </c>
      <c r="E114" s="129"/>
      <c r="K114" t="s">
        <v>1064</v>
      </c>
      <c r="W114" t="s">
        <v>541</v>
      </c>
    </row>
    <row r="115" spans="2:23">
      <c r="B115" s="7" t="s">
        <v>83</v>
      </c>
      <c r="C115" s="6" t="s">
        <v>146</v>
      </c>
      <c r="D115" s="25">
        <v>4699</v>
      </c>
      <c r="E115" s="129"/>
      <c r="K115" t="s">
        <v>1065</v>
      </c>
      <c r="W115" t="s">
        <v>542</v>
      </c>
    </row>
    <row r="116" spans="2:23">
      <c r="B116" s="7" t="s">
        <v>73</v>
      </c>
      <c r="C116" s="7" t="s">
        <v>16</v>
      </c>
      <c r="D116" s="25">
        <v>4699</v>
      </c>
      <c r="E116" s="129"/>
      <c r="K116" t="s">
        <v>1066</v>
      </c>
      <c r="W116" t="s">
        <v>536</v>
      </c>
    </row>
    <row r="117" spans="2:23">
      <c r="B117" s="2" t="s">
        <v>91</v>
      </c>
      <c r="C117" s="2" t="s">
        <v>55</v>
      </c>
      <c r="D117" s="29">
        <v>4699</v>
      </c>
      <c r="E117" s="129"/>
      <c r="K117" t="s">
        <v>1067</v>
      </c>
      <c r="W117" t="s">
        <v>522</v>
      </c>
    </row>
    <row r="118" spans="2:23">
      <c r="B118" s="3" t="s">
        <v>86</v>
      </c>
      <c r="C118" s="3" t="s">
        <v>158</v>
      </c>
      <c r="D118" s="29">
        <v>4649</v>
      </c>
      <c r="E118" s="129"/>
      <c r="K118" t="s">
        <v>1068</v>
      </c>
      <c r="W118" t="s">
        <v>426</v>
      </c>
    </row>
    <row r="119" spans="2:23">
      <c r="B119" s="6" t="s">
        <v>73</v>
      </c>
      <c r="C119" s="6" t="s">
        <v>134</v>
      </c>
      <c r="D119" s="25">
        <v>4299</v>
      </c>
      <c r="E119" s="129"/>
      <c r="K119" t="s">
        <v>1069</v>
      </c>
      <c r="W119" t="s">
        <v>1093</v>
      </c>
    </row>
    <row r="120" spans="2:23">
      <c r="B120" s="3" t="s">
        <v>73</v>
      </c>
      <c r="C120" s="3" t="s">
        <v>123</v>
      </c>
      <c r="D120" s="29">
        <v>4299</v>
      </c>
      <c r="E120" s="129"/>
      <c r="K120" t="s">
        <v>1073</v>
      </c>
      <c r="W120" t="s">
        <v>1181</v>
      </c>
    </row>
    <row r="121" spans="2:23">
      <c r="B121" s="3" t="s">
        <v>73</v>
      </c>
      <c r="C121" s="3" t="s">
        <v>92</v>
      </c>
      <c r="D121" s="29">
        <v>4299</v>
      </c>
      <c r="E121" s="129"/>
      <c r="K121" t="s">
        <v>1070</v>
      </c>
      <c r="W121" t="s">
        <v>1355</v>
      </c>
    </row>
    <row r="122" spans="2:23">
      <c r="B122" s="6" t="s">
        <v>93</v>
      </c>
      <c r="C122" s="6" t="s">
        <v>193</v>
      </c>
      <c r="D122" s="25">
        <v>4189</v>
      </c>
      <c r="E122" s="129"/>
      <c r="K122" t="s">
        <v>1071</v>
      </c>
      <c r="W122" s="58" t="s">
        <v>1308</v>
      </c>
    </row>
    <row r="123" spans="2:23">
      <c r="B123" s="6" t="s">
        <v>91</v>
      </c>
      <c r="C123" s="6" t="s">
        <v>145</v>
      </c>
      <c r="D123" s="25">
        <v>3999</v>
      </c>
      <c r="E123" s="129"/>
      <c r="K123" t="s">
        <v>576</v>
      </c>
      <c r="W123" s="58" t="s">
        <v>422</v>
      </c>
    </row>
    <row r="124" spans="2:23">
      <c r="B124" s="6" t="s">
        <v>83</v>
      </c>
      <c r="C124" s="6" t="s">
        <v>17</v>
      </c>
      <c r="D124" s="25">
        <v>3999</v>
      </c>
      <c r="E124" s="129"/>
      <c r="K124" t="s">
        <v>1081</v>
      </c>
      <c r="W124" s="58" t="s">
        <v>1115</v>
      </c>
    </row>
    <row r="125" spans="2:23">
      <c r="B125" s="6" t="s">
        <v>83</v>
      </c>
      <c r="C125" s="6" t="s">
        <v>1</v>
      </c>
      <c r="D125" s="25">
        <v>3999</v>
      </c>
      <c r="E125" s="129"/>
      <c r="K125" t="s">
        <v>577</v>
      </c>
      <c r="W125" s="58" t="s">
        <v>1114</v>
      </c>
    </row>
    <row r="126" spans="2:23">
      <c r="B126" s="6" t="s">
        <v>83</v>
      </c>
      <c r="C126" s="6" t="s">
        <v>2</v>
      </c>
      <c r="D126" s="25">
        <v>3999</v>
      </c>
      <c r="E126" s="129"/>
      <c r="K126" t="s">
        <v>1082</v>
      </c>
      <c r="W126" s="58" t="s">
        <v>1229</v>
      </c>
    </row>
    <row r="127" spans="2:23">
      <c r="B127" s="6" t="s">
        <v>80</v>
      </c>
      <c r="C127" s="6" t="s">
        <v>113</v>
      </c>
      <c r="D127" s="25">
        <v>3999</v>
      </c>
      <c r="E127" s="129"/>
      <c r="K127" t="s">
        <v>1080</v>
      </c>
      <c r="W127" t="s">
        <v>1319</v>
      </c>
    </row>
    <row r="128" spans="2:23">
      <c r="B128" s="6" t="s">
        <v>83</v>
      </c>
      <c r="C128" s="6" t="s">
        <v>201</v>
      </c>
      <c r="D128" s="25">
        <v>3999</v>
      </c>
      <c r="E128" s="129"/>
      <c r="K128" t="s">
        <v>1087</v>
      </c>
      <c r="W128" t="s">
        <v>453</v>
      </c>
    </row>
    <row r="129" spans="2:23">
      <c r="B129" s="7" t="s">
        <v>74</v>
      </c>
      <c r="C129" s="7" t="s">
        <v>56</v>
      </c>
      <c r="D129" s="25">
        <v>3899</v>
      </c>
      <c r="E129" s="129"/>
      <c r="K129" t="s">
        <v>1083</v>
      </c>
      <c r="W129" t="s">
        <v>636</v>
      </c>
    </row>
    <row r="130" spans="2:23" ht="15" customHeight="1">
      <c r="B130" s="2" t="s">
        <v>74</v>
      </c>
      <c r="C130" s="3" t="s">
        <v>143</v>
      </c>
      <c r="D130" s="29">
        <v>3799</v>
      </c>
      <c r="E130" s="129"/>
      <c r="K130" t="s">
        <v>1148</v>
      </c>
      <c r="W130" t="s">
        <v>1113</v>
      </c>
    </row>
    <row r="131" spans="2:23">
      <c r="B131" s="6" t="s">
        <v>127</v>
      </c>
      <c r="C131" s="6" t="s">
        <v>128</v>
      </c>
      <c r="D131" s="25">
        <v>3699</v>
      </c>
      <c r="E131" s="129"/>
      <c r="K131" t="s">
        <v>1182</v>
      </c>
      <c r="W131" t="s">
        <v>1271</v>
      </c>
    </row>
    <row r="132" spans="2:23" ht="15" customHeight="1">
      <c r="B132" s="2" t="s">
        <v>74</v>
      </c>
      <c r="C132" s="3" t="s">
        <v>189</v>
      </c>
      <c r="D132" s="29">
        <v>3599</v>
      </c>
      <c r="E132" s="129"/>
      <c r="K132" t="s">
        <v>1183</v>
      </c>
      <c r="W132" t="s">
        <v>1375</v>
      </c>
    </row>
    <row r="133" spans="2:23">
      <c r="B133" s="6" t="s">
        <v>87</v>
      </c>
      <c r="C133" s="6" t="s">
        <v>164</v>
      </c>
      <c r="D133" s="25">
        <v>3549</v>
      </c>
      <c r="E133" s="129"/>
      <c r="K133" t="s">
        <v>1184</v>
      </c>
      <c r="W133" t="s">
        <v>442</v>
      </c>
    </row>
    <row r="134" spans="2:23" ht="15" customHeight="1">
      <c r="B134" s="3" t="s">
        <v>73</v>
      </c>
      <c r="C134" s="3" t="s">
        <v>160</v>
      </c>
      <c r="D134" s="29">
        <v>3499</v>
      </c>
      <c r="E134" s="129"/>
      <c r="K134" t="s">
        <v>1185</v>
      </c>
      <c r="W134" t="s">
        <v>1138</v>
      </c>
    </row>
    <row r="135" spans="2:23">
      <c r="B135" s="6" t="s">
        <v>93</v>
      </c>
      <c r="C135" s="6" t="s">
        <v>18</v>
      </c>
      <c r="D135" s="25">
        <v>3399</v>
      </c>
      <c r="E135" s="129"/>
      <c r="K135" t="s">
        <v>1186</v>
      </c>
      <c r="W135" t="s">
        <v>1256</v>
      </c>
    </row>
    <row r="136" spans="2:23" ht="15" customHeight="1">
      <c r="B136" s="2" t="s">
        <v>83</v>
      </c>
      <c r="C136" s="2" t="s">
        <v>57</v>
      </c>
      <c r="D136" s="29">
        <v>3399</v>
      </c>
      <c r="E136" s="129"/>
      <c r="K136" t="s">
        <v>1187</v>
      </c>
      <c r="W136" t="s">
        <v>1381</v>
      </c>
    </row>
    <row r="137" spans="2:23">
      <c r="B137" s="2" t="s">
        <v>83</v>
      </c>
      <c r="C137" s="2" t="s">
        <v>58</v>
      </c>
      <c r="D137" s="29">
        <v>3399</v>
      </c>
      <c r="E137" s="129"/>
      <c r="K137" t="s">
        <v>1188</v>
      </c>
      <c r="W137" t="s">
        <v>1345</v>
      </c>
    </row>
    <row r="138" spans="2:23" ht="15" customHeight="1">
      <c r="B138" s="7" t="s">
        <v>73</v>
      </c>
      <c r="C138" s="6" t="s">
        <v>125</v>
      </c>
      <c r="D138" s="25">
        <v>3299</v>
      </c>
      <c r="E138" s="129"/>
      <c r="K138" t="s">
        <v>1189</v>
      </c>
      <c r="W138" t="s">
        <v>441</v>
      </c>
    </row>
    <row r="139" spans="2:23">
      <c r="B139" s="7" t="s">
        <v>83</v>
      </c>
      <c r="C139" s="6" t="s">
        <v>159</v>
      </c>
      <c r="D139" s="25">
        <v>3199</v>
      </c>
      <c r="E139" s="129"/>
      <c r="K139" t="s">
        <v>1190</v>
      </c>
      <c r="W139" t="s">
        <v>1139</v>
      </c>
    </row>
    <row r="140" spans="2:23" ht="15" customHeight="1">
      <c r="B140" s="3" t="s">
        <v>83</v>
      </c>
      <c r="C140" s="3" t="s">
        <v>200</v>
      </c>
      <c r="D140" s="29">
        <v>3099</v>
      </c>
      <c r="E140" s="129"/>
      <c r="K140" t="s">
        <v>1191</v>
      </c>
      <c r="W140" t="s">
        <v>1257</v>
      </c>
    </row>
    <row r="141" spans="2:23">
      <c r="B141" s="7" t="s">
        <v>73</v>
      </c>
      <c r="C141" s="7" t="s">
        <v>20</v>
      </c>
      <c r="D141" s="25">
        <v>2999</v>
      </c>
      <c r="E141" s="129"/>
      <c r="K141" t="s">
        <v>1192</v>
      </c>
      <c r="W141" t="s">
        <v>1346</v>
      </c>
    </row>
    <row r="142" spans="2:23">
      <c r="B142" s="3" t="s">
        <v>165</v>
      </c>
      <c r="C142" s="3" t="s">
        <v>208</v>
      </c>
      <c r="D142" s="41">
        <v>2999</v>
      </c>
      <c r="K142" t="s">
        <v>1193</v>
      </c>
      <c r="W142" t="s">
        <v>437</v>
      </c>
    </row>
    <row r="143" spans="2:23">
      <c r="B143" s="6" t="s">
        <v>91</v>
      </c>
      <c r="C143" s="6" t="s">
        <v>180</v>
      </c>
      <c r="D143" s="25">
        <v>2899</v>
      </c>
      <c r="E143" s="129"/>
      <c r="K143" t="s">
        <v>1194</v>
      </c>
      <c r="W143" t="s">
        <v>418</v>
      </c>
    </row>
    <row r="144" spans="2:23">
      <c r="B144" s="7" t="s">
        <v>83</v>
      </c>
      <c r="C144" s="6" t="s">
        <v>210</v>
      </c>
      <c r="D144" s="25">
        <v>2799</v>
      </c>
      <c r="E144" s="129"/>
      <c r="K144" t="s">
        <v>1247</v>
      </c>
      <c r="W144" t="s">
        <v>452</v>
      </c>
    </row>
    <row r="145" spans="2:23">
      <c r="B145" s="3" t="s">
        <v>83</v>
      </c>
      <c r="C145" s="3" t="s">
        <v>138</v>
      </c>
      <c r="D145" s="29">
        <v>2699</v>
      </c>
      <c r="E145" s="129"/>
      <c r="K145" t="s">
        <v>1248</v>
      </c>
      <c r="W145" t="s">
        <v>423</v>
      </c>
    </row>
    <row r="146" spans="2:23">
      <c r="B146" s="6" t="s">
        <v>165</v>
      </c>
      <c r="C146" s="6" t="s">
        <v>171</v>
      </c>
      <c r="D146" s="25">
        <v>2599</v>
      </c>
      <c r="E146" s="129"/>
      <c r="K146" t="s">
        <v>1249</v>
      </c>
      <c r="W146" t="s">
        <v>438</v>
      </c>
    </row>
    <row r="147" spans="2:23">
      <c r="B147" s="3" t="s">
        <v>214</v>
      </c>
      <c r="C147" s="3" t="s">
        <v>216</v>
      </c>
      <c r="D147" s="29">
        <v>2599</v>
      </c>
      <c r="E147" s="129"/>
      <c r="K147" t="s">
        <v>1294</v>
      </c>
      <c r="W147" t="s">
        <v>424</v>
      </c>
    </row>
    <row r="148" spans="2:23">
      <c r="B148" s="6" t="s">
        <v>91</v>
      </c>
      <c r="C148" s="6" t="s">
        <v>21</v>
      </c>
      <c r="D148" s="25">
        <v>2499</v>
      </c>
      <c r="E148" s="129"/>
      <c r="K148" t="s">
        <v>1295</v>
      </c>
      <c r="W148" t="s">
        <v>439</v>
      </c>
    </row>
    <row r="149" spans="2:23">
      <c r="B149" s="3" t="s">
        <v>93</v>
      </c>
      <c r="C149" s="3" t="s">
        <v>94</v>
      </c>
      <c r="D149" s="29">
        <v>2499</v>
      </c>
      <c r="E149" s="129"/>
      <c r="K149" t="s">
        <v>1296</v>
      </c>
      <c r="W149" t="s">
        <v>425</v>
      </c>
    </row>
    <row r="150" spans="2:23">
      <c r="B150" s="2" t="s">
        <v>74</v>
      </c>
      <c r="C150" s="2" t="s">
        <v>59</v>
      </c>
      <c r="D150" s="29">
        <v>2499</v>
      </c>
      <c r="E150" s="129"/>
      <c r="K150" t="s">
        <v>1297</v>
      </c>
      <c r="W150" t="s">
        <v>440</v>
      </c>
    </row>
    <row r="151" spans="2:23">
      <c r="B151" s="2" t="s">
        <v>83</v>
      </c>
      <c r="C151" s="2" t="s">
        <v>3</v>
      </c>
      <c r="D151" s="29">
        <v>2499</v>
      </c>
      <c r="E151" s="129"/>
      <c r="K151" t="s">
        <v>1298</v>
      </c>
      <c r="W151" t="s">
        <v>1180</v>
      </c>
    </row>
    <row r="152" spans="2:23">
      <c r="B152" s="2" t="s">
        <v>74</v>
      </c>
      <c r="C152" s="2" t="s">
        <v>22</v>
      </c>
      <c r="D152" s="29">
        <v>2499</v>
      </c>
      <c r="E152" s="129"/>
      <c r="K152" t="s">
        <v>1299</v>
      </c>
      <c r="W152" t="s">
        <v>1222</v>
      </c>
    </row>
    <row r="153" spans="2:23">
      <c r="B153" s="2" t="s">
        <v>74</v>
      </c>
      <c r="C153" s="2" t="s">
        <v>60</v>
      </c>
      <c r="D153" s="29">
        <v>2499</v>
      </c>
      <c r="E153" s="129"/>
      <c r="K153" t="s">
        <v>1300</v>
      </c>
      <c r="W153" t="s">
        <v>1233</v>
      </c>
    </row>
    <row r="154" spans="2:23">
      <c r="B154" s="2" t="s">
        <v>74</v>
      </c>
      <c r="C154" s="3" t="s">
        <v>188</v>
      </c>
      <c r="D154" s="29">
        <v>2499</v>
      </c>
      <c r="E154" s="129"/>
      <c r="K154" t="s">
        <v>1301</v>
      </c>
      <c r="W154" t="s">
        <v>1272</v>
      </c>
    </row>
    <row r="155" spans="2:23">
      <c r="B155" s="6" t="s">
        <v>93</v>
      </c>
      <c r="C155" s="3" t="s">
        <v>196</v>
      </c>
      <c r="D155" s="25">
        <v>2499</v>
      </c>
      <c r="E155" s="129"/>
      <c r="K155" t="s">
        <v>1302</v>
      </c>
      <c r="W155" t="s">
        <v>1293</v>
      </c>
    </row>
    <row r="156" spans="2:23">
      <c r="B156" s="7" t="s">
        <v>74</v>
      </c>
      <c r="C156" s="7" t="s">
        <v>61</v>
      </c>
      <c r="D156" s="25">
        <v>2399</v>
      </c>
      <c r="E156" s="129"/>
      <c r="K156" t="s">
        <v>1303</v>
      </c>
      <c r="W156" t="s">
        <v>1236</v>
      </c>
    </row>
    <row r="157" spans="2:23">
      <c r="B157" s="7" t="s">
        <v>73</v>
      </c>
      <c r="C157" s="7" t="s">
        <v>19</v>
      </c>
      <c r="D157" s="25">
        <v>2399</v>
      </c>
      <c r="E157" s="129"/>
      <c r="K157" t="s">
        <v>1389</v>
      </c>
      <c r="W157" t="s">
        <v>1234</v>
      </c>
    </row>
    <row r="158" spans="2:23">
      <c r="B158" s="6" t="s">
        <v>170</v>
      </c>
      <c r="C158" s="6" t="s">
        <v>170</v>
      </c>
      <c r="D158" s="25">
        <v>2399</v>
      </c>
      <c r="E158" s="129"/>
      <c r="K158" t="s">
        <v>1390</v>
      </c>
      <c r="W158" t="s">
        <v>1235</v>
      </c>
    </row>
    <row r="159" spans="2:23">
      <c r="B159" s="3" t="s">
        <v>97</v>
      </c>
      <c r="C159" s="3" t="s">
        <v>124</v>
      </c>
      <c r="D159" s="29">
        <v>2299</v>
      </c>
      <c r="E159" s="129"/>
      <c r="K159" t="s">
        <v>1391</v>
      </c>
      <c r="W159" t="s">
        <v>1330</v>
      </c>
    </row>
    <row r="160" spans="2:23">
      <c r="B160" s="7" t="s">
        <v>83</v>
      </c>
      <c r="C160" s="7" t="s">
        <v>198</v>
      </c>
      <c r="D160" s="25">
        <v>2299</v>
      </c>
      <c r="E160" s="129"/>
      <c r="K160" t="s">
        <v>1392</v>
      </c>
      <c r="W160" t="s">
        <v>1329</v>
      </c>
    </row>
    <row r="161" spans="2:23">
      <c r="B161" s="3" t="s">
        <v>83</v>
      </c>
      <c r="C161" s="3" t="s">
        <v>95</v>
      </c>
      <c r="D161" s="29">
        <v>2199</v>
      </c>
      <c r="E161" s="129"/>
      <c r="W161" t="s">
        <v>1328</v>
      </c>
    </row>
    <row r="162" spans="2:23">
      <c r="B162" s="3" t="s">
        <v>165</v>
      </c>
      <c r="C162" s="3" t="s">
        <v>166</v>
      </c>
      <c r="D162" s="25">
        <v>2199</v>
      </c>
      <c r="E162" s="129"/>
      <c r="W162" t="s">
        <v>1279</v>
      </c>
    </row>
    <row r="163" spans="2:23">
      <c r="B163" s="3" t="s">
        <v>93</v>
      </c>
      <c r="C163" s="3" t="s">
        <v>163</v>
      </c>
      <c r="D163" s="25">
        <v>2159</v>
      </c>
      <c r="E163" s="129"/>
      <c r="W163" s="144" t="s">
        <v>1378</v>
      </c>
    </row>
    <row r="164" spans="2:23">
      <c r="B164" s="3" t="s">
        <v>112</v>
      </c>
      <c r="C164" s="3" t="s">
        <v>25</v>
      </c>
      <c r="D164" s="29">
        <v>2099</v>
      </c>
      <c r="E164" s="129"/>
      <c r="W164" t="s">
        <v>1280</v>
      </c>
    </row>
    <row r="165" spans="2:23">
      <c r="B165" s="2" t="s">
        <v>83</v>
      </c>
      <c r="C165" s="3" t="s">
        <v>23</v>
      </c>
      <c r="D165" s="29">
        <v>1999</v>
      </c>
      <c r="E165" s="129"/>
      <c r="W165" s="144" t="s">
        <v>1376</v>
      </c>
    </row>
    <row r="166" spans="2:23">
      <c r="B166" s="6" t="s">
        <v>93</v>
      </c>
      <c r="C166" s="6" t="s">
        <v>96</v>
      </c>
      <c r="D166" s="25">
        <v>1999</v>
      </c>
      <c r="E166" s="129"/>
      <c r="W166" s="144" t="s">
        <v>1377</v>
      </c>
    </row>
    <row r="167" spans="2:23">
      <c r="B167" s="3" t="s">
        <v>91</v>
      </c>
      <c r="C167" s="3" t="s">
        <v>100</v>
      </c>
      <c r="D167" s="29">
        <v>1999</v>
      </c>
      <c r="E167" s="129"/>
      <c r="W167" t="s">
        <v>1161</v>
      </c>
    </row>
    <row r="168" spans="2:23">
      <c r="B168" s="7" t="s">
        <v>83</v>
      </c>
      <c r="C168" s="7" t="s">
        <v>24</v>
      </c>
      <c r="D168" s="25">
        <v>1999</v>
      </c>
      <c r="E168" s="129"/>
      <c r="W168" t="s">
        <v>1162</v>
      </c>
    </row>
    <row r="169" spans="2:23">
      <c r="B169" s="3" t="s">
        <v>83</v>
      </c>
      <c r="C169" s="3" t="s">
        <v>137</v>
      </c>
      <c r="D169" s="29">
        <v>1999</v>
      </c>
      <c r="E169" s="129"/>
      <c r="W169" t="s">
        <v>1164</v>
      </c>
    </row>
    <row r="170" spans="2:23">
      <c r="B170" s="3" t="s">
        <v>219</v>
      </c>
      <c r="C170" s="3" t="s">
        <v>220</v>
      </c>
      <c r="D170" s="29">
        <v>1999</v>
      </c>
      <c r="E170" s="129"/>
      <c r="W170" t="s">
        <v>1163</v>
      </c>
    </row>
    <row r="171" spans="2:23">
      <c r="B171" s="3" t="s">
        <v>91</v>
      </c>
      <c r="C171" s="3" t="s">
        <v>209</v>
      </c>
      <c r="D171" s="29">
        <v>1899</v>
      </c>
      <c r="E171" s="129"/>
      <c r="W171" t="s">
        <v>1059</v>
      </c>
    </row>
    <row r="172" spans="2:23">
      <c r="B172" s="3" t="s">
        <v>127</v>
      </c>
      <c r="C172" s="3" t="s">
        <v>157</v>
      </c>
      <c r="D172" s="29">
        <v>1849</v>
      </c>
      <c r="E172" s="129"/>
      <c r="W172" t="s">
        <v>1060</v>
      </c>
    </row>
    <row r="173" spans="2:23">
      <c r="B173" s="3" t="s">
        <v>97</v>
      </c>
      <c r="C173" s="3" t="s">
        <v>115</v>
      </c>
      <c r="D173" s="29">
        <v>1799</v>
      </c>
      <c r="E173" s="129"/>
      <c r="W173" t="s">
        <v>1062</v>
      </c>
    </row>
    <row r="174" spans="2:23">
      <c r="B174" s="3" t="s">
        <v>83</v>
      </c>
      <c r="C174" s="3" t="s">
        <v>136</v>
      </c>
      <c r="D174" s="29">
        <v>1799</v>
      </c>
      <c r="E174" s="129"/>
      <c r="W174" t="s">
        <v>1061</v>
      </c>
    </row>
    <row r="175" spans="2:23">
      <c r="B175" s="3" t="s">
        <v>97</v>
      </c>
      <c r="C175" s="3" t="s">
        <v>26</v>
      </c>
      <c r="D175" s="29">
        <v>1779</v>
      </c>
      <c r="E175" s="129"/>
      <c r="W175" t="s">
        <v>313</v>
      </c>
    </row>
    <row r="176" spans="2:23">
      <c r="B176" s="3" t="s">
        <v>91</v>
      </c>
      <c r="C176" s="38">
        <v>5010</v>
      </c>
      <c r="D176" s="29">
        <v>1699</v>
      </c>
      <c r="E176" s="129"/>
      <c r="W176" t="s">
        <v>314</v>
      </c>
    </row>
    <row r="177" spans="2:23">
      <c r="B177" s="2" t="s">
        <v>83</v>
      </c>
      <c r="C177" s="2" t="s">
        <v>4</v>
      </c>
      <c r="D177" s="29">
        <v>1699</v>
      </c>
      <c r="E177" s="129"/>
      <c r="W177" t="s">
        <v>533</v>
      </c>
    </row>
    <row r="178" spans="2:23">
      <c r="B178" s="18" t="s">
        <v>215</v>
      </c>
      <c r="C178" s="18" t="s">
        <v>217</v>
      </c>
      <c r="D178" s="40">
        <v>1699</v>
      </c>
      <c r="E178" s="129"/>
      <c r="W178" t="s">
        <v>519</v>
      </c>
    </row>
    <row r="179" spans="2:23">
      <c r="B179" s="18" t="s">
        <v>165</v>
      </c>
      <c r="C179" s="18" t="s">
        <v>183</v>
      </c>
      <c r="D179" s="40">
        <v>1499</v>
      </c>
      <c r="E179" s="129"/>
      <c r="W179" t="s">
        <v>505</v>
      </c>
    </row>
    <row r="180" spans="2:23">
      <c r="B180" s="18" t="s">
        <v>93</v>
      </c>
      <c r="C180" s="18" t="s">
        <v>179</v>
      </c>
      <c r="D180" s="40">
        <v>1099</v>
      </c>
      <c r="E180" s="129"/>
      <c r="W180" t="s">
        <v>523</v>
      </c>
    </row>
    <row r="181" spans="2:23">
      <c r="B181" s="18" t="s">
        <v>112</v>
      </c>
      <c r="C181" s="33" t="s">
        <v>27</v>
      </c>
      <c r="D181" s="40">
        <v>1099</v>
      </c>
      <c r="E181" s="129"/>
      <c r="W181" t="s">
        <v>507</v>
      </c>
    </row>
    <row r="182" spans="2:23">
      <c r="B182" s="18" t="s">
        <v>83</v>
      </c>
      <c r="C182" s="18" t="s">
        <v>98</v>
      </c>
      <c r="D182" s="40">
        <v>999</v>
      </c>
      <c r="E182" s="129"/>
      <c r="W182" t="s">
        <v>506</v>
      </c>
    </row>
    <row r="183" spans="2:23">
      <c r="B183" s="18" t="s">
        <v>97</v>
      </c>
      <c r="C183" s="18" t="s">
        <v>28</v>
      </c>
      <c r="D183" s="40">
        <v>999</v>
      </c>
      <c r="E183" s="129"/>
      <c r="W183" t="s">
        <v>1074</v>
      </c>
    </row>
    <row r="184" spans="2:23">
      <c r="B184" s="18" t="s">
        <v>91</v>
      </c>
      <c r="C184" s="18" t="s">
        <v>99</v>
      </c>
      <c r="D184" s="40">
        <v>999</v>
      </c>
      <c r="E184" s="129"/>
      <c r="W184" t="s">
        <v>1075</v>
      </c>
    </row>
    <row r="185" spans="2:23">
      <c r="B185" s="18" t="s">
        <v>91</v>
      </c>
      <c r="C185" s="43">
        <v>2038</v>
      </c>
      <c r="D185" s="40">
        <v>799</v>
      </c>
      <c r="E185" s="129"/>
      <c r="W185" t="s">
        <v>251</v>
      </c>
    </row>
    <row r="186" spans="2:23">
      <c r="B186" s="18" t="s">
        <v>186</v>
      </c>
      <c r="C186" s="18" t="s">
        <v>185</v>
      </c>
      <c r="D186" s="40">
        <v>749</v>
      </c>
      <c r="E186" s="129"/>
      <c r="W186" t="s">
        <v>1386</v>
      </c>
    </row>
    <row r="187" spans="2:23">
      <c r="B187" s="33" t="s">
        <v>83</v>
      </c>
      <c r="C187" s="33" t="s">
        <v>62</v>
      </c>
      <c r="D187" s="40">
        <v>599</v>
      </c>
      <c r="E187" s="129"/>
    </row>
    <row r="188" spans="2:23">
      <c r="B188" s="33" t="s">
        <v>83</v>
      </c>
      <c r="C188" s="33" t="s">
        <v>63</v>
      </c>
      <c r="D188" s="40">
        <v>499</v>
      </c>
      <c r="E188" s="129"/>
    </row>
    <row r="189" spans="2:23">
      <c r="B189" s="33" t="s">
        <v>83</v>
      </c>
      <c r="C189" s="33" t="s">
        <v>64</v>
      </c>
      <c r="D189" s="40">
        <v>499</v>
      </c>
      <c r="E189" s="129"/>
    </row>
    <row r="190" spans="2:23">
      <c r="B190" s="33" t="s">
        <v>83</v>
      </c>
      <c r="C190" s="33" t="s">
        <v>65</v>
      </c>
      <c r="D190" s="40">
        <v>499</v>
      </c>
      <c r="E190" s="129"/>
    </row>
    <row r="191" spans="2:23">
      <c r="B191" s="33" t="s">
        <v>83</v>
      </c>
      <c r="C191" s="33" t="s">
        <v>66</v>
      </c>
      <c r="D191" s="40">
        <v>499</v>
      </c>
      <c r="E191" s="129"/>
    </row>
    <row r="192" spans="2:23">
      <c r="B192" s="18" t="s">
        <v>93</v>
      </c>
      <c r="C192" s="18" t="s">
        <v>221</v>
      </c>
      <c r="D192" s="40">
        <v>3599</v>
      </c>
      <c r="E192" s="129"/>
    </row>
    <row r="193" spans="2:5">
      <c r="B193" s="18" t="s">
        <v>83</v>
      </c>
      <c r="C193" s="18" t="s">
        <v>222</v>
      </c>
      <c r="D193" s="40">
        <v>14000</v>
      </c>
      <c r="E193" s="129"/>
    </row>
    <row r="194" spans="2:5">
      <c r="B194" s="18" t="s">
        <v>83</v>
      </c>
      <c r="C194" s="18" t="s">
        <v>223</v>
      </c>
      <c r="D194" s="40">
        <v>7199</v>
      </c>
      <c r="E194" s="129"/>
    </row>
    <row r="195" spans="2:5">
      <c r="B195" s="18" t="s">
        <v>73</v>
      </c>
      <c r="C195" s="18" t="s">
        <v>224</v>
      </c>
      <c r="D195" s="40">
        <v>12999</v>
      </c>
      <c r="E195" s="129"/>
    </row>
    <row r="196" spans="2:5">
      <c r="B196" s="20" t="s">
        <v>73</v>
      </c>
      <c r="C196" s="20" t="s">
        <v>225</v>
      </c>
      <c r="D196" s="47">
        <v>10999</v>
      </c>
      <c r="E196" s="129"/>
    </row>
    <row r="197" spans="2:5">
      <c r="B197" s="20" t="s">
        <v>91</v>
      </c>
      <c r="C197" s="20" t="s">
        <v>226</v>
      </c>
      <c r="D197" s="47">
        <v>2799</v>
      </c>
      <c r="E197" s="129"/>
    </row>
    <row r="198" spans="2:5">
      <c r="B198" s="18" t="s">
        <v>165</v>
      </c>
      <c r="C198" s="18" t="s">
        <v>227</v>
      </c>
      <c r="D198" s="48">
        <v>4159</v>
      </c>
    </row>
    <row r="199" spans="2:5">
      <c r="B199" s="18" t="s">
        <v>73</v>
      </c>
      <c r="C199" s="18" t="s">
        <v>228</v>
      </c>
      <c r="D199" s="48">
        <v>18169</v>
      </c>
    </row>
    <row r="200" spans="2:5">
      <c r="B200" s="18" t="s">
        <v>73</v>
      </c>
      <c r="C200" s="18" t="s">
        <v>229</v>
      </c>
      <c r="D200" s="48">
        <v>20999</v>
      </c>
    </row>
    <row r="201" spans="2:5">
      <c r="B201" s="33" t="s">
        <v>83</v>
      </c>
      <c r="C201" s="18" t="s">
        <v>231</v>
      </c>
      <c r="D201" s="40">
        <v>5499</v>
      </c>
      <c r="E201" s="129"/>
    </row>
    <row r="202" spans="2:5">
      <c r="B202" s="33" t="s">
        <v>83</v>
      </c>
      <c r="C202" s="18" t="s">
        <v>230</v>
      </c>
      <c r="D202" s="40">
        <v>16999</v>
      </c>
      <c r="E202" s="129"/>
    </row>
    <row r="203" spans="2:5">
      <c r="B203" s="33" t="s">
        <v>83</v>
      </c>
      <c r="C203" s="18" t="s">
        <v>232</v>
      </c>
      <c r="D203" s="40">
        <v>4299</v>
      </c>
      <c r="E203" s="129"/>
    </row>
    <row r="204" spans="2:5">
      <c r="B204" s="33" t="s">
        <v>83</v>
      </c>
      <c r="C204" s="18" t="s">
        <v>233</v>
      </c>
      <c r="D204" s="40">
        <v>13799</v>
      </c>
      <c r="E204" s="129"/>
    </row>
    <row r="205" spans="2:5">
      <c r="B205" s="33" t="s">
        <v>74</v>
      </c>
      <c r="C205" s="18" t="s">
        <v>234</v>
      </c>
      <c r="D205" s="40">
        <v>7299</v>
      </c>
      <c r="E205" s="129"/>
    </row>
    <row r="206" spans="2:5">
      <c r="B206" s="33" t="s">
        <v>83</v>
      </c>
      <c r="C206" s="18" t="s">
        <v>235</v>
      </c>
      <c r="D206" s="48">
        <v>6499</v>
      </c>
    </row>
    <row r="207" spans="2:5">
      <c r="B207" s="33" t="s">
        <v>74</v>
      </c>
      <c r="C207" s="18" t="s">
        <v>236</v>
      </c>
      <c r="D207" s="40">
        <v>4999</v>
      </c>
      <c r="E207" s="129"/>
    </row>
    <row r="208" spans="2:5">
      <c r="B208" s="33" t="s">
        <v>74</v>
      </c>
      <c r="C208" s="18" t="s">
        <v>237</v>
      </c>
      <c r="D208" s="40">
        <v>3699</v>
      </c>
      <c r="E208" s="129"/>
    </row>
    <row r="209" spans="2:5">
      <c r="B209" s="33" t="s">
        <v>74</v>
      </c>
      <c r="C209" s="18" t="s">
        <v>238</v>
      </c>
      <c r="D209" s="40">
        <v>11499</v>
      </c>
      <c r="E209" s="129"/>
    </row>
    <row r="210" spans="2:5">
      <c r="B210" s="18" t="s">
        <v>73</v>
      </c>
      <c r="C210" s="18" t="s">
        <v>239</v>
      </c>
      <c r="D210" s="40">
        <v>4299</v>
      </c>
      <c r="E210" s="129"/>
    </row>
    <row r="211" spans="2:5">
      <c r="B211" s="18" t="s">
        <v>73</v>
      </c>
      <c r="C211" s="18" t="s">
        <v>240</v>
      </c>
      <c r="D211" s="40">
        <v>5499</v>
      </c>
      <c r="E211" s="129"/>
    </row>
    <row r="212" spans="2:5">
      <c r="B212" s="18" t="s">
        <v>73</v>
      </c>
      <c r="C212" s="18" t="s">
        <v>241</v>
      </c>
      <c r="D212" s="40">
        <v>7999</v>
      </c>
      <c r="E212" s="129"/>
    </row>
    <row r="213" spans="2:5">
      <c r="B213" s="18" t="s">
        <v>73</v>
      </c>
      <c r="C213" s="18" t="s">
        <v>242</v>
      </c>
      <c r="D213" s="40">
        <v>22399</v>
      </c>
      <c r="E213" s="129"/>
    </row>
    <row r="214" spans="2:5">
      <c r="B214" s="18" t="s">
        <v>83</v>
      </c>
      <c r="C214" s="18" t="s">
        <v>243</v>
      </c>
      <c r="D214" s="40">
        <v>2100</v>
      </c>
      <c r="E214" s="129"/>
    </row>
    <row r="215" spans="2:5">
      <c r="B215" s="49" t="s">
        <v>67</v>
      </c>
      <c r="C215" s="49" t="s">
        <v>246</v>
      </c>
      <c r="D215" s="50">
        <v>11299</v>
      </c>
      <c r="E215" s="139"/>
    </row>
    <row r="216" spans="2:5">
      <c r="B216" s="49" t="s">
        <v>67</v>
      </c>
      <c r="C216" s="49" t="s">
        <v>247</v>
      </c>
      <c r="D216" s="50">
        <v>13799</v>
      </c>
      <c r="E216" s="139"/>
    </row>
    <row r="217" spans="2:5">
      <c r="B217" s="49" t="s">
        <v>67</v>
      </c>
      <c r="C217" s="49" t="s">
        <v>248</v>
      </c>
      <c r="D217" s="50">
        <v>22299</v>
      </c>
      <c r="E217" s="139"/>
    </row>
    <row r="218" spans="2:5">
      <c r="B218" s="49" t="s">
        <v>67</v>
      </c>
      <c r="C218" s="49" t="s">
        <v>249</v>
      </c>
      <c r="D218" s="50">
        <v>25799</v>
      </c>
      <c r="E218" s="139"/>
    </row>
    <row r="219" spans="2:5">
      <c r="B219" s="49" t="s">
        <v>67</v>
      </c>
      <c r="C219" s="49" t="s">
        <v>244</v>
      </c>
      <c r="D219" s="50">
        <v>8999</v>
      </c>
      <c r="E219" s="139"/>
    </row>
    <row r="220" spans="2:5">
      <c r="B220" s="49" t="s">
        <v>67</v>
      </c>
      <c r="C220" s="49" t="s">
        <v>245</v>
      </c>
      <c r="D220" s="50">
        <v>9699</v>
      </c>
      <c r="E220" s="139"/>
    </row>
    <row r="221" spans="2:5">
      <c r="B221" s="49" t="s">
        <v>73</v>
      </c>
      <c r="C221" s="49" t="s">
        <v>250</v>
      </c>
      <c r="D221" s="50">
        <v>6499</v>
      </c>
      <c r="E221" s="139"/>
    </row>
    <row r="222" spans="2:5">
      <c r="B222" s="49" t="s">
        <v>73</v>
      </c>
      <c r="C222" s="49" t="s">
        <v>251</v>
      </c>
      <c r="D222" s="50">
        <v>6900</v>
      </c>
      <c r="E222" s="139"/>
    </row>
    <row r="223" spans="2:5">
      <c r="B223" s="49" t="s">
        <v>74</v>
      </c>
      <c r="C223" s="49" t="s">
        <v>257</v>
      </c>
      <c r="D223" s="50">
        <v>3000</v>
      </c>
      <c r="E223" s="139"/>
    </row>
    <row r="224" spans="2:5">
      <c r="B224" s="49" t="s">
        <v>253</v>
      </c>
      <c r="C224" s="49" t="s">
        <v>254</v>
      </c>
      <c r="D224" s="50">
        <v>2699</v>
      </c>
      <c r="E224" s="139"/>
    </row>
    <row r="225" spans="2:5">
      <c r="B225" s="49" t="s">
        <v>83</v>
      </c>
      <c r="C225" s="49" t="s">
        <v>255</v>
      </c>
      <c r="D225" s="50">
        <v>4800</v>
      </c>
      <c r="E225" s="139"/>
    </row>
    <row r="226" spans="2:5">
      <c r="B226" s="49" t="s">
        <v>83</v>
      </c>
      <c r="C226" s="49" t="s">
        <v>256</v>
      </c>
      <c r="D226" s="50">
        <v>10999</v>
      </c>
      <c r="E226" s="139"/>
    </row>
    <row r="227" spans="2:5">
      <c r="B227" s="49" t="s">
        <v>74</v>
      </c>
      <c r="C227" s="49" t="s">
        <v>258</v>
      </c>
      <c r="D227" s="50">
        <v>3000</v>
      </c>
      <c r="E227" s="139"/>
    </row>
    <row r="228" spans="2:5">
      <c r="B228" s="49" t="s">
        <v>73</v>
      </c>
      <c r="C228" s="49" t="s">
        <v>252</v>
      </c>
      <c r="D228" s="50">
        <v>24999</v>
      </c>
      <c r="E228" s="139"/>
    </row>
    <row r="229" spans="2:5">
      <c r="B229" s="49" t="s">
        <v>67</v>
      </c>
      <c r="C229" s="49" t="s">
        <v>259</v>
      </c>
      <c r="D229" s="50">
        <v>24499</v>
      </c>
      <c r="E229" s="139"/>
    </row>
    <row r="230" spans="2:5">
      <c r="B230" s="49" t="s">
        <v>67</v>
      </c>
      <c r="C230" s="49" t="s">
        <v>260</v>
      </c>
      <c r="D230" s="50">
        <v>28199</v>
      </c>
      <c r="E230" s="139"/>
    </row>
    <row r="231" spans="2:5">
      <c r="B231" s="49" t="s">
        <v>67</v>
      </c>
      <c r="C231" s="49" t="s">
        <v>261</v>
      </c>
      <c r="D231" s="50">
        <v>32999</v>
      </c>
      <c r="E231" s="139"/>
    </row>
    <row r="232" spans="2:5">
      <c r="B232" s="49" t="s">
        <v>67</v>
      </c>
      <c r="C232" s="49" t="s">
        <v>262</v>
      </c>
      <c r="D232" s="50">
        <v>26999</v>
      </c>
      <c r="E232" s="139"/>
    </row>
    <row r="233" spans="2:5">
      <c r="B233" s="49" t="s">
        <v>67</v>
      </c>
      <c r="C233" s="49" t="s">
        <v>263</v>
      </c>
      <c r="D233" s="50">
        <v>30699</v>
      </c>
      <c r="E233" s="139"/>
    </row>
    <row r="234" spans="2:5">
      <c r="B234" s="49" t="s">
        <v>67</v>
      </c>
      <c r="C234" s="49" t="s">
        <v>264</v>
      </c>
      <c r="D234" s="50">
        <v>35499</v>
      </c>
      <c r="E234" s="139"/>
    </row>
    <row r="235" spans="2:5">
      <c r="B235" s="49" t="s">
        <v>74</v>
      </c>
      <c r="C235" s="49" t="s">
        <v>265</v>
      </c>
      <c r="D235" s="50">
        <v>7999</v>
      </c>
      <c r="E235" s="139"/>
    </row>
    <row r="236" spans="2:5">
      <c r="B236" s="49" t="s">
        <v>83</v>
      </c>
      <c r="C236" s="49" t="s">
        <v>266</v>
      </c>
      <c r="D236" s="50">
        <v>7199</v>
      </c>
      <c r="E236" s="139"/>
    </row>
    <row r="237" spans="2:5">
      <c r="B237" s="49" t="s">
        <v>73</v>
      </c>
      <c r="C237" s="49" t="s">
        <v>267</v>
      </c>
      <c r="D237" s="50">
        <v>5299</v>
      </c>
      <c r="E237" s="139"/>
    </row>
    <row r="238" spans="2:5">
      <c r="B238" s="49" t="s">
        <v>67</v>
      </c>
      <c r="C238" s="49" t="s">
        <v>268</v>
      </c>
      <c r="D238" s="50">
        <v>22199</v>
      </c>
      <c r="E238" s="139"/>
    </row>
    <row r="239" spans="2:5">
      <c r="B239" s="49" t="s">
        <v>67</v>
      </c>
      <c r="C239" s="49" t="s">
        <v>269</v>
      </c>
      <c r="D239" s="50">
        <v>19699</v>
      </c>
      <c r="E239" s="139"/>
    </row>
    <row r="240" spans="2:5">
      <c r="B240" s="49" t="s">
        <v>67</v>
      </c>
      <c r="C240" s="49" t="s">
        <v>270</v>
      </c>
      <c r="D240" s="50">
        <v>18499</v>
      </c>
      <c r="E240" s="139"/>
    </row>
    <row r="241" spans="2:5">
      <c r="B241" s="49" t="s">
        <v>253</v>
      </c>
      <c r="C241" s="49" t="s">
        <v>272</v>
      </c>
      <c r="D241" s="50">
        <v>15999</v>
      </c>
      <c r="E241" s="139"/>
    </row>
    <row r="242" spans="2:5">
      <c r="B242" s="49" t="s">
        <v>271</v>
      </c>
      <c r="C242" s="49" t="s">
        <v>273</v>
      </c>
      <c r="D242" s="50">
        <v>1899</v>
      </c>
      <c r="E242" s="139"/>
    </row>
    <row r="243" spans="2:5">
      <c r="B243" s="49" t="s">
        <v>73</v>
      </c>
      <c r="C243" s="49" t="s">
        <v>274</v>
      </c>
      <c r="D243" s="50">
        <v>4699</v>
      </c>
      <c r="E243" s="139"/>
    </row>
    <row r="244" spans="2:5">
      <c r="B244" s="49" t="s">
        <v>73</v>
      </c>
      <c r="C244" s="49" t="s">
        <v>275</v>
      </c>
      <c r="D244" s="50">
        <v>7999</v>
      </c>
      <c r="E244" s="139"/>
    </row>
    <row r="245" spans="2:5">
      <c r="B245" s="49" t="s">
        <v>271</v>
      </c>
      <c r="C245" s="49" t="s">
        <v>276</v>
      </c>
      <c r="D245" s="48">
        <v>2799</v>
      </c>
    </row>
    <row r="246" spans="2:5">
      <c r="B246" s="49" t="s">
        <v>253</v>
      </c>
      <c r="C246" s="49" t="s">
        <v>277</v>
      </c>
      <c r="D246" s="48">
        <v>5999</v>
      </c>
    </row>
    <row r="247" spans="2:5">
      <c r="B247" s="49" t="s">
        <v>253</v>
      </c>
      <c r="C247" s="49" t="s">
        <v>278</v>
      </c>
      <c r="D247" s="48">
        <v>20999</v>
      </c>
    </row>
    <row r="248" spans="2:5">
      <c r="B248" s="49" t="s">
        <v>73</v>
      </c>
      <c r="C248" s="49" t="s">
        <v>279</v>
      </c>
      <c r="D248" s="48">
        <v>3329</v>
      </c>
    </row>
    <row r="249" spans="2:5">
      <c r="B249" s="49" t="s">
        <v>74</v>
      </c>
      <c r="C249" s="49" t="s">
        <v>280</v>
      </c>
      <c r="D249" s="48">
        <v>5599</v>
      </c>
    </row>
    <row r="250" spans="2:5">
      <c r="B250" s="49" t="s">
        <v>74</v>
      </c>
      <c r="C250" s="49" t="s">
        <v>281</v>
      </c>
      <c r="D250" s="48">
        <v>7599</v>
      </c>
    </row>
    <row r="251" spans="2:5">
      <c r="B251" s="49" t="s">
        <v>83</v>
      </c>
      <c r="C251" s="49" t="s">
        <v>282</v>
      </c>
      <c r="D251" s="50">
        <v>4799</v>
      </c>
      <c r="E251" s="139"/>
    </row>
    <row r="252" spans="2:5">
      <c r="B252" s="49" t="s">
        <v>283</v>
      </c>
      <c r="C252" s="49" t="s">
        <v>284</v>
      </c>
      <c r="D252" s="48">
        <v>2499</v>
      </c>
    </row>
    <row r="253" spans="2:5">
      <c r="B253" s="49" t="s">
        <v>73</v>
      </c>
      <c r="C253" s="49" t="s">
        <v>285</v>
      </c>
      <c r="D253" s="48">
        <v>15999</v>
      </c>
    </row>
    <row r="254" spans="2:5">
      <c r="B254" s="49" t="s">
        <v>73</v>
      </c>
      <c r="C254" s="49" t="s">
        <v>286</v>
      </c>
      <c r="D254" s="48">
        <v>21499</v>
      </c>
    </row>
    <row r="255" spans="2:5">
      <c r="B255" s="49" t="s">
        <v>73</v>
      </c>
      <c r="C255" s="49" t="s">
        <v>287</v>
      </c>
      <c r="D255" s="48">
        <v>23999</v>
      </c>
    </row>
    <row r="256" spans="2:5">
      <c r="B256" s="49" t="s">
        <v>73</v>
      </c>
      <c r="C256" s="49" t="s">
        <v>288</v>
      </c>
      <c r="D256" s="48">
        <v>29999</v>
      </c>
    </row>
    <row r="257" spans="2:6">
      <c r="B257" s="49" t="s">
        <v>73</v>
      </c>
      <c r="C257" s="49" t="s">
        <v>289</v>
      </c>
      <c r="D257" s="48">
        <v>5499</v>
      </c>
    </row>
    <row r="258" spans="2:6">
      <c r="B258" s="49" t="s">
        <v>73</v>
      </c>
      <c r="C258" s="49" t="s">
        <v>290</v>
      </c>
      <c r="D258" s="48">
        <v>7999</v>
      </c>
    </row>
    <row r="259" spans="2:6">
      <c r="B259" s="49" t="s">
        <v>283</v>
      </c>
      <c r="C259" s="49" t="s">
        <v>291</v>
      </c>
      <c r="D259" s="48">
        <v>3999</v>
      </c>
    </row>
    <row r="260" spans="2:6">
      <c r="B260" s="49" t="s">
        <v>283</v>
      </c>
      <c r="C260" s="49" t="s">
        <v>292</v>
      </c>
      <c r="D260" s="48">
        <v>1599</v>
      </c>
    </row>
    <row r="261" spans="2:6">
      <c r="B261" s="49" t="s">
        <v>283</v>
      </c>
      <c r="C261" s="49" t="s">
        <v>293</v>
      </c>
      <c r="D261" s="48">
        <v>1199</v>
      </c>
    </row>
    <row r="262" spans="2:6">
      <c r="B262" s="49" t="s">
        <v>253</v>
      </c>
      <c r="C262" s="49" t="s">
        <v>294</v>
      </c>
      <c r="D262" s="48">
        <v>15949</v>
      </c>
    </row>
    <row r="263" spans="2:6">
      <c r="B263" s="49" t="s">
        <v>253</v>
      </c>
      <c r="C263" s="49" t="s">
        <v>295</v>
      </c>
      <c r="D263" s="48">
        <v>6599</v>
      </c>
    </row>
    <row r="264" spans="2:6">
      <c r="B264" s="49" t="s">
        <v>253</v>
      </c>
      <c r="C264" s="49" t="s">
        <v>296</v>
      </c>
      <c r="D264" s="48">
        <v>22499</v>
      </c>
    </row>
    <row r="265" spans="2:6">
      <c r="B265" s="49" t="s">
        <v>73</v>
      </c>
      <c r="C265" s="49" t="s">
        <v>297</v>
      </c>
      <c r="D265" s="48">
        <v>3499</v>
      </c>
    </row>
    <row r="266" spans="2:6">
      <c r="B266" s="49" t="s">
        <v>73</v>
      </c>
      <c r="C266" s="49" t="s">
        <v>298</v>
      </c>
      <c r="D266" s="48">
        <v>4499</v>
      </c>
    </row>
    <row r="267" spans="2:6">
      <c r="B267" s="49" t="s">
        <v>299</v>
      </c>
      <c r="C267" s="49" t="s">
        <v>300</v>
      </c>
      <c r="D267" s="48">
        <v>1999</v>
      </c>
    </row>
    <row r="268" spans="2:6">
      <c r="B268" s="49" t="s">
        <v>299</v>
      </c>
      <c r="C268" s="49" t="s">
        <v>580</v>
      </c>
      <c r="D268" s="48">
        <v>1999</v>
      </c>
      <c r="E268" s="140"/>
      <c r="F268" s="49" t="s">
        <v>301</v>
      </c>
    </row>
    <row r="269" spans="2:6">
      <c r="B269" s="49" t="s">
        <v>74</v>
      </c>
      <c r="C269" s="49" t="s">
        <v>302</v>
      </c>
      <c r="D269" s="48">
        <v>9999</v>
      </c>
    </row>
    <row r="270" spans="2:6">
      <c r="B270" s="49" t="s">
        <v>303</v>
      </c>
      <c r="C270" s="49" t="s">
        <v>304</v>
      </c>
      <c r="D270" s="48">
        <v>9999</v>
      </c>
    </row>
    <row r="271" spans="2:6">
      <c r="B271" s="49" t="s">
        <v>74</v>
      </c>
      <c r="C271" s="49" t="s">
        <v>305</v>
      </c>
      <c r="D271" s="48">
        <v>3999</v>
      </c>
    </row>
    <row r="272" spans="2:6">
      <c r="B272" s="49" t="s">
        <v>83</v>
      </c>
      <c r="C272" s="49" t="s">
        <v>306</v>
      </c>
      <c r="D272" s="48">
        <v>2199</v>
      </c>
    </row>
    <row r="273" spans="2:7">
      <c r="B273" s="49" t="s">
        <v>73</v>
      </c>
      <c r="C273" s="49" t="s">
        <v>307</v>
      </c>
      <c r="D273" s="48">
        <v>16999</v>
      </c>
    </row>
    <row r="274" spans="2:7">
      <c r="B274" s="49" t="s">
        <v>165</v>
      </c>
      <c r="C274" s="49" t="s">
        <v>308</v>
      </c>
      <c r="D274" s="48">
        <v>2999</v>
      </c>
    </row>
    <row r="275" spans="2:7">
      <c r="B275" s="49" t="s">
        <v>165</v>
      </c>
      <c r="C275" s="49" t="s">
        <v>309</v>
      </c>
      <c r="D275" s="48">
        <v>3499</v>
      </c>
    </row>
    <row r="276" spans="2:7">
      <c r="B276" s="49" t="s">
        <v>165</v>
      </c>
      <c r="C276" s="49" t="s">
        <v>310</v>
      </c>
      <c r="D276" s="48">
        <v>5999</v>
      </c>
    </row>
    <row r="277" spans="2:7">
      <c r="B277" s="49" t="s">
        <v>303</v>
      </c>
      <c r="C277" s="49" t="s">
        <v>311</v>
      </c>
      <c r="D277" s="48">
        <v>7499</v>
      </c>
    </row>
    <row r="278" spans="2:7">
      <c r="B278" s="49" t="s">
        <v>74</v>
      </c>
      <c r="C278" s="49" t="s">
        <v>312</v>
      </c>
      <c r="D278" s="48">
        <v>10999</v>
      </c>
    </row>
    <row r="279" spans="2:7">
      <c r="B279" s="49" t="s">
        <v>73</v>
      </c>
      <c r="C279" s="51" t="s">
        <v>313</v>
      </c>
      <c r="D279" s="48">
        <v>22999</v>
      </c>
    </row>
    <row r="280" spans="2:7">
      <c r="B280" s="49" t="s">
        <v>73</v>
      </c>
      <c r="C280" s="51" t="s">
        <v>314</v>
      </c>
      <c r="D280" s="48">
        <v>27999</v>
      </c>
    </row>
    <row r="281" spans="2:7">
      <c r="B281" s="49" t="s">
        <v>74</v>
      </c>
      <c r="C281" s="49" t="s">
        <v>315</v>
      </c>
      <c r="D281" s="48">
        <v>3699</v>
      </c>
    </row>
    <row r="282" spans="2:7">
      <c r="B282" s="49" t="s">
        <v>67</v>
      </c>
      <c r="C282" s="49" t="s">
        <v>316</v>
      </c>
      <c r="D282" s="48">
        <v>12999</v>
      </c>
      <c r="F282" s="66">
        <v>44827</v>
      </c>
      <c r="G282" t="s">
        <v>559</v>
      </c>
    </row>
    <row r="283" spans="2:7">
      <c r="B283" s="49" t="s">
        <v>67</v>
      </c>
      <c r="C283" s="49" t="s">
        <v>317</v>
      </c>
      <c r="D283" s="48">
        <v>18499</v>
      </c>
    </row>
    <row r="284" spans="2:7">
      <c r="B284" s="49" t="s">
        <v>67</v>
      </c>
      <c r="C284" s="49" t="s">
        <v>318</v>
      </c>
      <c r="D284" s="48">
        <v>20999</v>
      </c>
    </row>
    <row r="285" spans="2:7">
      <c r="B285" s="49" t="s">
        <v>67</v>
      </c>
      <c r="C285" s="49" t="s">
        <v>319</v>
      </c>
      <c r="D285" s="48">
        <v>27360</v>
      </c>
      <c r="F285" s="66">
        <v>44827</v>
      </c>
      <c r="G285" t="s">
        <v>559</v>
      </c>
    </row>
    <row r="286" spans="2:7">
      <c r="B286" s="49" t="s">
        <v>67</v>
      </c>
      <c r="C286" s="49" t="s">
        <v>320</v>
      </c>
      <c r="D286" s="48">
        <v>28499</v>
      </c>
      <c r="F286" s="66">
        <v>44827</v>
      </c>
      <c r="G286" t="s">
        <v>559</v>
      </c>
    </row>
    <row r="287" spans="2:7">
      <c r="B287" s="49" t="s">
        <v>67</v>
      </c>
      <c r="C287" s="49" t="s">
        <v>321</v>
      </c>
      <c r="D287" s="48">
        <v>33499</v>
      </c>
    </row>
    <row r="288" spans="2:7">
      <c r="B288" s="49" t="s">
        <v>67</v>
      </c>
      <c r="C288" s="49" t="s">
        <v>322</v>
      </c>
      <c r="D288" s="48">
        <v>27499</v>
      </c>
    </row>
    <row r="289" spans="2:36">
      <c r="B289" s="49" t="s">
        <v>67</v>
      </c>
      <c r="C289" s="49" t="s">
        <v>323</v>
      </c>
      <c r="D289" s="48">
        <v>30999</v>
      </c>
    </row>
    <row r="290" spans="2:36">
      <c r="B290" s="49" t="s">
        <v>67</v>
      </c>
      <c r="C290" s="49" t="s">
        <v>324</v>
      </c>
      <c r="D290" s="48">
        <v>35999</v>
      </c>
    </row>
    <row r="291" spans="2:36">
      <c r="B291" s="49" t="s">
        <v>73</v>
      </c>
      <c r="C291" s="49" t="s">
        <v>325</v>
      </c>
      <c r="D291" s="48">
        <v>4139</v>
      </c>
    </row>
    <row r="292" spans="2:36">
      <c r="B292" s="49" t="s">
        <v>73</v>
      </c>
      <c r="C292" s="49" t="s">
        <v>326</v>
      </c>
      <c r="D292" s="48">
        <v>6799</v>
      </c>
      <c r="Y292" s="1"/>
      <c r="AJ292"/>
    </row>
    <row r="293" spans="2:36">
      <c r="B293" s="49" t="s">
        <v>83</v>
      </c>
      <c r="C293" s="49" t="s">
        <v>328</v>
      </c>
      <c r="D293" s="48">
        <v>9999</v>
      </c>
    </row>
    <row r="294" spans="2:36">
      <c r="B294" s="49" t="s">
        <v>74</v>
      </c>
      <c r="C294" s="49" t="s">
        <v>327</v>
      </c>
      <c r="D294" s="48">
        <v>4499</v>
      </c>
    </row>
    <row r="295" spans="2:36">
      <c r="B295" s="49" t="s">
        <v>93</v>
      </c>
      <c r="C295" s="49" t="s">
        <v>352</v>
      </c>
      <c r="D295" s="48">
        <v>2799</v>
      </c>
    </row>
    <row r="296" spans="2:36">
      <c r="B296" s="49" t="s">
        <v>73</v>
      </c>
      <c r="C296" s="49" t="s">
        <v>329</v>
      </c>
      <c r="D296" s="48">
        <v>5299</v>
      </c>
    </row>
    <row r="297" spans="2:36">
      <c r="B297" s="49" t="s">
        <v>74</v>
      </c>
      <c r="C297" s="49" t="s">
        <v>330</v>
      </c>
      <c r="D297" s="48">
        <v>6499</v>
      </c>
    </row>
    <row r="298" spans="2:36">
      <c r="B298" s="49" t="s">
        <v>331</v>
      </c>
      <c r="C298" s="49" t="s">
        <v>551</v>
      </c>
      <c r="D298" s="48">
        <v>2999</v>
      </c>
    </row>
    <row r="299" spans="2:36">
      <c r="B299" s="49" t="s">
        <v>91</v>
      </c>
      <c r="C299" s="53" t="s">
        <v>332</v>
      </c>
      <c r="D299" s="48">
        <v>3299</v>
      </c>
    </row>
    <row r="300" spans="2:36">
      <c r="B300" s="49" t="s">
        <v>74</v>
      </c>
      <c r="C300" s="53" t="s">
        <v>333</v>
      </c>
      <c r="D300" s="48">
        <v>2699</v>
      </c>
    </row>
    <row r="301" spans="2:36">
      <c r="B301" s="49" t="s">
        <v>74</v>
      </c>
      <c r="C301" s="53" t="s">
        <v>334</v>
      </c>
      <c r="D301" s="48">
        <v>8999</v>
      </c>
    </row>
    <row r="302" spans="2:36">
      <c r="B302" s="49" t="s">
        <v>83</v>
      </c>
      <c r="C302" s="54" t="s">
        <v>335</v>
      </c>
      <c r="D302" s="48">
        <v>6999</v>
      </c>
    </row>
    <row r="303" spans="2:36">
      <c r="B303" s="49" t="s">
        <v>336</v>
      </c>
      <c r="C303" s="54" t="s">
        <v>337</v>
      </c>
      <c r="D303" s="48">
        <v>8299</v>
      </c>
    </row>
    <row r="304" spans="2:36">
      <c r="B304" s="49" t="s">
        <v>338</v>
      </c>
      <c r="C304" s="54" t="s">
        <v>339</v>
      </c>
      <c r="D304" s="48">
        <v>5499</v>
      </c>
    </row>
    <row r="305" spans="2:7">
      <c r="B305" s="49" t="s">
        <v>336</v>
      </c>
      <c r="C305" s="54" t="s">
        <v>340</v>
      </c>
      <c r="D305" s="48">
        <v>13999</v>
      </c>
    </row>
    <row r="306" spans="2:7">
      <c r="B306" s="49" t="s">
        <v>341</v>
      </c>
      <c r="C306" s="54" t="s">
        <v>342</v>
      </c>
      <c r="D306" s="48">
        <v>10999</v>
      </c>
    </row>
    <row r="307" spans="2:7">
      <c r="B307" s="49" t="s">
        <v>336</v>
      </c>
      <c r="C307" s="54" t="s">
        <v>343</v>
      </c>
      <c r="D307" s="48">
        <v>2999</v>
      </c>
    </row>
    <row r="308" spans="2:7">
      <c r="B308" s="49" t="s">
        <v>347</v>
      </c>
      <c r="C308" s="54" t="s">
        <v>345</v>
      </c>
      <c r="D308" s="48">
        <v>3499</v>
      </c>
    </row>
    <row r="309" spans="2:7">
      <c r="B309" s="49" t="s">
        <v>336</v>
      </c>
      <c r="C309" s="54" t="s">
        <v>348</v>
      </c>
      <c r="D309" s="48">
        <v>19999</v>
      </c>
    </row>
    <row r="310" spans="2:7">
      <c r="B310" s="49" t="s">
        <v>341</v>
      </c>
      <c r="C310" s="54" t="s">
        <v>349</v>
      </c>
      <c r="D310" s="48">
        <v>24999</v>
      </c>
      <c r="G310" s="55"/>
    </row>
    <row r="311" spans="2:7">
      <c r="B311" s="49" t="s">
        <v>338</v>
      </c>
      <c r="C311" s="54" t="s">
        <v>350</v>
      </c>
      <c r="D311" s="48">
        <v>22999</v>
      </c>
    </row>
    <row r="312" spans="2:7">
      <c r="B312" s="49" t="s">
        <v>93</v>
      </c>
      <c r="C312" s="54" t="s">
        <v>351</v>
      </c>
      <c r="D312" s="48">
        <v>1799</v>
      </c>
    </row>
    <row r="313" spans="2:7">
      <c r="B313" s="49" t="s">
        <v>338</v>
      </c>
      <c r="C313" s="54" t="s">
        <v>353</v>
      </c>
      <c r="D313" s="48">
        <v>7999</v>
      </c>
      <c r="G313" s="55"/>
    </row>
    <row r="314" spans="2:7">
      <c r="B314" s="49" t="s">
        <v>338</v>
      </c>
      <c r="C314" s="54" t="s">
        <v>354</v>
      </c>
      <c r="D314" s="48">
        <v>3789</v>
      </c>
    </row>
    <row r="315" spans="2:7">
      <c r="B315" s="49" t="s">
        <v>355</v>
      </c>
      <c r="C315" s="54" t="s">
        <v>356</v>
      </c>
      <c r="D315" s="48">
        <v>1959</v>
      </c>
    </row>
    <row r="316" spans="2:7">
      <c r="B316" s="49" t="s">
        <v>336</v>
      </c>
      <c r="C316" s="54" t="s">
        <v>357</v>
      </c>
      <c r="D316" s="48">
        <v>29999</v>
      </c>
    </row>
    <row r="317" spans="2:7">
      <c r="B317" s="49" t="s">
        <v>358</v>
      </c>
      <c r="C317" s="54" t="s">
        <v>359</v>
      </c>
      <c r="D317" s="48">
        <v>10999</v>
      </c>
    </row>
    <row r="318" spans="2:7">
      <c r="B318" s="49" t="s">
        <v>358</v>
      </c>
      <c r="C318" s="54" t="s">
        <v>360</v>
      </c>
      <c r="D318" s="48">
        <v>11999</v>
      </c>
    </row>
    <row r="319" spans="2:7">
      <c r="B319" s="49" t="s">
        <v>358</v>
      </c>
      <c r="C319" s="54" t="s">
        <v>361</v>
      </c>
      <c r="D319" s="48">
        <v>14499</v>
      </c>
    </row>
    <row r="320" spans="2:7">
      <c r="B320" s="49" t="s">
        <v>338</v>
      </c>
      <c r="C320" s="54" t="s">
        <v>362</v>
      </c>
      <c r="D320" s="48">
        <v>24999</v>
      </c>
    </row>
    <row r="321" spans="2:4">
      <c r="B321" s="49" t="s">
        <v>363</v>
      </c>
      <c r="C321" s="54" t="s">
        <v>364</v>
      </c>
      <c r="D321" s="48">
        <v>3299</v>
      </c>
    </row>
    <row r="322" spans="2:4">
      <c r="B322" s="49" t="s">
        <v>355</v>
      </c>
      <c r="C322" s="54" t="s">
        <v>365</v>
      </c>
      <c r="D322" s="48">
        <v>1499</v>
      </c>
    </row>
    <row r="323" spans="2:4">
      <c r="B323" s="49" t="s">
        <v>93</v>
      </c>
      <c r="C323" s="54" t="s">
        <v>366</v>
      </c>
      <c r="D323" s="48">
        <v>4999</v>
      </c>
    </row>
    <row r="324" spans="2:4">
      <c r="B324" s="49" t="s">
        <v>338</v>
      </c>
      <c r="C324" s="54" t="s">
        <v>367</v>
      </c>
      <c r="D324" s="48">
        <v>7499</v>
      </c>
    </row>
    <row r="325" spans="2:4">
      <c r="B325" s="49" t="s">
        <v>363</v>
      </c>
      <c r="C325" s="54" t="s">
        <v>368</v>
      </c>
      <c r="D325" s="48">
        <v>5499</v>
      </c>
    </row>
    <row r="326" spans="2:4">
      <c r="B326" s="49" t="s">
        <v>363</v>
      </c>
      <c r="C326" s="54" t="s">
        <v>369</v>
      </c>
      <c r="D326" s="48">
        <v>3999</v>
      </c>
    </row>
    <row r="327" spans="2:4">
      <c r="B327" s="49" t="s">
        <v>338</v>
      </c>
      <c r="C327" s="54" t="s">
        <v>371</v>
      </c>
      <c r="D327" s="48">
        <v>5799</v>
      </c>
    </row>
    <row r="328" spans="2:4">
      <c r="B328" s="49" t="s">
        <v>338</v>
      </c>
      <c r="C328" s="54" t="s">
        <v>372</v>
      </c>
      <c r="D328" s="48">
        <v>17989</v>
      </c>
    </row>
    <row r="329" spans="2:4">
      <c r="B329" s="49" t="s">
        <v>338</v>
      </c>
      <c r="C329" s="54" t="s">
        <v>370</v>
      </c>
      <c r="D329" s="48">
        <v>5499</v>
      </c>
    </row>
    <row r="330" spans="2:4">
      <c r="B330" s="49" t="s">
        <v>363</v>
      </c>
      <c r="C330" s="54" t="s">
        <v>373</v>
      </c>
      <c r="D330" s="48">
        <v>15999</v>
      </c>
    </row>
    <row r="331" spans="2:4">
      <c r="B331" s="49" t="s">
        <v>336</v>
      </c>
      <c r="C331" s="54" t="s">
        <v>374</v>
      </c>
      <c r="D331" s="48">
        <v>32999</v>
      </c>
    </row>
    <row r="332" spans="2:4">
      <c r="B332" s="49" t="s">
        <v>336</v>
      </c>
      <c r="C332" s="54" t="s">
        <v>377</v>
      </c>
      <c r="D332" s="48">
        <v>6499</v>
      </c>
    </row>
    <row r="333" spans="2:4">
      <c r="B333" s="49" t="s">
        <v>336</v>
      </c>
      <c r="C333" s="54" t="s">
        <v>375</v>
      </c>
      <c r="D333" s="48">
        <v>5499</v>
      </c>
    </row>
    <row r="334" spans="2:4">
      <c r="B334" s="49" t="s">
        <v>336</v>
      </c>
      <c r="C334" s="54" t="s">
        <v>376</v>
      </c>
      <c r="D334" s="48">
        <v>7999</v>
      </c>
    </row>
    <row r="335" spans="2:4">
      <c r="B335" s="49" t="s">
        <v>271</v>
      </c>
      <c r="C335" s="54" t="s">
        <v>378</v>
      </c>
      <c r="D335" s="48">
        <v>4899</v>
      </c>
    </row>
    <row r="336" spans="2:4">
      <c r="B336" s="49" t="s">
        <v>379</v>
      </c>
      <c r="C336" s="54" t="s">
        <v>380</v>
      </c>
      <c r="D336" s="48">
        <v>2899</v>
      </c>
    </row>
    <row r="337" spans="2:4">
      <c r="B337" s="49" t="s">
        <v>338</v>
      </c>
      <c r="C337" s="54" t="s">
        <v>381</v>
      </c>
      <c r="D337" s="48">
        <v>4499</v>
      </c>
    </row>
    <row r="338" spans="2:4">
      <c r="B338" s="49" t="s">
        <v>363</v>
      </c>
      <c r="C338" s="54" t="s">
        <v>382</v>
      </c>
      <c r="D338" s="48">
        <v>6999</v>
      </c>
    </row>
    <row r="339" spans="2:4">
      <c r="B339" s="49" t="s">
        <v>93</v>
      </c>
      <c r="C339" s="54" t="s">
        <v>383</v>
      </c>
      <c r="D339" s="48">
        <v>3699</v>
      </c>
    </row>
    <row r="340" spans="2:4">
      <c r="B340" s="49" t="s">
        <v>93</v>
      </c>
      <c r="C340" s="54" t="s">
        <v>384</v>
      </c>
      <c r="D340" s="48">
        <v>2199</v>
      </c>
    </row>
    <row r="341" spans="2:4">
      <c r="B341" s="49" t="s">
        <v>93</v>
      </c>
      <c r="C341" s="54" t="s">
        <v>387</v>
      </c>
      <c r="D341" s="48">
        <v>8999</v>
      </c>
    </row>
    <row r="342" spans="2:4">
      <c r="B342" s="49" t="s">
        <v>347</v>
      </c>
      <c r="C342" s="54" t="s">
        <v>388</v>
      </c>
      <c r="D342" s="48">
        <v>5999</v>
      </c>
    </row>
    <row r="343" spans="2:4">
      <c r="B343" s="49" t="s">
        <v>336</v>
      </c>
      <c r="C343" s="54" t="s">
        <v>389</v>
      </c>
      <c r="D343" s="48">
        <v>26999</v>
      </c>
    </row>
    <row r="344" spans="2:4">
      <c r="B344" s="49" t="s">
        <v>336</v>
      </c>
      <c r="C344" s="54" t="s">
        <v>390</v>
      </c>
      <c r="D344" s="48">
        <v>33999</v>
      </c>
    </row>
    <row r="345" spans="2:4">
      <c r="B345" s="49" t="s">
        <v>336</v>
      </c>
      <c r="C345" s="54" t="s">
        <v>391</v>
      </c>
      <c r="D345" s="48">
        <v>7499</v>
      </c>
    </row>
    <row r="346" spans="2:4">
      <c r="B346" s="49" t="s">
        <v>336</v>
      </c>
      <c r="C346" s="54" t="s">
        <v>392</v>
      </c>
      <c r="D346" s="48">
        <v>4799</v>
      </c>
    </row>
    <row r="347" spans="2:4">
      <c r="B347" s="49" t="s">
        <v>393</v>
      </c>
      <c r="C347" s="54" t="s">
        <v>394</v>
      </c>
      <c r="D347" s="48">
        <v>6999</v>
      </c>
    </row>
    <row r="348" spans="2:4">
      <c r="B348" s="49" t="s">
        <v>393</v>
      </c>
      <c r="C348" s="54" t="s">
        <v>395</v>
      </c>
      <c r="D348" s="48">
        <v>3999</v>
      </c>
    </row>
    <row r="349" spans="2:4">
      <c r="B349" s="49" t="s">
        <v>363</v>
      </c>
      <c r="C349" s="54" t="s">
        <v>397</v>
      </c>
      <c r="D349" s="48">
        <v>5299</v>
      </c>
    </row>
    <row r="350" spans="2:4">
      <c r="B350" s="49" t="s">
        <v>363</v>
      </c>
      <c r="C350" s="54" t="s">
        <v>398</v>
      </c>
      <c r="D350" s="48">
        <v>7299</v>
      </c>
    </row>
    <row r="351" spans="2:4">
      <c r="B351" s="49" t="s">
        <v>338</v>
      </c>
      <c r="C351" s="54" t="s">
        <v>399</v>
      </c>
      <c r="D351" s="48">
        <v>7499</v>
      </c>
    </row>
    <row r="352" spans="2:4">
      <c r="B352" s="49" t="s">
        <v>385</v>
      </c>
      <c r="C352" s="54" t="s">
        <v>400</v>
      </c>
      <c r="D352" s="48">
        <v>5299</v>
      </c>
    </row>
    <row r="353" spans="2:4">
      <c r="B353" s="49" t="s">
        <v>67</v>
      </c>
      <c r="C353" s="54" t="s">
        <v>402</v>
      </c>
      <c r="D353" s="48">
        <v>22499</v>
      </c>
    </row>
    <row r="354" spans="2:4">
      <c r="B354" s="49" t="s">
        <v>67</v>
      </c>
      <c r="C354" s="54" t="s">
        <v>403</v>
      </c>
      <c r="D354" s="48">
        <v>23999</v>
      </c>
    </row>
    <row r="355" spans="2:4">
      <c r="B355" s="49" t="s">
        <v>67</v>
      </c>
      <c r="C355" s="54" t="s">
        <v>404</v>
      </c>
      <c r="D355" s="48">
        <v>26999</v>
      </c>
    </row>
    <row r="356" spans="2:4">
      <c r="B356" s="49" t="s">
        <v>67</v>
      </c>
      <c r="C356" s="54" t="s">
        <v>405</v>
      </c>
      <c r="D356" s="48">
        <v>27499</v>
      </c>
    </row>
    <row r="357" spans="2:4">
      <c r="B357" s="49" t="s">
        <v>67</v>
      </c>
      <c r="C357" s="54" t="s">
        <v>406</v>
      </c>
      <c r="D357" s="48">
        <v>30499</v>
      </c>
    </row>
    <row r="358" spans="2:4">
      <c r="B358" s="49" t="s">
        <v>67</v>
      </c>
      <c r="C358" s="54" t="s">
        <v>407</v>
      </c>
      <c r="D358" s="48">
        <v>35499</v>
      </c>
    </row>
    <row r="359" spans="2:4">
      <c r="B359" s="49" t="s">
        <v>401</v>
      </c>
      <c r="C359" s="54" t="s">
        <v>408</v>
      </c>
      <c r="D359" s="48">
        <v>2919</v>
      </c>
    </row>
    <row r="360" spans="2:4">
      <c r="B360" s="49" t="s">
        <v>83</v>
      </c>
      <c r="C360" s="54" t="s">
        <v>409</v>
      </c>
      <c r="D360" s="48">
        <v>5799</v>
      </c>
    </row>
    <row r="361" spans="2:4">
      <c r="B361" s="49" t="s">
        <v>67</v>
      </c>
      <c r="C361" s="54" t="s">
        <v>410</v>
      </c>
      <c r="D361" s="48">
        <v>19999</v>
      </c>
    </row>
    <row r="362" spans="2:4">
      <c r="B362" s="49" t="s">
        <v>67</v>
      </c>
      <c r="C362" s="54" t="s">
        <v>411</v>
      </c>
      <c r="D362" s="48">
        <v>21499</v>
      </c>
    </row>
    <row r="363" spans="2:4">
      <c r="B363" s="49" t="s">
        <v>67</v>
      </c>
      <c r="C363" s="54" t="s">
        <v>412</v>
      </c>
      <c r="D363" s="48">
        <v>24499</v>
      </c>
    </row>
    <row r="364" spans="2:4">
      <c r="B364" s="49" t="s">
        <v>67</v>
      </c>
      <c r="C364" s="54" t="s">
        <v>413</v>
      </c>
      <c r="D364" s="48">
        <v>29999</v>
      </c>
    </row>
    <row r="365" spans="2:4">
      <c r="B365" s="49" t="s">
        <v>67</v>
      </c>
      <c r="C365" s="54" t="s">
        <v>414</v>
      </c>
      <c r="D365" s="48">
        <v>32999</v>
      </c>
    </row>
    <row r="366" spans="2:4">
      <c r="B366" s="49" t="s">
        <v>67</v>
      </c>
      <c r="C366" s="54" t="s">
        <v>415</v>
      </c>
      <c r="D366" s="48">
        <v>37999</v>
      </c>
    </row>
    <row r="367" spans="2:4">
      <c r="B367" s="49" t="s">
        <v>74</v>
      </c>
      <c r="C367" s="54" t="s">
        <v>416</v>
      </c>
      <c r="D367" s="48">
        <v>34999</v>
      </c>
    </row>
    <row r="368" spans="2:4">
      <c r="B368" s="49" t="s">
        <v>74</v>
      </c>
      <c r="C368" s="54" t="s">
        <v>417</v>
      </c>
      <c r="D368" s="48">
        <v>4299</v>
      </c>
    </row>
    <row r="369" spans="2:4">
      <c r="B369" s="49" t="s">
        <v>73</v>
      </c>
      <c r="C369" s="54" t="s">
        <v>418</v>
      </c>
      <c r="D369" s="48">
        <v>16999</v>
      </c>
    </row>
    <row r="370" spans="2:4">
      <c r="B370" s="49" t="s">
        <v>74</v>
      </c>
      <c r="C370" s="54" t="s">
        <v>419</v>
      </c>
      <c r="D370" s="48">
        <v>3599</v>
      </c>
    </row>
    <row r="371" spans="2:4">
      <c r="B371" s="49" t="s">
        <v>91</v>
      </c>
      <c r="C371" s="54" t="s">
        <v>420</v>
      </c>
      <c r="D371" s="48">
        <v>1899</v>
      </c>
    </row>
    <row r="372" spans="2:4">
      <c r="B372" s="49" t="s">
        <v>74</v>
      </c>
      <c r="C372" s="54" t="s">
        <v>421</v>
      </c>
      <c r="D372" s="48">
        <v>6299</v>
      </c>
    </row>
    <row r="373" spans="2:4">
      <c r="B373" s="49" t="s">
        <v>73</v>
      </c>
      <c r="C373" s="54" t="s">
        <v>422</v>
      </c>
      <c r="D373" s="48">
        <v>5299</v>
      </c>
    </row>
    <row r="374" spans="2:4">
      <c r="B374" s="49" t="s">
        <v>73</v>
      </c>
      <c r="C374" s="54" t="s">
        <v>423</v>
      </c>
      <c r="D374" s="48">
        <v>21499</v>
      </c>
    </row>
    <row r="375" spans="2:4">
      <c r="B375" s="49" t="s">
        <v>73</v>
      </c>
      <c r="C375" s="54" t="s">
        <v>424</v>
      </c>
      <c r="D375" s="48">
        <v>24999</v>
      </c>
    </row>
    <row r="376" spans="2:4">
      <c r="B376" s="49" t="s">
        <v>73</v>
      </c>
      <c r="C376" s="54" t="s">
        <v>425</v>
      </c>
      <c r="D376" s="48">
        <v>29999</v>
      </c>
    </row>
    <row r="377" spans="2:4">
      <c r="B377" s="49" t="s">
        <v>73</v>
      </c>
      <c r="C377" s="54" t="s">
        <v>426</v>
      </c>
      <c r="D377" s="48">
        <v>4139</v>
      </c>
    </row>
    <row r="378" spans="2:4">
      <c r="B378" s="49" t="s">
        <v>91</v>
      </c>
      <c r="C378" s="54" t="s">
        <v>427</v>
      </c>
      <c r="D378" s="48">
        <v>3199</v>
      </c>
    </row>
    <row r="379" spans="2:4">
      <c r="B379" s="49" t="s">
        <v>83</v>
      </c>
      <c r="C379" s="54" t="s">
        <v>428</v>
      </c>
      <c r="D379" s="48">
        <v>7999</v>
      </c>
    </row>
    <row r="380" spans="2:4">
      <c r="B380" s="49" t="s">
        <v>83</v>
      </c>
      <c r="C380" s="54" t="s">
        <v>429</v>
      </c>
      <c r="D380" s="48">
        <v>8199</v>
      </c>
    </row>
    <row r="381" spans="2:4">
      <c r="B381" s="49" t="s">
        <v>386</v>
      </c>
      <c r="C381" s="54" t="s">
        <v>430</v>
      </c>
      <c r="D381" s="48">
        <v>5999</v>
      </c>
    </row>
    <row r="382" spans="2:4">
      <c r="B382" s="49" t="s">
        <v>386</v>
      </c>
      <c r="C382" s="54" t="s">
        <v>431</v>
      </c>
      <c r="D382" s="48">
        <v>3349</v>
      </c>
    </row>
    <row r="383" spans="2:4">
      <c r="B383" s="49" t="s">
        <v>91</v>
      </c>
      <c r="C383" s="54" t="s">
        <v>432</v>
      </c>
      <c r="D383" s="48">
        <v>2949</v>
      </c>
    </row>
    <row r="384" spans="2:4">
      <c r="B384" s="49" t="s">
        <v>396</v>
      </c>
      <c r="C384" s="54" t="s">
        <v>433</v>
      </c>
      <c r="D384" s="48">
        <v>4139</v>
      </c>
    </row>
    <row r="385" spans="2:4">
      <c r="B385" s="49" t="s">
        <v>73</v>
      </c>
      <c r="C385" s="56" t="s">
        <v>434</v>
      </c>
      <c r="D385" s="48">
        <v>3299</v>
      </c>
    </row>
    <row r="386" spans="2:4">
      <c r="B386" s="49" t="s">
        <v>91</v>
      </c>
      <c r="C386" s="56" t="s">
        <v>435</v>
      </c>
      <c r="D386" s="48">
        <v>1239</v>
      </c>
    </row>
    <row r="387" spans="2:4">
      <c r="B387" s="49" t="s">
        <v>74</v>
      </c>
      <c r="C387" s="56" t="s">
        <v>436</v>
      </c>
      <c r="D387" s="48">
        <v>12999</v>
      </c>
    </row>
    <row r="388" spans="2:4">
      <c r="B388" s="49" t="s">
        <v>73</v>
      </c>
      <c r="C388" s="56" t="s">
        <v>437</v>
      </c>
      <c r="D388" s="57">
        <v>10999</v>
      </c>
    </row>
    <row r="389" spans="2:4">
      <c r="B389" s="49" t="s">
        <v>73</v>
      </c>
      <c r="C389" s="56" t="s">
        <v>438</v>
      </c>
      <c r="D389" s="57">
        <v>22999</v>
      </c>
    </row>
    <row r="390" spans="2:4">
      <c r="B390" s="49" t="s">
        <v>73</v>
      </c>
      <c r="C390" s="56" t="s">
        <v>439</v>
      </c>
      <c r="D390" s="57">
        <v>26499</v>
      </c>
    </row>
    <row r="391" spans="2:4">
      <c r="B391" s="49" t="s">
        <v>73</v>
      </c>
      <c r="C391" s="56" t="s">
        <v>440</v>
      </c>
      <c r="D391" s="57">
        <v>31499</v>
      </c>
    </row>
    <row r="392" spans="2:4">
      <c r="B392" s="49" t="s">
        <v>73</v>
      </c>
      <c r="C392" s="56" t="s">
        <v>441</v>
      </c>
      <c r="D392" s="57">
        <v>8499</v>
      </c>
    </row>
    <row r="393" spans="2:4">
      <c r="B393" s="49" t="s">
        <v>336</v>
      </c>
      <c r="C393" s="56" t="s">
        <v>442</v>
      </c>
      <c r="D393" s="57">
        <v>6499</v>
      </c>
    </row>
    <row r="394" spans="2:4">
      <c r="B394" s="49" t="s">
        <v>74</v>
      </c>
      <c r="C394" s="56" t="s">
        <v>443</v>
      </c>
      <c r="D394" s="57">
        <v>4599</v>
      </c>
    </row>
    <row r="395" spans="2:4">
      <c r="B395" s="49" t="s">
        <v>74</v>
      </c>
      <c r="C395" s="58" t="s">
        <v>444</v>
      </c>
      <c r="D395" s="48">
        <v>3299</v>
      </c>
    </row>
    <row r="396" spans="2:4">
      <c r="B396" s="49" t="s">
        <v>393</v>
      </c>
      <c r="C396" s="58" t="s">
        <v>445</v>
      </c>
      <c r="D396" s="48">
        <v>8499</v>
      </c>
    </row>
    <row r="397" spans="2:4">
      <c r="B397" s="58" t="s">
        <v>385</v>
      </c>
      <c r="C397" s="58" t="s">
        <v>446</v>
      </c>
      <c r="D397" s="48">
        <v>6999</v>
      </c>
    </row>
    <row r="398" spans="2:4">
      <c r="B398" s="58" t="s">
        <v>385</v>
      </c>
      <c r="C398" s="58" t="s">
        <v>448</v>
      </c>
      <c r="D398" s="48">
        <v>4799</v>
      </c>
    </row>
    <row r="399" spans="2:4">
      <c r="B399" s="58" t="s">
        <v>385</v>
      </c>
      <c r="C399" s="58" t="s">
        <v>449</v>
      </c>
      <c r="D399" s="48">
        <v>2919</v>
      </c>
    </row>
    <row r="400" spans="2:4">
      <c r="B400" s="58" t="s">
        <v>385</v>
      </c>
      <c r="C400" s="58" t="s">
        <v>450</v>
      </c>
      <c r="D400" s="48">
        <v>6139</v>
      </c>
    </row>
    <row r="401" spans="2:4">
      <c r="B401" s="58" t="s">
        <v>385</v>
      </c>
      <c r="C401" s="58" t="s">
        <v>447</v>
      </c>
      <c r="D401" s="48">
        <v>8669</v>
      </c>
    </row>
    <row r="402" spans="2:4">
      <c r="B402" s="58" t="s">
        <v>385</v>
      </c>
      <c r="C402" s="58" t="s">
        <v>451</v>
      </c>
      <c r="D402" s="48">
        <v>3679</v>
      </c>
    </row>
    <row r="403" spans="2:4">
      <c r="B403" s="58" t="s">
        <v>336</v>
      </c>
      <c r="C403" s="58" t="s">
        <v>452</v>
      </c>
      <c r="D403" s="48">
        <v>16999</v>
      </c>
    </row>
    <row r="404" spans="2:4">
      <c r="B404" s="58" t="s">
        <v>336</v>
      </c>
      <c r="C404" s="58" t="s">
        <v>453</v>
      </c>
      <c r="D404" s="48">
        <v>5999</v>
      </c>
    </row>
    <row r="405" spans="2:4">
      <c r="B405" s="58" t="s">
        <v>393</v>
      </c>
      <c r="C405" s="58" t="s">
        <v>454</v>
      </c>
      <c r="D405" s="48">
        <v>6499</v>
      </c>
    </row>
    <row r="406" spans="2:4">
      <c r="B406" s="58" t="s">
        <v>338</v>
      </c>
      <c r="C406" s="58" t="s">
        <v>456</v>
      </c>
      <c r="D406" s="48">
        <v>11999</v>
      </c>
    </row>
    <row r="407" spans="2:4">
      <c r="B407" s="58" t="s">
        <v>338</v>
      </c>
      <c r="C407" s="58" t="s">
        <v>455</v>
      </c>
      <c r="D407" s="48">
        <v>11999</v>
      </c>
    </row>
    <row r="408" spans="2:4">
      <c r="B408" s="58" t="s">
        <v>363</v>
      </c>
      <c r="C408" s="58" t="s">
        <v>457</v>
      </c>
      <c r="D408" s="48">
        <v>6599</v>
      </c>
    </row>
    <row r="409" spans="2:4">
      <c r="B409" s="58" t="s">
        <v>338</v>
      </c>
      <c r="C409" s="58" t="s">
        <v>458</v>
      </c>
      <c r="D409" s="48">
        <v>4889</v>
      </c>
    </row>
    <row r="410" spans="2:4">
      <c r="B410" s="58" t="s">
        <v>338</v>
      </c>
      <c r="C410" s="58" t="s">
        <v>459</v>
      </c>
      <c r="D410" s="48">
        <v>8499</v>
      </c>
    </row>
    <row r="411" spans="2:4">
      <c r="B411" s="58" t="s">
        <v>271</v>
      </c>
      <c r="C411" s="58" t="s">
        <v>460</v>
      </c>
      <c r="D411" s="57">
        <v>1999</v>
      </c>
    </row>
    <row r="412" spans="2:4">
      <c r="B412" s="58" t="s">
        <v>385</v>
      </c>
      <c r="C412" s="58" t="s">
        <v>461</v>
      </c>
      <c r="D412" s="57">
        <v>8799</v>
      </c>
    </row>
    <row r="413" spans="2:4">
      <c r="B413" s="58" t="s">
        <v>336</v>
      </c>
      <c r="C413" s="58" t="s">
        <v>462</v>
      </c>
      <c r="D413" s="57">
        <v>4139</v>
      </c>
    </row>
    <row r="414" spans="2:4">
      <c r="B414" s="58" t="s">
        <v>67</v>
      </c>
      <c r="C414" s="58" t="s">
        <v>464</v>
      </c>
      <c r="D414" s="57">
        <v>23999</v>
      </c>
    </row>
    <row r="415" spans="2:4">
      <c r="B415" s="58" t="s">
        <v>67</v>
      </c>
      <c r="C415" s="58" t="s">
        <v>465</v>
      </c>
      <c r="D415" s="57">
        <v>28999</v>
      </c>
    </row>
    <row r="416" spans="2:4">
      <c r="B416" s="58" t="s">
        <v>67</v>
      </c>
      <c r="C416" s="58" t="s">
        <v>466</v>
      </c>
      <c r="D416" s="57">
        <v>28999</v>
      </c>
    </row>
    <row r="417" spans="2:7">
      <c r="B417" s="58" t="s">
        <v>67</v>
      </c>
      <c r="C417" s="58" t="s">
        <v>467</v>
      </c>
      <c r="D417" s="57">
        <v>31999</v>
      </c>
    </row>
    <row r="418" spans="2:7">
      <c r="B418" s="58" t="s">
        <v>67</v>
      </c>
      <c r="C418" s="58" t="s">
        <v>468</v>
      </c>
      <c r="D418" s="57">
        <v>36999</v>
      </c>
    </row>
    <row r="419" spans="2:7">
      <c r="B419" s="58" t="s">
        <v>67</v>
      </c>
      <c r="C419" s="58" t="s">
        <v>469</v>
      </c>
      <c r="D419" s="57">
        <v>41999</v>
      </c>
    </row>
    <row r="420" spans="2:7">
      <c r="B420" s="58" t="s">
        <v>363</v>
      </c>
      <c r="C420" s="58" t="s">
        <v>470</v>
      </c>
      <c r="D420" s="57">
        <v>3299</v>
      </c>
      <c r="F420" s="66">
        <v>44827</v>
      </c>
      <c r="G420" t="s">
        <v>559</v>
      </c>
    </row>
    <row r="421" spans="2:7">
      <c r="B421" s="58" t="s">
        <v>67</v>
      </c>
      <c r="C421" s="58" t="s">
        <v>471</v>
      </c>
      <c r="D421" s="57">
        <v>25999</v>
      </c>
    </row>
    <row r="422" spans="2:7">
      <c r="B422" s="58" t="s">
        <v>67</v>
      </c>
      <c r="C422" s="58" t="s">
        <v>472</v>
      </c>
      <c r="D422" s="57">
        <v>28999</v>
      </c>
    </row>
    <row r="423" spans="2:7">
      <c r="B423" s="58" t="s">
        <v>67</v>
      </c>
      <c r="C423" s="58" t="s">
        <v>473</v>
      </c>
      <c r="D423" s="57">
        <v>33999</v>
      </c>
    </row>
    <row r="424" spans="2:7">
      <c r="B424" s="58" t="s">
        <v>67</v>
      </c>
      <c r="C424" s="58" t="s">
        <v>476</v>
      </c>
      <c r="D424" s="57">
        <v>17999</v>
      </c>
    </row>
    <row r="425" spans="2:7">
      <c r="B425" s="58" t="s">
        <v>336</v>
      </c>
      <c r="C425" s="58" t="s">
        <v>474</v>
      </c>
      <c r="D425" s="57">
        <v>24999</v>
      </c>
    </row>
    <row r="426" spans="2:7">
      <c r="B426" s="58" t="s">
        <v>336</v>
      </c>
      <c r="C426" s="58" t="s">
        <v>475</v>
      </c>
      <c r="D426" s="57">
        <v>27499</v>
      </c>
    </row>
    <row r="427" spans="2:7">
      <c r="B427" s="58" t="s">
        <v>393</v>
      </c>
      <c r="C427" s="58" t="s">
        <v>477</v>
      </c>
      <c r="D427" s="57">
        <v>5499</v>
      </c>
    </row>
    <row r="428" spans="2:7">
      <c r="B428" s="58" t="s">
        <v>363</v>
      </c>
      <c r="C428" s="58" t="s">
        <v>478</v>
      </c>
      <c r="D428" s="57">
        <v>10999</v>
      </c>
    </row>
    <row r="429" spans="2:7">
      <c r="B429" s="58" t="s">
        <v>336</v>
      </c>
      <c r="C429" s="58" t="s">
        <v>479</v>
      </c>
      <c r="D429" s="57">
        <v>4999</v>
      </c>
    </row>
    <row r="430" spans="2:7">
      <c r="B430" s="58" t="s">
        <v>363</v>
      </c>
      <c r="C430" s="58" t="s">
        <v>480</v>
      </c>
      <c r="D430" s="57">
        <v>19999</v>
      </c>
    </row>
    <row r="431" spans="2:7">
      <c r="B431" s="58" t="s">
        <v>363</v>
      </c>
      <c r="C431" s="58" t="s">
        <v>481</v>
      </c>
      <c r="D431" s="57">
        <v>7299</v>
      </c>
    </row>
    <row r="432" spans="2:7">
      <c r="B432" s="58" t="s">
        <v>363</v>
      </c>
      <c r="C432" s="58" t="s">
        <v>482</v>
      </c>
      <c r="D432" s="48">
        <v>8499</v>
      </c>
    </row>
    <row r="433" spans="2:4">
      <c r="B433" s="59" t="s">
        <v>331</v>
      </c>
      <c r="C433" s="58" t="s">
        <v>483</v>
      </c>
      <c r="D433" s="48">
        <v>12999</v>
      </c>
    </row>
    <row r="434" spans="2:4">
      <c r="B434" s="58" t="s">
        <v>331</v>
      </c>
      <c r="C434" s="58" t="s">
        <v>484</v>
      </c>
      <c r="D434" s="48">
        <v>15999</v>
      </c>
    </row>
    <row r="435" spans="2:4">
      <c r="B435" s="58" t="s">
        <v>331</v>
      </c>
      <c r="C435" s="58" t="s">
        <v>485</v>
      </c>
      <c r="D435" s="48">
        <v>15999</v>
      </c>
    </row>
    <row r="436" spans="2:4">
      <c r="B436" s="58" t="s">
        <v>385</v>
      </c>
      <c r="C436" s="58" t="s">
        <v>486</v>
      </c>
      <c r="D436" s="48">
        <v>5999</v>
      </c>
    </row>
    <row r="437" spans="2:4">
      <c r="B437" s="58" t="s">
        <v>363</v>
      </c>
      <c r="C437" s="58" t="s">
        <v>487</v>
      </c>
      <c r="D437" s="48">
        <v>3599</v>
      </c>
    </row>
    <row r="438" spans="2:4">
      <c r="B438" s="58" t="s">
        <v>338</v>
      </c>
      <c r="C438" s="58" t="s">
        <v>488</v>
      </c>
      <c r="D438" s="48">
        <v>12999</v>
      </c>
    </row>
    <row r="439" spans="2:4">
      <c r="B439" s="58" t="s">
        <v>385</v>
      </c>
      <c r="C439" s="58" t="s">
        <v>489</v>
      </c>
      <c r="D439" s="48">
        <v>9999</v>
      </c>
    </row>
    <row r="440" spans="2:4">
      <c r="B440" s="58" t="s">
        <v>385</v>
      </c>
      <c r="C440" s="58" t="s">
        <v>490</v>
      </c>
      <c r="D440" s="48">
        <v>12999</v>
      </c>
    </row>
    <row r="441" spans="2:4">
      <c r="B441" s="58" t="s">
        <v>385</v>
      </c>
      <c r="C441" s="58" t="s">
        <v>491</v>
      </c>
      <c r="D441" s="48">
        <v>6999</v>
      </c>
    </row>
    <row r="442" spans="2:4">
      <c r="B442" s="58" t="s">
        <v>385</v>
      </c>
      <c r="C442" s="58" t="s">
        <v>492</v>
      </c>
      <c r="D442" s="48">
        <v>6999</v>
      </c>
    </row>
    <row r="443" spans="2:4">
      <c r="B443" s="58" t="s">
        <v>385</v>
      </c>
      <c r="C443" s="58" t="s">
        <v>493</v>
      </c>
      <c r="D443" s="48">
        <v>6999</v>
      </c>
    </row>
    <row r="444" spans="2:4">
      <c r="B444" s="60" t="s">
        <v>385</v>
      </c>
      <c r="C444" s="60" t="s">
        <v>494</v>
      </c>
      <c r="D444" s="61">
        <v>6999</v>
      </c>
    </row>
    <row r="445" spans="2:4">
      <c r="B445" s="58" t="s">
        <v>385</v>
      </c>
      <c r="C445" s="62" t="s">
        <v>495</v>
      </c>
      <c r="D445" s="57">
        <v>3999</v>
      </c>
    </row>
    <row r="446" spans="2:4">
      <c r="B446" s="58" t="s">
        <v>496</v>
      </c>
      <c r="C446" s="58" t="s">
        <v>497</v>
      </c>
      <c r="D446" s="48">
        <v>8499</v>
      </c>
    </row>
    <row r="447" spans="2:4">
      <c r="B447" s="58" t="s">
        <v>338</v>
      </c>
      <c r="C447" s="58" t="s">
        <v>498</v>
      </c>
      <c r="D447" s="48">
        <v>26999</v>
      </c>
    </row>
    <row r="448" spans="2:4">
      <c r="B448" s="58" t="s">
        <v>393</v>
      </c>
      <c r="C448" s="58" t="s">
        <v>499</v>
      </c>
      <c r="D448" s="48">
        <v>8999</v>
      </c>
    </row>
    <row r="449" spans="2:4">
      <c r="B449" s="58" t="s">
        <v>363</v>
      </c>
      <c r="C449" s="58" t="s">
        <v>500</v>
      </c>
      <c r="D449" s="48">
        <v>6999</v>
      </c>
    </row>
    <row r="450" spans="2:4">
      <c r="B450" s="58" t="s">
        <v>363</v>
      </c>
      <c r="C450" s="58" t="s">
        <v>501</v>
      </c>
      <c r="D450" s="48">
        <v>5699</v>
      </c>
    </row>
    <row r="451" spans="2:4">
      <c r="B451" s="58" t="s">
        <v>363</v>
      </c>
      <c r="C451" s="58" t="s">
        <v>502</v>
      </c>
      <c r="D451" s="48">
        <v>13999</v>
      </c>
    </row>
    <row r="452" spans="2:4">
      <c r="B452" s="58" t="s">
        <v>363</v>
      </c>
      <c r="C452" s="58" t="s">
        <v>503</v>
      </c>
      <c r="D452" s="48">
        <v>6699</v>
      </c>
    </row>
    <row r="453" spans="2:4">
      <c r="B453" s="58" t="s">
        <v>271</v>
      </c>
      <c r="C453" s="58" t="s">
        <v>504</v>
      </c>
      <c r="D453" s="48">
        <v>3599</v>
      </c>
    </row>
    <row r="454" spans="2:4">
      <c r="B454" s="58" t="s">
        <v>336</v>
      </c>
      <c r="C454" s="58" t="s">
        <v>505</v>
      </c>
      <c r="D454" s="48">
        <v>23999</v>
      </c>
    </row>
    <row r="455" spans="2:4">
      <c r="B455" s="58" t="s">
        <v>336</v>
      </c>
      <c r="C455" s="58" t="s">
        <v>506</v>
      </c>
      <c r="D455" s="48">
        <v>32999</v>
      </c>
    </row>
    <row r="456" spans="2:4">
      <c r="B456" s="58" t="s">
        <v>336</v>
      </c>
      <c r="C456" s="58" t="s">
        <v>507</v>
      </c>
      <c r="D456" s="48">
        <v>30999</v>
      </c>
    </row>
    <row r="457" spans="2:4">
      <c r="B457" s="58" t="s">
        <v>363</v>
      </c>
      <c r="C457" s="58" t="s">
        <v>508</v>
      </c>
      <c r="D457" s="48">
        <v>6699</v>
      </c>
    </row>
    <row r="458" spans="2:4">
      <c r="B458" s="58" t="s">
        <v>271</v>
      </c>
      <c r="C458" s="58" t="s">
        <v>509</v>
      </c>
      <c r="D458" s="48">
        <v>3299</v>
      </c>
    </row>
    <row r="459" spans="2:4">
      <c r="B459" s="58" t="s">
        <v>73</v>
      </c>
      <c r="C459" s="58" t="s">
        <v>512</v>
      </c>
      <c r="D459" s="48">
        <v>10999</v>
      </c>
    </row>
    <row r="460" spans="2:4">
      <c r="B460" s="58" t="s">
        <v>74</v>
      </c>
      <c r="C460" s="58" t="s">
        <v>510</v>
      </c>
      <c r="D460" s="48">
        <v>25989</v>
      </c>
    </row>
    <row r="461" spans="2:4">
      <c r="B461" s="58" t="s">
        <v>338</v>
      </c>
      <c r="C461" s="58" t="s">
        <v>511</v>
      </c>
      <c r="D461" s="48">
        <v>8499</v>
      </c>
    </row>
    <row r="462" spans="2:4">
      <c r="B462" s="58" t="s">
        <v>67</v>
      </c>
      <c r="C462" s="58" t="s">
        <v>513</v>
      </c>
      <c r="D462" s="48">
        <v>11499</v>
      </c>
    </row>
    <row r="463" spans="2:4">
      <c r="B463" s="58" t="s">
        <v>67</v>
      </c>
      <c r="C463" s="58" t="s">
        <v>514</v>
      </c>
      <c r="D463" s="48">
        <v>12999</v>
      </c>
    </row>
    <row r="464" spans="2:4">
      <c r="B464" s="58" t="s">
        <v>67</v>
      </c>
      <c r="C464" s="58" t="s">
        <v>515</v>
      </c>
      <c r="D464" s="48">
        <v>15999</v>
      </c>
    </row>
    <row r="465" spans="2:4">
      <c r="B465" s="58" t="s">
        <v>331</v>
      </c>
      <c r="C465" s="58" t="s">
        <v>516</v>
      </c>
      <c r="D465" s="48">
        <v>7199</v>
      </c>
    </row>
    <row r="466" spans="2:4">
      <c r="B466" s="58" t="s">
        <v>74</v>
      </c>
      <c r="C466" s="58" t="s">
        <v>517</v>
      </c>
      <c r="D466" s="48">
        <v>4919</v>
      </c>
    </row>
    <row r="467" spans="2:4">
      <c r="B467" s="58" t="s">
        <v>74</v>
      </c>
      <c r="C467" s="58" t="s">
        <v>518</v>
      </c>
      <c r="D467" s="48">
        <v>6999</v>
      </c>
    </row>
    <row r="468" spans="2:4">
      <c r="B468" s="58" t="s">
        <v>520</v>
      </c>
      <c r="C468" s="58" t="s">
        <v>519</v>
      </c>
      <c r="D468" s="48">
        <v>21999</v>
      </c>
    </row>
    <row r="469" spans="2:4">
      <c r="B469" s="58" t="s">
        <v>331</v>
      </c>
      <c r="C469" s="58" t="s">
        <v>521</v>
      </c>
      <c r="D469" s="48">
        <v>5999</v>
      </c>
    </row>
    <row r="470" spans="2:4">
      <c r="B470" s="58" t="s">
        <v>73</v>
      </c>
      <c r="C470" s="58" t="s">
        <v>522</v>
      </c>
      <c r="D470" s="48">
        <v>8999</v>
      </c>
    </row>
    <row r="471" spans="2:4">
      <c r="B471" s="58" t="s">
        <v>73</v>
      </c>
      <c r="C471" s="58" t="s">
        <v>523</v>
      </c>
      <c r="D471" s="48">
        <v>25999</v>
      </c>
    </row>
    <row r="472" spans="2:4">
      <c r="B472" s="58" t="s">
        <v>385</v>
      </c>
      <c r="C472" s="58" t="s">
        <v>524</v>
      </c>
      <c r="D472" s="48">
        <v>22999</v>
      </c>
    </row>
    <row r="473" spans="2:4">
      <c r="B473" s="58" t="s">
        <v>385</v>
      </c>
      <c r="C473" s="58" t="s">
        <v>529</v>
      </c>
      <c r="D473" s="48">
        <v>2919</v>
      </c>
    </row>
    <row r="474" spans="2:4">
      <c r="B474" s="58" t="s">
        <v>385</v>
      </c>
      <c r="C474" s="58" t="s">
        <v>525</v>
      </c>
      <c r="D474" s="48">
        <v>9999</v>
      </c>
    </row>
    <row r="475" spans="2:4">
      <c r="B475" s="58" t="s">
        <v>338</v>
      </c>
      <c r="C475" s="58" t="s">
        <v>527</v>
      </c>
      <c r="D475" s="48">
        <v>18999</v>
      </c>
    </row>
    <row r="476" spans="2:4">
      <c r="B476" s="58" t="s">
        <v>385</v>
      </c>
      <c r="C476" s="58" t="s">
        <v>528</v>
      </c>
      <c r="D476" s="48">
        <v>3999</v>
      </c>
    </row>
    <row r="477" spans="2:4">
      <c r="B477" s="58" t="s">
        <v>496</v>
      </c>
      <c r="C477" s="58" t="s">
        <v>526</v>
      </c>
      <c r="D477" s="48">
        <v>8299</v>
      </c>
    </row>
    <row r="478" spans="2:4">
      <c r="B478" s="58" t="s">
        <v>385</v>
      </c>
      <c r="C478" s="58" t="s">
        <v>530</v>
      </c>
      <c r="D478" s="48">
        <v>17999</v>
      </c>
    </row>
    <row r="479" spans="2:4">
      <c r="B479" s="58" t="s">
        <v>336</v>
      </c>
      <c r="C479" s="58" t="s">
        <v>531</v>
      </c>
      <c r="D479" s="48">
        <v>27999</v>
      </c>
    </row>
    <row r="480" spans="2:4">
      <c r="B480" s="58" t="s">
        <v>385</v>
      </c>
      <c r="C480" s="58" t="s">
        <v>532</v>
      </c>
      <c r="D480" s="48">
        <v>5999</v>
      </c>
    </row>
    <row r="481" spans="2:7">
      <c r="B481" s="58" t="s">
        <v>73</v>
      </c>
      <c r="C481" s="58" t="s">
        <v>533</v>
      </c>
      <c r="D481" s="48">
        <v>18499</v>
      </c>
    </row>
    <row r="482" spans="2:7">
      <c r="B482" s="58" t="s">
        <v>338</v>
      </c>
      <c r="C482" s="58" t="s">
        <v>534</v>
      </c>
      <c r="D482" s="48">
        <v>5699</v>
      </c>
    </row>
    <row r="483" spans="2:7">
      <c r="B483" s="58" t="s">
        <v>338</v>
      </c>
      <c r="C483" s="58" t="s">
        <v>535</v>
      </c>
      <c r="D483" s="48">
        <v>5999</v>
      </c>
    </row>
    <row r="484" spans="2:7">
      <c r="B484" s="58" t="s">
        <v>73</v>
      </c>
      <c r="C484" s="58" t="s">
        <v>536</v>
      </c>
      <c r="D484" s="48">
        <v>6499</v>
      </c>
    </row>
    <row r="485" spans="2:7">
      <c r="B485" s="58" t="s">
        <v>74</v>
      </c>
      <c r="C485" s="58" t="s">
        <v>537</v>
      </c>
      <c r="D485" s="48">
        <v>7499</v>
      </c>
    </row>
    <row r="486" spans="2:7">
      <c r="B486" s="58" t="s">
        <v>74</v>
      </c>
      <c r="C486" s="58" t="s">
        <v>538</v>
      </c>
      <c r="D486" s="48">
        <v>7999</v>
      </c>
    </row>
    <row r="487" spans="2:7">
      <c r="B487" s="58" t="s">
        <v>74</v>
      </c>
      <c r="C487" s="58" t="s">
        <v>539</v>
      </c>
      <c r="D487" s="48">
        <v>11999</v>
      </c>
    </row>
    <row r="488" spans="2:7">
      <c r="B488" s="58" t="s">
        <v>74</v>
      </c>
      <c r="C488" s="58" t="s">
        <v>540</v>
      </c>
      <c r="D488" s="48">
        <v>7599</v>
      </c>
      <c r="F488" s="66">
        <v>44830</v>
      </c>
      <c r="G488" t="s">
        <v>559</v>
      </c>
    </row>
    <row r="489" spans="2:7">
      <c r="B489" s="58" t="s">
        <v>73</v>
      </c>
      <c r="C489" s="58" t="s">
        <v>541</v>
      </c>
      <c r="D489" s="48">
        <v>3999</v>
      </c>
    </row>
    <row r="490" spans="2:7">
      <c r="B490" s="58" t="s">
        <v>73</v>
      </c>
      <c r="C490" s="58" t="s">
        <v>542</v>
      </c>
      <c r="D490" s="48">
        <v>5499</v>
      </c>
    </row>
    <row r="491" spans="2:7">
      <c r="B491" s="58" t="s">
        <v>393</v>
      </c>
      <c r="C491" s="58" t="s">
        <v>543</v>
      </c>
      <c r="D491" s="48">
        <v>8999</v>
      </c>
    </row>
    <row r="492" spans="2:7">
      <c r="B492" s="58" t="s">
        <v>74</v>
      </c>
      <c r="C492" s="58" t="s">
        <v>544</v>
      </c>
      <c r="D492" s="48">
        <v>4139</v>
      </c>
    </row>
    <row r="493" spans="2:7">
      <c r="B493" s="3" t="s">
        <v>336</v>
      </c>
      <c r="C493" s="63" t="s">
        <v>545</v>
      </c>
      <c r="D493" s="73">
        <v>3499</v>
      </c>
      <c r="E493" s="75"/>
      <c r="F493" s="58" t="s">
        <v>546</v>
      </c>
    </row>
    <row r="494" spans="2:7">
      <c r="B494" s="3" t="s">
        <v>547</v>
      </c>
      <c r="C494" s="63" t="s">
        <v>548</v>
      </c>
      <c r="D494" s="74">
        <v>2199</v>
      </c>
      <c r="E494" s="74"/>
      <c r="F494" s="58" t="s">
        <v>546</v>
      </c>
    </row>
    <row r="495" spans="2:7">
      <c r="B495" s="6" t="s">
        <v>385</v>
      </c>
      <c r="C495" s="64" t="s">
        <v>549</v>
      </c>
      <c r="D495" s="75">
        <v>3999</v>
      </c>
      <c r="E495" s="75"/>
      <c r="F495" s="58" t="s">
        <v>546</v>
      </c>
    </row>
    <row r="496" spans="2:7">
      <c r="B496" s="3" t="s">
        <v>385</v>
      </c>
      <c r="C496" s="63" t="s">
        <v>550</v>
      </c>
      <c r="D496" s="74">
        <v>4889</v>
      </c>
      <c r="E496" s="74"/>
      <c r="F496" s="58" t="s">
        <v>546</v>
      </c>
    </row>
    <row r="497" spans="2:6">
      <c r="B497" s="3" t="s">
        <v>496</v>
      </c>
      <c r="C497" s="63" t="s">
        <v>552</v>
      </c>
      <c r="D497" s="74">
        <v>13999</v>
      </c>
      <c r="E497" s="74"/>
      <c r="F497" s="58" t="s">
        <v>554</v>
      </c>
    </row>
    <row r="498" spans="2:6">
      <c r="B498" s="3" t="s">
        <v>496</v>
      </c>
      <c r="C498" s="63" t="s">
        <v>553</v>
      </c>
      <c r="D498" s="74">
        <v>16989</v>
      </c>
      <c r="E498" s="74"/>
      <c r="F498" s="58" t="s">
        <v>554</v>
      </c>
    </row>
    <row r="499" spans="2:6">
      <c r="B499" s="3" t="s">
        <v>338</v>
      </c>
      <c r="C499" s="63" t="s">
        <v>555</v>
      </c>
      <c r="D499" s="74">
        <v>1999</v>
      </c>
      <c r="E499" s="74"/>
      <c r="F499" s="58" t="s">
        <v>554</v>
      </c>
    </row>
    <row r="500" spans="2:6">
      <c r="B500" s="3" t="s">
        <v>557</v>
      </c>
      <c r="C500" s="63" t="s">
        <v>556</v>
      </c>
      <c r="D500" s="74">
        <v>5099</v>
      </c>
      <c r="E500" s="74"/>
      <c r="F500" s="58" t="s">
        <v>554</v>
      </c>
    </row>
    <row r="501" spans="2:6">
      <c r="B501" s="18" t="s">
        <v>271</v>
      </c>
      <c r="C501" s="67" t="s">
        <v>558</v>
      </c>
      <c r="D501" s="74">
        <v>4299</v>
      </c>
      <c r="E501" s="74"/>
      <c r="F501" s="78">
        <v>44798</v>
      </c>
    </row>
    <row r="502" spans="2:6">
      <c r="B502" s="18" t="s">
        <v>336</v>
      </c>
      <c r="C502" s="68" t="s">
        <v>560</v>
      </c>
      <c r="D502" s="76">
        <v>24999</v>
      </c>
      <c r="E502" s="141"/>
      <c r="F502" s="70">
        <v>44830</v>
      </c>
    </row>
    <row r="503" spans="2:6">
      <c r="B503" s="18" t="s">
        <v>336</v>
      </c>
      <c r="C503" s="68" t="s">
        <v>562</v>
      </c>
      <c r="D503" s="76">
        <v>27499</v>
      </c>
      <c r="E503" s="141"/>
      <c r="F503" s="70">
        <v>44830</v>
      </c>
    </row>
    <row r="504" spans="2:6">
      <c r="B504" s="18" t="s">
        <v>336</v>
      </c>
      <c r="C504" s="68" t="s">
        <v>561</v>
      </c>
      <c r="D504" s="76">
        <v>44999</v>
      </c>
      <c r="E504" s="141"/>
      <c r="F504" s="70">
        <v>44830</v>
      </c>
    </row>
    <row r="505" spans="2:6">
      <c r="B505" s="18" t="s">
        <v>336</v>
      </c>
      <c r="C505" s="68" t="s">
        <v>563</v>
      </c>
      <c r="D505" s="76">
        <v>48499</v>
      </c>
      <c r="E505" s="141"/>
      <c r="F505" s="70">
        <v>44830</v>
      </c>
    </row>
    <row r="506" spans="2:6">
      <c r="B506" s="69" t="s">
        <v>338</v>
      </c>
      <c r="C506" s="60" t="s">
        <v>130</v>
      </c>
      <c r="D506" s="77">
        <v>5649</v>
      </c>
      <c r="E506" s="142"/>
      <c r="F506" s="70">
        <v>44831</v>
      </c>
    </row>
    <row r="507" spans="2:6">
      <c r="B507" s="58" t="s">
        <v>358</v>
      </c>
      <c r="C507" s="58" t="s">
        <v>565</v>
      </c>
      <c r="D507" s="76">
        <v>23999</v>
      </c>
      <c r="E507" s="141"/>
      <c r="F507" s="70">
        <v>44833</v>
      </c>
    </row>
    <row r="508" spans="2:6">
      <c r="B508" s="58" t="s">
        <v>358</v>
      </c>
      <c r="C508" s="58" t="s">
        <v>566</v>
      </c>
      <c r="D508" s="76">
        <v>25999</v>
      </c>
      <c r="E508" s="141"/>
      <c r="F508" s="70">
        <v>44833</v>
      </c>
    </row>
    <row r="509" spans="2:6">
      <c r="B509" s="58" t="s">
        <v>358</v>
      </c>
      <c r="C509" s="58" t="s">
        <v>567</v>
      </c>
      <c r="D509" s="76">
        <v>28999</v>
      </c>
      <c r="E509" s="141"/>
      <c r="F509" s="70">
        <v>44833</v>
      </c>
    </row>
    <row r="510" spans="2:6">
      <c r="B510" s="58" t="s">
        <v>358</v>
      </c>
      <c r="C510" s="58" t="s">
        <v>568</v>
      </c>
      <c r="D510" s="76">
        <v>28999</v>
      </c>
      <c r="E510" s="141"/>
      <c r="F510" s="70">
        <v>44833</v>
      </c>
    </row>
    <row r="511" spans="2:6">
      <c r="B511" s="58" t="s">
        <v>358</v>
      </c>
      <c r="C511" s="58" t="s">
        <v>569</v>
      </c>
      <c r="D511" s="76">
        <v>31999</v>
      </c>
      <c r="E511" s="141"/>
      <c r="F511" s="70">
        <v>44833</v>
      </c>
    </row>
    <row r="512" spans="2:6">
      <c r="B512" s="58" t="s">
        <v>393</v>
      </c>
      <c r="C512" s="58" t="s">
        <v>570</v>
      </c>
      <c r="D512" s="76">
        <v>5499</v>
      </c>
      <c r="E512" s="141"/>
      <c r="F512" s="70">
        <v>44851</v>
      </c>
    </row>
    <row r="513" spans="2:6">
      <c r="B513" s="58" t="s">
        <v>393</v>
      </c>
      <c r="C513" s="58" t="s">
        <v>571</v>
      </c>
      <c r="D513" s="76">
        <v>6499</v>
      </c>
      <c r="E513" s="141"/>
      <c r="F513" s="70">
        <v>44851</v>
      </c>
    </row>
    <row r="514" spans="2:6">
      <c r="B514" s="58" t="s">
        <v>358</v>
      </c>
      <c r="C514" s="58" t="s">
        <v>572</v>
      </c>
      <c r="D514" s="76">
        <v>28999</v>
      </c>
      <c r="E514" s="141"/>
      <c r="F514" s="70">
        <v>44851</v>
      </c>
    </row>
    <row r="515" spans="2:6">
      <c r="B515" s="58" t="s">
        <v>358</v>
      </c>
      <c r="C515" s="58" t="s">
        <v>573</v>
      </c>
      <c r="D515" s="76">
        <v>23999</v>
      </c>
      <c r="E515" s="141"/>
      <c r="F515" s="70">
        <v>44851</v>
      </c>
    </row>
    <row r="516" spans="2:6">
      <c r="B516" s="58" t="s">
        <v>358</v>
      </c>
      <c r="C516" s="58" t="s">
        <v>574</v>
      </c>
      <c r="D516" s="76">
        <v>26999</v>
      </c>
      <c r="E516" s="141"/>
      <c r="F516" s="70">
        <v>44851</v>
      </c>
    </row>
    <row r="517" spans="2:6">
      <c r="B517" s="58" t="s">
        <v>358</v>
      </c>
      <c r="C517" s="58" t="s">
        <v>575</v>
      </c>
      <c r="D517" s="76">
        <v>31999</v>
      </c>
      <c r="E517" s="141"/>
      <c r="F517" s="70">
        <v>44851</v>
      </c>
    </row>
    <row r="518" spans="2:6">
      <c r="B518" s="58" t="s">
        <v>358</v>
      </c>
      <c r="C518" s="58" t="s">
        <v>576</v>
      </c>
      <c r="D518" s="76">
        <v>33999</v>
      </c>
      <c r="E518" s="141"/>
      <c r="F518" s="70">
        <v>44851</v>
      </c>
    </row>
    <row r="519" spans="2:6">
      <c r="B519" s="58" t="s">
        <v>358</v>
      </c>
      <c r="C519" s="58" t="s">
        <v>577</v>
      </c>
      <c r="D519" s="76">
        <v>38999</v>
      </c>
      <c r="E519" s="141"/>
      <c r="F519" s="70">
        <v>44851</v>
      </c>
    </row>
    <row r="520" spans="2:6">
      <c r="B520" s="58" t="s">
        <v>358</v>
      </c>
      <c r="C520" s="58" t="s">
        <v>578</v>
      </c>
      <c r="D520" s="76">
        <v>36999</v>
      </c>
      <c r="E520" s="141"/>
      <c r="F520" s="70">
        <v>44851</v>
      </c>
    </row>
    <row r="521" spans="2:6">
      <c r="B521" s="58" t="s">
        <v>358</v>
      </c>
      <c r="C521" s="58" t="s">
        <v>579</v>
      </c>
      <c r="D521" s="76">
        <v>41999</v>
      </c>
      <c r="E521" s="141"/>
      <c r="F521" s="70">
        <v>44851</v>
      </c>
    </row>
    <row r="522" spans="2:6">
      <c r="B522" s="71" t="s">
        <v>355</v>
      </c>
      <c r="C522" s="58" t="s">
        <v>599</v>
      </c>
      <c r="D522" s="76">
        <v>1717.460388</v>
      </c>
      <c r="E522" s="141"/>
      <c r="F522" s="70">
        <v>44874</v>
      </c>
    </row>
    <row r="523" spans="2:6">
      <c r="B523" s="71" t="s">
        <v>355</v>
      </c>
      <c r="C523" s="58" t="s">
        <v>600</v>
      </c>
      <c r="D523" s="76">
        <v>2880</v>
      </c>
      <c r="E523" s="141"/>
      <c r="F523" s="70">
        <v>44874</v>
      </c>
    </row>
    <row r="524" spans="2:6">
      <c r="B524" s="71" t="s">
        <v>355</v>
      </c>
      <c r="C524" s="58" t="s">
        <v>601</v>
      </c>
      <c r="D524" s="76">
        <v>3649</v>
      </c>
      <c r="E524" s="141"/>
      <c r="F524" s="70">
        <v>44874</v>
      </c>
    </row>
    <row r="525" spans="2:6">
      <c r="B525" s="71" t="s">
        <v>358</v>
      </c>
      <c r="C525" s="58" t="s">
        <v>581</v>
      </c>
      <c r="D525" s="76">
        <v>10999</v>
      </c>
      <c r="E525" s="141"/>
      <c r="F525" s="70">
        <v>44874</v>
      </c>
    </row>
    <row r="526" spans="2:6">
      <c r="B526" s="71" t="s">
        <v>496</v>
      </c>
      <c r="C526" s="58" t="s">
        <v>598</v>
      </c>
      <c r="D526" s="76">
        <v>13999</v>
      </c>
      <c r="E526" s="141"/>
      <c r="F526" s="70">
        <v>44874</v>
      </c>
    </row>
    <row r="527" spans="2:6">
      <c r="B527" s="71" t="s">
        <v>496</v>
      </c>
      <c r="C527" s="58" t="s">
        <v>609</v>
      </c>
      <c r="D527" s="76">
        <v>5189</v>
      </c>
      <c r="E527" s="141"/>
      <c r="F527" s="70">
        <v>44874</v>
      </c>
    </row>
    <row r="528" spans="2:6">
      <c r="B528" s="71" t="s">
        <v>338</v>
      </c>
      <c r="C528" s="58" t="s">
        <v>582</v>
      </c>
      <c r="D528" s="76">
        <v>8499</v>
      </c>
      <c r="E528" s="141"/>
      <c r="F528" s="70">
        <v>44874</v>
      </c>
    </row>
    <row r="529" spans="2:6">
      <c r="B529" s="71" t="s">
        <v>338</v>
      </c>
      <c r="C529" s="58" t="s">
        <v>583</v>
      </c>
      <c r="D529" s="76">
        <v>12999</v>
      </c>
      <c r="E529" s="141"/>
      <c r="F529" s="70">
        <v>44874</v>
      </c>
    </row>
    <row r="530" spans="2:6">
      <c r="B530" s="71" t="s">
        <v>338</v>
      </c>
      <c r="C530" s="58" t="s">
        <v>584</v>
      </c>
      <c r="D530" s="76">
        <v>8499</v>
      </c>
      <c r="E530" s="141"/>
      <c r="F530" s="70">
        <v>44874</v>
      </c>
    </row>
    <row r="531" spans="2:6">
      <c r="B531" s="71" t="s">
        <v>338</v>
      </c>
      <c r="C531" s="58" t="s">
        <v>585</v>
      </c>
      <c r="D531" s="76">
        <v>5699</v>
      </c>
      <c r="E531" s="141"/>
      <c r="F531" s="70">
        <v>44874</v>
      </c>
    </row>
    <row r="532" spans="2:6">
      <c r="B532" s="71" t="s">
        <v>338</v>
      </c>
      <c r="C532" s="58" t="s">
        <v>586</v>
      </c>
      <c r="D532" s="76">
        <v>6999</v>
      </c>
      <c r="E532" s="141"/>
      <c r="F532" s="70">
        <v>44874</v>
      </c>
    </row>
    <row r="533" spans="2:6">
      <c r="B533" s="71" t="s">
        <v>338</v>
      </c>
      <c r="C533" s="58" t="s">
        <v>587</v>
      </c>
      <c r="D533" s="76">
        <v>7499</v>
      </c>
      <c r="E533" s="141"/>
      <c r="F533" s="70">
        <v>44874</v>
      </c>
    </row>
    <row r="534" spans="2:6">
      <c r="B534" s="71" t="s">
        <v>338</v>
      </c>
      <c r="C534" s="58" t="s">
        <v>527</v>
      </c>
      <c r="D534" s="76">
        <v>18999</v>
      </c>
      <c r="E534" s="141"/>
      <c r="F534" s="70">
        <v>44874</v>
      </c>
    </row>
    <row r="535" spans="2:6">
      <c r="B535" s="71" t="s">
        <v>338</v>
      </c>
      <c r="C535" s="58" t="s">
        <v>588</v>
      </c>
      <c r="D535" s="76">
        <v>26999</v>
      </c>
      <c r="E535" s="141"/>
      <c r="F535" s="70">
        <v>44874</v>
      </c>
    </row>
    <row r="536" spans="2:6">
      <c r="B536" s="71" t="s">
        <v>338</v>
      </c>
      <c r="C536" s="58" t="s">
        <v>589</v>
      </c>
      <c r="D536" s="76">
        <v>26999</v>
      </c>
      <c r="E536" s="141"/>
      <c r="F536" s="70">
        <v>44874</v>
      </c>
    </row>
    <row r="537" spans="2:6">
      <c r="B537" s="71" t="s">
        <v>338</v>
      </c>
      <c r="C537" s="58" t="s">
        <v>590</v>
      </c>
      <c r="D537" s="76">
        <v>11999</v>
      </c>
      <c r="E537" s="141"/>
      <c r="F537" s="70">
        <v>44874</v>
      </c>
    </row>
    <row r="538" spans="2:6">
      <c r="B538" s="71" t="s">
        <v>338</v>
      </c>
      <c r="C538" s="58" t="s">
        <v>591</v>
      </c>
      <c r="D538" s="76">
        <v>4499</v>
      </c>
      <c r="E538" s="141"/>
      <c r="F538" s="70">
        <v>44874</v>
      </c>
    </row>
    <row r="539" spans="2:6">
      <c r="B539" s="71" t="s">
        <v>338</v>
      </c>
      <c r="C539" s="58" t="s">
        <v>592</v>
      </c>
      <c r="D539" s="76">
        <v>3789</v>
      </c>
      <c r="E539" s="141"/>
      <c r="F539" s="70">
        <v>44874</v>
      </c>
    </row>
    <row r="540" spans="2:6">
      <c r="B540" s="71" t="s">
        <v>338</v>
      </c>
      <c r="C540" s="58" t="s">
        <v>593</v>
      </c>
      <c r="D540" s="76">
        <v>5799</v>
      </c>
      <c r="E540" s="141"/>
      <c r="F540" s="70">
        <v>44874</v>
      </c>
    </row>
    <row r="541" spans="2:6">
      <c r="B541" s="71" t="s">
        <v>338</v>
      </c>
      <c r="C541" s="58" t="s">
        <v>594</v>
      </c>
      <c r="D541" s="76">
        <v>5499</v>
      </c>
      <c r="E541" s="141"/>
      <c r="F541" s="70">
        <v>44874</v>
      </c>
    </row>
    <row r="542" spans="2:6">
      <c r="B542" s="71" t="s">
        <v>338</v>
      </c>
      <c r="C542" s="58" t="s">
        <v>595</v>
      </c>
      <c r="D542" s="76">
        <v>5799</v>
      </c>
      <c r="E542" s="141"/>
      <c r="F542" s="70">
        <v>44874</v>
      </c>
    </row>
    <row r="543" spans="2:6">
      <c r="B543" s="71" t="s">
        <v>338</v>
      </c>
      <c r="C543" s="58" t="s">
        <v>596</v>
      </c>
      <c r="D543" s="76">
        <v>7499</v>
      </c>
      <c r="E543" s="141"/>
      <c r="F543" s="70">
        <v>44874</v>
      </c>
    </row>
    <row r="544" spans="2:6">
      <c r="B544" s="71" t="s">
        <v>338</v>
      </c>
      <c r="C544" s="58" t="s">
        <v>597</v>
      </c>
      <c r="D544" s="76">
        <v>10198</v>
      </c>
      <c r="E544" s="141"/>
      <c r="F544" s="70">
        <v>44874</v>
      </c>
    </row>
    <row r="545" spans="2:6">
      <c r="B545" s="71" t="s">
        <v>363</v>
      </c>
      <c r="C545" s="58" t="s">
        <v>608</v>
      </c>
      <c r="D545" s="76">
        <v>3599</v>
      </c>
      <c r="E545" s="141"/>
      <c r="F545" s="70">
        <v>44874</v>
      </c>
    </row>
    <row r="546" spans="2:6">
      <c r="B546" s="71" t="s">
        <v>393</v>
      </c>
      <c r="C546" s="58" t="s">
        <v>602</v>
      </c>
      <c r="D546" s="76">
        <v>8999</v>
      </c>
      <c r="E546" s="141"/>
      <c r="F546" s="70">
        <v>44874</v>
      </c>
    </row>
    <row r="547" spans="2:6">
      <c r="B547" s="71" t="s">
        <v>336</v>
      </c>
      <c r="C547" s="58" t="s">
        <v>606</v>
      </c>
      <c r="D547" s="76">
        <v>3999</v>
      </c>
      <c r="E547" s="141"/>
      <c r="F547" s="70">
        <v>44876</v>
      </c>
    </row>
    <row r="548" spans="2:6">
      <c r="B548" s="71" t="s">
        <v>336</v>
      </c>
      <c r="C548" s="58" t="s">
        <v>607</v>
      </c>
      <c r="D548" s="76">
        <v>3499</v>
      </c>
      <c r="E548" s="141"/>
      <c r="F548" s="70">
        <v>44876</v>
      </c>
    </row>
    <row r="549" spans="2:6">
      <c r="B549" s="71" t="s">
        <v>385</v>
      </c>
      <c r="C549" s="58" t="s">
        <v>603</v>
      </c>
      <c r="D549" s="76">
        <v>12999</v>
      </c>
      <c r="E549" s="141"/>
      <c r="F549" s="70">
        <v>44874</v>
      </c>
    </row>
    <row r="550" spans="2:6">
      <c r="B550" s="71" t="s">
        <v>385</v>
      </c>
      <c r="C550" s="58" t="s">
        <v>604</v>
      </c>
      <c r="D550" s="76">
        <v>17999</v>
      </c>
      <c r="E550" s="141"/>
      <c r="F550" s="70">
        <v>44874</v>
      </c>
    </row>
    <row r="551" spans="2:6">
      <c r="B551" s="71" t="s">
        <v>385</v>
      </c>
      <c r="C551" s="58" t="s">
        <v>605</v>
      </c>
      <c r="D551" s="76">
        <v>7999</v>
      </c>
      <c r="E551" s="141"/>
      <c r="F551" s="70">
        <v>44874</v>
      </c>
    </row>
    <row r="552" spans="2:6">
      <c r="B552" s="71" t="s">
        <v>363</v>
      </c>
      <c r="C552" s="58" t="s">
        <v>610</v>
      </c>
      <c r="D552" s="76">
        <v>26999</v>
      </c>
      <c r="E552" s="141"/>
      <c r="F552" s="70">
        <v>44939</v>
      </c>
    </row>
    <row r="553" spans="2:6">
      <c r="B553" s="71" t="s">
        <v>363</v>
      </c>
      <c r="C553" s="58" t="s">
        <v>611</v>
      </c>
      <c r="D553" s="76">
        <v>5699</v>
      </c>
      <c r="E553" s="141"/>
      <c r="F553" s="70">
        <v>44918</v>
      </c>
    </row>
    <row r="554" spans="2:6">
      <c r="B554" s="71" t="s">
        <v>393</v>
      </c>
      <c r="C554" s="58" t="s">
        <v>612</v>
      </c>
      <c r="D554" s="76">
        <v>4139</v>
      </c>
      <c r="E554" s="141"/>
      <c r="F554" s="70">
        <v>44910</v>
      </c>
    </row>
    <row r="555" spans="2:6">
      <c r="B555" s="71" t="s">
        <v>271</v>
      </c>
      <c r="C555" s="58" t="s">
        <v>614</v>
      </c>
      <c r="D555" s="76">
        <v>5299</v>
      </c>
      <c r="E555" s="141"/>
      <c r="F555" s="70">
        <v>44910</v>
      </c>
    </row>
    <row r="556" spans="2:6">
      <c r="B556" s="71" t="s">
        <v>615</v>
      </c>
      <c r="C556" s="58" t="s">
        <v>616</v>
      </c>
      <c r="D556" s="76">
        <v>5999</v>
      </c>
      <c r="E556" s="141"/>
      <c r="F556" s="70">
        <v>44910</v>
      </c>
    </row>
    <row r="557" spans="2:6">
      <c r="B557" s="71" t="s">
        <v>271</v>
      </c>
      <c r="C557" s="58" t="s">
        <v>613</v>
      </c>
      <c r="D557" s="76">
        <v>3499</v>
      </c>
      <c r="E557" s="141"/>
      <c r="F557" s="70">
        <v>44918</v>
      </c>
    </row>
    <row r="558" spans="2:6">
      <c r="B558" s="71" t="s">
        <v>336</v>
      </c>
      <c r="C558" s="58" t="s">
        <v>617</v>
      </c>
      <c r="D558" s="76">
        <v>2699</v>
      </c>
      <c r="E558" s="141"/>
      <c r="F558" s="70">
        <v>44918</v>
      </c>
    </row>
    <row r="559" spans="2:6">
      <c r="B559" s="71" t="s">
        <v>336</v>
      </c>
      <c r="C559" s="58" t="s">
        <v>618</v>
      </c>
      <c r="D559" s="79">
        <v>23999</v>
      </c>
      <c r="E559" s="143"/>
      <c r="F559" s="72">
        <v>44978</v>
      </c>
    </row>
    <row r="560" spans="2:6">
      <c r="B560" s="71" t="s">
        <v>336</v>
      </c>
      <c r="C560" s="58" t="s">
        <v>619</v>
      </c>
      <c r="D560" s="79">
        <v>25999</v>
      </c>
      <c r="E560" s="143"/>
      <c r="F560" s="72">
        <v>44978</v>
      </c>
    </row>
    <row r="561" spans="2:6">
      <c r="B561" s="71" t="s">
        <v>336</v>
      </c>
      <c r="C561" s="58" t="s">
        <v>620</v>
      </c>
      <c r="D561" s="79">
        <v>28999</v>
      </c>
      <c r="E561" s="143"/>
      <c r="F561" s="72">
        <v>44978</v>
      </c>
    </row>
    <row r="562" spans="2:6">
      <c r="B562" s="71" t="s">
        <v>336</v>
      </c>
      <c r="C562" s="58" t="s">
        <v>621</v>
      </c>
      <c r="D562" s="79">
        <v>30999</v>
      </c>
      <c r="E562" s="143"/>
      <c r="F562" s="72">
        <v>44978</v>
      </c>
    </row>
    <row r="563" spans="2:6">
      <c r="B563" s="71" t="s">
        <v>336</v>
      </c>
      <c r="C563" s="58" t="s">
        <v>622</v>
      </c>
      <c r="D563" s="79">
        <v>35999</v>
      </c>
      <c r="E563" s="143"/>
      <c r="F563" s="72">
        <v>44978</v>
      </c>
    </row>
    <row r="564" spans="2:6">
      <c r="B564" s="71" t="s">
        <v>336</v>
      </c>
      <c r="C564" s="58" t="s">
        <v>623</v>
      </c>
      <c r="D564" s="79">
        <v>40999</v>
      </c>
      <c r="E564" s="143"/>
      <c r="F564" s="72">
        <v>44978</v>
      </c>
    </row>
    <row r="565" spans="2:6">
      <c r="B565" s="71" t="s">
        <v>336</v>
      </c>
      <c r="C565" s="58" t="s">
        <v>624</v>
      </c>
      <c r="D565" s="79">
        <v>5999</v>
      </c>
      <c r="E565" s="143"/>
      <c r="F565" s="72">
        <v>44978</v>
      </c>
    </row>
    <row r="566" spans="2:6">
      <c r="B566" s="71" t="s">
        <v>336</v>
      </c>
      <c r="C566" s="58" t="s">
        <v>625</v>
      </c>
      <c r="D566" s="79">
        <v>4999</v>
      </c>
      <c r="E566" s="143"/>
      <c r="F566" s="72">
        <v>44978</v>
      </c>
    </row>
    <row r="567" spans="2:6">
      <c r="B567" s="71" t="s">
        <v>626</v>
      </c>
      <c r="C567" s="58" t="s">
        <v>627</v>
      </c>
      <c r="D567" s="79">
        <v>5499</v>
      </c>
      <c r="E567" s="143"/>
      <c r="F567" s="72">
        <v>44978</v>
      </c>
    </row>
    <row r="568" spans="2:6">
      <c r="B568" s="71" t="s">
        <v>393</v>
      </c>
      <c r="C568" s="58" t="s">
        <v>628</v>
      </c>
      <c r="D568" s="79">
        <v>9499</v>
      </c>
      <c r="E568" s="143"/>
      <c r="F568" s="72">
        <v>44978</v>
      </c>
    </row>
    <row r="569" spans="2:6">
      <c r="B569" s="71" t="s">
        <v>336</v>
      </c>
      <c r="C569" s="58" t="s">
        <v>629</v>
      </c>
      <c r="D569" s="79">
        <v>23999</v>
      </c>
      <c r="E569" s="143"/>
      <c r="F569" s="72">
        <v>44978</v>
      </c>
    </row>
    <row r="570" spans="2:6">
      <c r="B570" s="71" t="s">
        <v>338</v>
      </c>
      <c r="C570" s="58" t="s">
        <v>630</v>
      </c>
      <c r="D570" s="79">
        <v>4139</v>
      </c>
      <c r="E570" s="143"/>
      <c r="F570" s="72">
        <v>45001</v>
      </c>
    </row>
    <row r="571" spans="2:6">
      <c r="B571" s="71" t="s">
        <v>338</v>
      </c>
      <c r="C571" s="58" t="s">
        <v>631</v>
      </c>
      <c r="D571" s="79">
        <v>28999</v>
      </c>
      <c r="E571" s="143"/>
      <c r="F571" s="72">
        <v>45001</v>
      </c>
    </row>
    <row r="572" spans="2:6">
      <c r="B572" s="71" t="s">
        <v>496</v>
      </c>
      <c r="C572" s="58" t="s">
        <v>632</v>
      </c>
      <c r="D572" s="79">
        <v>7999</v>
      </c>
      <c r="E572" s="143"/>
      <c r="F572" s="72">
        <v>45001</v>
      </c>
    </row>
    <row r="573" spans="2:6">
      <c r="B573" s="71" t="s">
        <v>496</v>
      </c>
      <c r="C573" s="58" t="s">
        <v>633</v>
      </c>
      <c r="D573" s="79">
        <v>8999</v>
      </c>
      <c r="E573" s="143"/>
      <c r="F573" s="72">
        <v>45001</v>
      </c>
    </row>
    <row r="574" spans="2:6">
      <c r="B574" s="71" t="s">
        <v>336</v>
      </c>
      <c r="C574" s="58" t="s">
        <v>634</v>
      </c>
      <c r="D574" s="79">
        <v>9999</v>
      </c>
      <c r="E574" s="143"/>
      <c r="F574" s="72">
        <v>45001</v>
      </c>
    </row>
    <row r="575" spans="2:6">
      <c r="B575" s="71" t="s">
        <v>336</v>
      </c>
      <c r="C575" s="58" t="s">
        <v>635</v>
      </c>
      <c r="D575" s="79">
        <v>7999</v>
      </c>
      <c r="E575" s="143"/>
      <c r="F575" s="72">
        <v>45001</v>
      </c>
    </row>
    <row r="576" spans="2:6">
      <c r="B576" s="71" t="s">
        <v>336</v>
      </c>
      <c r="C576" s="58" t="s">
        <v>636</v>
      </c>
      <c r="D576" s="79">
        <v>5799</v>
      </c>
      <c r="E576" s="143"/>
      <c r="F576" s="72">
        <v>45001</v>
      </c>
    </row>
    <row r="577" spans="2:6">
      <c r="B577" s="71" t="s">
        <v>363</v>
      </c>
      <c r="C577" s="58" t="s">
        <v>637</v>
      </c>
      <c r="D577" s="79">
        <v>4299</v>
      </c>
      <c r="E577" s="143"/>
      <c r="F577" s="72">
        <v>45001</v>
      </c>
    </row>
    <row r="578" spans="2:6">
      <c r="B578" s="71" t="s">
        <v>363</v>
      </c>
      <c r="C578" s="58" t="s">
        <v>638</v>
      </c>
      <c r="D578" s="79">
        <v>26999</v>
      </c>
      <c r="E578" s="143"/>
      <c r="F578" s="72">
        <v>45015</v>
      </c>
    </row>
    <row r="579" spans="2:6">
      <c r="B579" s="71" t="s">
        <v>496</v>
      </c>
      <c r="C579" s="58" t="s">
        <v>639</v>
      </c>
      <c r="D579" s="79">
        <v>2499</v>
      </c>
      <c r="E579" s="143"/>
      <c r="F579" s="72">
        <v>45015</v>
      </c>
    </row>
    <row r="580" spans="2:6">
      <c r="B580" s="71" t="s">
        <v>385</v>
      </c>
      <c r="C580" s="58" t="s">
        <v>640</v>
      </c>
      <c r="D580" s="79">
        <v>4499</v>
      </c>
      <c r="E580" s="143"/>
      <c r="F580" s="72">
        <v>45015</v>
      </c>
    </row>
    <row r="581" spans="2:6">
      <c r="B581" s="71" t="s">
        <v>385</v>
      </c>
      <c r="C581" s="58" t="s">
        <v>641</v>
      </c>
      <c r="D581" s="79">
        <v>2499</v>
      </c>
      <c r="E581" s="143"/>
      <c r="F581" s="72">
        <v>45015</v>
      </c>
    </row>
    <row r="582" spans="2:6">
      <c r="B582" s="71" t="s">
        <v>358</v>
      </c>
      <c r="C582" s="58" t="s">
        <v>565</v>
      </c>
      <c r="D582" s="79">
        <v>23999</v>
      </c>
      <c r="E582" s="143"/>
      <c r="F582" s="72">
        <v>45048</v>
      </c>
    </row>
    <row r="583" spans="2:6">
      <c r="B583" s="71" t="s">
        <v>358</v>
      </c>
      <c r="C583" s="58" t="s">
        <v>648</v>
      </c>
      <c r="D583" s="79">
        <v>23999</v>
      </c>
      <c r="E583" s="143"/>
      <c r="F583" s="72">
        <v>45048</v>
      </c>
    </row>
    <row r="584" spans="2:6">
      <c r="B584" s="71" t="s">
        <v>358</v>
      </c>
      <c r="C584" s="58" t="s">
        <v>649</v>
      </c>
      <c r="D584" s="79">
        <v>26999</v>
      </c>
      <c r="E584" s="143"/>
      <c r="F584" s="72">
        <v>45048</v>
      </c>
    </row>
    <row r="585" spans="2:6">
      <c r="B585" s="71" t="s">
        <v>385</v>
      </c>
      <c r="C585" s="58" t="s">
        <v>646</v>
      </c>
      <c r="D585" s="79">
        <v>6499</v>
      </c>
      <c r="E585" s="143"/>
      <c r="F585" s="72">
        <v>45058</v>
      </c>
    </row>
    <row r="586" spans="2:6">
      <c r="B586" s="71" t="s">
        <v>385</v>
      </c>
      <c r="C586" s="58" t="s">
        <v>647</v>
      </c>
      <c r="D586" s="79">
        <v>13999</v>
      </c>
      <c r="E586" s="143"/>
      <c r="F586" s="72" t="s">
        <v>1054</v>
      </c>
    </row>
    <row r="587" spans="2:6">
      <c r="B587" s="71" t="s">
        <v>496</v>
      </c>
      <c r="C587" s="58" t="s">
        <v>650</v>
      </c>
      <c r="D587" s="79">
        <v>9999</v>
      </c>
      <c r="E587" s="143"/>
      <c r="F587" s="72">
        <v>45086</v>
      </c>
    </row>
    <row r="588" spans="2:6">
      <c r="B588" s="71" t="s">
        <v>496</v>
      </c>
      <c r="C588" s="58" t="s">
        <v>651</v>
      </c>
      <c r="D588" s="79">
        <v>9999</v>
      </c>
      <c r="E588" s="143"/>
      <c r="F588" s="72">
        <v>45058</v>
      </c>
    </row>
    <row r="589" spans="2:6">
      <c r="B589" s="71" t="s">
        <v>496</v>
      </c>
      <c r="C589" s="58" t="s">
        <v>652</v>
      </c>
      <c r="D589" s="79">
        <v>44999</v>
      </c>
      <c r="E589" s="143"/>
      <c r="F589" s="72">
        <v>45086</v>
      </c>
    </row>
    <row r="590" spans="2:6">
      <c r="B590" s="71" t="s">
        <v>626</v>
      </c>
      <c r="C590" s="58" t="s">
        <v>653</v>
      </c>
      <c r="D590" s="79">
        <v>7999</v>
      </c>
      <c r="E590" s="143"/>
      <c r="F590" s="72">
        <v>45078</v>
      </c>
    </row>
    <row r="591" spans="2:6">
      <c r="B591" s="71" t="s">
        <v>338</v>
      </c>
      <c r="C591" s="58" t="s">
        <v>654</v>
      </c>
      <c r="D591" s="79">
        <v>25999</v>
      </c>
      <c r="E591" s="143"/>
      <c r="F591" s="72" t="s">
        <v>1048</v>
      </c>
    </row>
    <row r="592" spans="2:6">
      <c r="B592" s="71" t="s">
        <v>626</v>
      </c>
      <c r="C592" s="58" t="s">
        <v>1049</v>
      </c>
      <c r="D592" s="79">
        <v>11999</v>
      </c>
      <c r="E592" s="143"/>
      <c r="F592" s="72" t="s">
        <v>1053</v>
      </c>
    </row>
    <row r="593" spans="2:6">
      <c r="B593" s="71" t="s">
        <v>626</v>
      </c>
      <c r="C593" s="58" t="s">
        <v>1050</v>
      </c>
      <c r="D593" s="79">
        <v>15999</v>
      </c>
      <c r="E593" s="143"/>
      <c r="F593" s="72" t="s">
        <v>1053</v>
      </c>
    </row>
    <row r="594" spans="2:6">
      <c r="B594" s="71" t="s">
        <v>626</v>
      </c>
      <c r="C594" s="58" t="s">
        <v>1051</v>
      </c>
      <c r="D594" s="79">
        <v>7999</v>
      </c>
      <c r="E594" s="143"/>
      <c r="F594" s="72" t="s">
        <v>1053</v>
      </c>
    </row>
    <row r="595" spans="2:6">
      <c r="B595" s="71" t="s">
        <v>385</v>
      </c>
      <c r="C595" s="58" t="s">
        <v>1084</v>
      </c>
      <c r="D595" s="79">
        <v>2499</v>
      </c>
      <c r="E595" s="143"/>
      <c r="F595" s="72" t="s">
        <v>1085</v>
      </c>
    </row>
    <row r="596" spans="2:6">
      <c r="B596" s="71" t="s">
        <v>385</v>
      </c>
      <c r="C596" s="58" t="s">
        <v>1088</v>
      </c>
      <c r="D596" s="79">
        <v>9999</v>
      </c>
      <c r="E596" s="143"/>
      <c r="F596" s="72" t="s">
        <v>1086</v>
      </c>
    </row>
    <row r="597" spans="2:6">
      <c r="B597" s="71" t="s">
        <v>385</v>
      </c>
      <c r="C597" s="58" t="s">
        <v>1089</v>
      </c>
      <c r="D597" s="79">
        <v>8499</v>
      </c>
      <c r="E597" s="143"/>
      <c r="F597" s="72" t="s">
        <v>1090</v>
      </c>
    </row>
    <row r="598" spans="2:6">
      <c r="B598" s="71" t="s">
        <v>385</v>
      </c>
      <c r="C598" s="58" t="s">
        <v>879</v>
      </c>
      <c r="D598" s="79">
        <v>6139</v>
      </c>
      <c r="E598" s="143"/>
      <c r="F598" s="72" t="s">
        <v>1090</v>
      </c>
    </row>
    <row r="599" spans="2:6">
      <c r="B599" s="71" t="s">
        <v>93</v>
      </c>
      <c r="C599" s="58" t="s">
        <v>1091</v>
      </c>
      <c r="D599" s="79">
        <v>1999</v>
      </c>
      <c r="E599" s="143"/>
      <c r="F599" s="72" t="s">
        <v>1094</v>
      </c>
    </row>
    <row r="600" spans="2:6">
      <c r="B600" s="71" t="s">
        <v>93</v>
      </c>
      <c r="C600" s="58" t="s">
        <v>1092</v>
      </c>
      <c r="D600" s="79">
        <v>2999</v>
      </c>
      <c r="E600" s="143"/>
      <c r="F600" s="72" t="s">
        <v>1094</v>
      </c>
    </row>
    <row r="601" spans="2:6">
      <c r="B601" s="71" t="s">
        <v>336</v>
      </c>
      <c r="C601" s="58" t="s">
        <v>1093</v>
      </c>
      <c r="D601" s="79">
        <v>2499</v>
      </c>
      <c r="E601" s="143"/>
      <c r="F601" s="72" t="s">
        <v>1094</v>
      </c>
    </row>
    <row r="602" spans="2:6">
      <c r="B602" s="71" t="s">
        <v>496</v>
      </c>
      <c r="C602" s="58" t="s">
        <v>1095</v>
      </c>
      <c r="D602" s="79">
        <v>2599</v>
      </c>
      <c r="E602" s="143"/>
      <c r="F602" s="72" t="s">
        <v>1097</v>
      </c>
    </row>
    <row r="603" spans="2:6">
      <c r="B603" s="71" t="s">
        <v>496</v>
      </c>
      <c r="C603" s="58" t="s">
        <v>1096</v>
      </c>
      <c r="D603" s="79">
        <v>4299</v>
      </c>
      <c r="E603" s="143"/>
      <c r="F603" s="72" t="s">
        <v>1098</v>
      </c>
    </row>
    <row r="604" spans="2:6">
      <c r="B604" s="71" t="s">
        <v>496</v>
      </c>
      <c r="C604" s="58" t="s">
        <v>1099</v>
      </c>
      <c r="D604" s="79">
        <v>5999</v>
      </c>
      <c r="E604" s="143"/>
      <c r="F604" s="72" t="s">
        <v>1102</v>
      </c>
    </row>
    <row r="605" spans="2:6">
      <c r="B605" s="71" t="s">
        <v>496</v>
      </c>
      <c r="C605" s="58" t="s">
        <v>1100</v>
      </c>
      <c r="D605" s="79">
        <v>6999</v>
      </c>
      <c r="E605" s="143"/>
      <c r="F605" s="72" t="s">
        <v>1102</v>
      </c>
    </row>
    <row r="606" spans="2:6">
      <c r="B606" s="71" t="s">
        <v>496</v>
      </c>
      <c r="C606" s="58" t="s">
        <v>1101</v>
      </c>
      <c r="D606" s="79">
        <v>3299</v>
      </c>
      <c r="E606" s="143"/>
      <c r="F606" s="72" t="s">
        <v>1102</v>
      </c>
    </row>
    <row r="607" spans="2:6">
      <c r="B607" s="71" t="s">
        <v>336</v>
      </c>
      <c r="C607" s="58" t="s">
        <v>1103</v>
      </c>
      <c r="D607" s="79">
        <v>19499</v>
      </c>
      <c r="E607" s="143"/>
      <c r="F607" s="72" t="s">
        <v>1111</v>
      </c>
    </row>
    <row r="608" spans="2:6">
      <c r="B608" s="71" t="s">
        <v>336</v>
      </c>
      <c r="C608" s="58" t="s">
        <v>1104</v>
      </c>
      <c r="D608" s="79">
        <v>20999</v>
      </c>
      <c r="E608" s="143"/>
      <c r="F608" s="72" t="s">
        <v>1111</v>
      </c>
    </row>
    <row r="609" spans="2:6">
      <c r="B609" s="71" t="s">
        <v>336</v>
      </c>
      <c r="C609" s="58" t="s">
        <v>1105</v>
      </c>
      <c r="D609" s="79">
        <v>23999</v>
      </c>
      <c r="E609" s="143"/>
      <c r="F609" s="72" t="s">
        <v>1111</v>
      </c>
    </row>
    <row r="610" spans="2:6">
      <c r="B610" s="71" t="s">
        <v>336</v>
      </c>
      <c r="C610" s="58" t="s">
        <v>1106</v>
      </c>
      <c r="D610" s="79">
        <v>26999</v>
      </c>
      <c r="E610" s="143"/>
      <c r="F610" s="72" t="s">
        <v>1111</v>
      </c>
    </row>
    <row r="611" spans="2:6">
      <c r="B611" s="71" t="s">
        <v>336</v>
      </c>
      <c r="C611" s="58" t="s">
        <v>1107</v>
      </c>
      <c r="D611" s="79">
        <v>30999</v>
      </c>
      <c r="E611" s="143"/>
      <c r="F611" s="72" t="s">
        <v>1111</v>
      </c>
    </row>
    <row r="612" spans="2:6">
      <c r="B612" s="71" t="s">
        <v>336</v>
      </c>
      <c r="C612" s="58" t="s">
        <v>1108</v>
      </c>
      <c r="D612" s="79">
        <v>33999</v>
      </c>
      <c r="E612" s="143"/>
      <c r="F612" s="72" t="s">
        <v>1111</v>
      </c>
    </row>
    <row r="613" spans="2:6">
      <c r="B613" s="71" t="s">
        <v>336</v>
      </c>
      <c r="C613" s="58" t="s">
        <v>1109</v>
      </c>
      <c r="D613" s="79">
        <v>39999</v>
      </c>
      <c r="E613" s="143"/>
      <c r="F613" s="72" t="s">
        <v>1111</v>
      </c>
    </row>
    <row r="614" spans="2:6">
      <c r="B614" s="71" t="s">
        <v>385</v>
      </c>
      <c r="C614" s="58" t="s">
        <v>1110</v>
      </c>
      <c r="D614" s="79">
        <v>3699</v>
      </c>
      <c r="E614" s="143"/>
      <c r="F614" s="72" t="s">
        <v>1112</v>
      </c>
    </row>
    <row r="615" spans="2:6">
      <c r="B615" s="71" t="s">
        <v>336</v>
      </c>
      <c r="C615" s="58" t="s">
        <v>1113</v>
      </c>
      <c r="D615" s="79">
        <v>6499</v>
      </c>
      <c r="E615" s="143"/>
      <c r="F615" s="72" t="s">
        <v>1118</v>
      </c>
    </row>
    <row r="616" spans="2:6">
      <c r="B616" s="71" t="s">
        <v>336</v>
      </c>
      <c r="C616" s="58" t="s">
        <v>1114</v>
      </c>
      <c r="D616" s="79">
        <v>4599</v>
      </c>
      <c r="E616" s="143"/>
      <c r="F616" s="72" t="s">
        <v>1118</v>
      </c>
    </row>
    <row r="617" spans="2:6">
      <c r="B617" s="71" t="s">
        <v>336</v>
      </c>
      <c r="C617" s="58" t="s">
        <v>1115</v>
      </c>
      <c r="D617" s="79">
        <v>3999</v>
      </c>
      <c r="E617" s="143"/>
      <c r="F617" s="72" t="s">
        <v>1118</v>
      </c>
    </row>
    <row r="618" spans="2:6">
      <c r="B618" s="71" t="s">
        <v>385</v>
      </c>
      <c r="C618" s="58" t="s">
        <v>1116</v>
      </c>
      <c r="D618" s="79">
        <v>6799</v>
      </c>
      <c r="E618" s="143"/>
      <c r="F618" s="72" t="s">
        <v>1119</v>
      </c>
    </row>
    <row r="619" spans="2:6">
      <c r="B619" s="71" t="s">
        <v>385</v>
      </c>
      <c r="C619" s="58" t="s">
        <v>1117</v>
      </c>
      <c r="D619" s="79">
        <v>8499</v>
      </c>
      <c r="E619" s="143"/>
      <c r="F619" s="72" t="s">
        <v>1120</v>
      </c>
    </row>
    <row r="620" spans="2:6">
      <c r="B620" s="71" t="s">
        <v>496</v>
      </c>
      <c r="C620" s="58" t="s">
        <v>1121</v>
      </c>
      <c r="D620" s="79">
        <v>4899</v>
      </c>
      <c r="E620" s="143"/>
      <c r="F620" s="72" t="s">
        <v>1122</v>
      </c>
    </row>
    <row r="621" spans="2:6">
      <c r="B621" s="71" t="s">
        <v>496</v>
      </c>
      <c r="C621" s="58" t="s">
        <v>1123</v>
      </c>
      <c r="D621" s="79">
        <v>9999</v>
      </c>
      <c r="E621" s="143"/>
      <c r="F621" s="72" t="s">
        <v>1125</v>
      </c>
    </row>
    <row r="622" spans="2:6">
      <c r="B622" s="71" t="s">
        <v>393</v>
      </c>
      <c r="C622" s="58" t="s">
        <v>1124</v>
      </c>
      <c r="D622" s="79">
        <v>9999</v>
      </c>
      <c r="E622" s="143"/>
      <c r="F622" s="72" t="s">
        <v>1126</v>
      </c>
    </row>
    <row r="623" spans="2:6">
      <c r="B623" s="71" t="s">
        <v>363</v>
      </c>
      <c r="C623" s="58" t="s">
        <v>1127</v>
      </c>
      <c r="D623" s="79">
        <v>3499</v>
      </c>
      <c r="E623" s="143"/>
      <c r="F623" s="72" t="s">
        <v>1128</v>
      </c>
    </row>
    <row r="624" spans="2:6">
      <c r="B624" s="71" t="s">
        <v>363</v>
      </c>
      <c r="C624" s="58" t="s">
        <v>1129</v>
      </c>
      <c r="D624" s="79">
        <v>4999</v>
      </c>
      <c r="E624" s="143"/>
      <c r="F624" s="72" t="s">
        <v>1132</v>
      </c>
    </row>
    <row r="625" spans="2:6">
      <c r="B625" s="71" t="s">
        <v>393</v>
      </c>
      <c r="C625" s="58" t="s">
        <v>1130</v>
      </c>
      <c r="D625" s="79">
        <v>6499</v>
      </c>
      <c r="E625" s="143"/>
      <c r="F625" s="72" t="s">
        <v>1131</v>
      </c>
    </row>
    <row r="626" spans="2:6">
      <c r="B626" s="71" t="s">
        <v>363</v>
      </c>
      <c r="C626" s="58" t="s">
        <v>1133</v>
      </c>
      <c r="D626" s="79">
        <v>2499</v>
      </c>
      <c r="E626" s="143"/>
      <c r="F626" s="72" t="s">
        <v>1136</v>
      </c>
    </row>
    <row r="627" spans="2:6">
      <c r="B627" s="71" t="s">
        <v>393</v>
      </c>
      <c r="C627" s="58" t="s">
        <v>1134</v>
      </c>
      <c r="D627" s="79">
        <v>7999</v>
      </c>
      <c r="E627" s="143"/>
      <c r="F627" s="72" t="s">
        <v>1135</v>
      </c>
    </row>
    <row r="628" spans="2:6">
      <c r="B628" s="71" t="s">
        <v>385</v>
      </c>
      <c r="C628" s="58" t="s">
        <v>1137</v>
      </c>
      <c r="D628" s="79">
        <v>1999</v>
      </c>
      <c r="E628" s="143"/>
      <c r="F628" s="72" t="s">
        <v>1140</v>
      </c>
    </row>
    <row r="629" spans="2:6">
      <c r="B629" s="71" t="s">
        <v>336</v>
      </c>
      <c r="C629" s="58" t="s">
        <v>1138</v>
      </c>
      <c r="D629" s="79">
        <v>6999</v>
      </c>
      <c r="E629" s="143"/>
      <c r="F629" s="72" t="s">
        <v>1140</v>
      </c>
    </row>
    <row r="630" spans="2:6">
      <c r="B630" s="71" t="s">
        <v>336</v>
      </c>
      <c r="C630" s="58" t="s">
        <v>1139</v>
      </c>
      <c r="D630" s="79">
        <v>8999</v>
      </c>
      <c r="E630" s="143"/>
      <c r="F630" s="72" t="s">
        <v>1140</v>
      </c>
    </row>
    <row r="631" spans="2:6">
      <c r="B631" s="71" t="s">
        <v>496</v>
      </c>
      <c r="C631" s="58" t="s">
        <v>1141</v>
      </c>
      <c r="D631" s="79">
        <v>44999</v>
      </c>
      <c r="E631" s="143"/>
      <c r="F631" s="72" t="s">
        <v>1147</v>
      </c>
    </row>
    <row r="632" spans="2:6">
      <c r="B632" s="71" t="s">
        <v>496</v>
      </c>
      <c r="C632" s="58" t="s">
        <v>1142</v>
      </c>
      <c r="D632" s="79">
        <v>28999</v>
      </c>
      <c r="E632" s="143"/>
      <c r="F632" s="72" t="s">
        <v>1147</v>
      </c>
    </row>
    <row r="633" spans="2:6">
      <c r="B633" s="71" t="s">
        <v>363</v>
      </c>
      <c r="C633" s="58" t="s">
        <v>1143</v>
      </c>
      <c r="D633" s="79">
        <v>10999</v>
      </c>
      <c r="E633" s="143"/>
      <c r="F633" s="72" t="s">
        <v>1147</v>
      </c>
    </row>
    <row r="634" spans="2:6">
      <c r="B634" s="71" t="s">
        <v>615</v>
      </c>
      <c r="C634" s="58" t="s">
        <v>1144</v>
      </c>
      <c r="D634" s="79">
        <v>1299</v>
      </c>
      <c r="E634" s="143"/>
      <c r="F634" s="72" t="s">
        <v>1147</v>
      </c>
    </row>
    <row r="635" spans="2:6">
      <c r="B635" s="71" t="s">
        <v>358</v>
      </c>
      <c r="C635" s="58" t="s">
        <v>1148</v>
      </c>
      <c r="D635" s="79">
        <v>13499</v>
      </c>
      <c r="E635" s="143"/>
      <c r="F635" s="72" t="s">
        <v>1151</v>
      </c>
    </row>
    <row r="636" spans="2:6">
      <c r="B636" s="71" t="s">
        <v>1150</v>
      </c>
      <c r="C636" s="58" t="s">
        <v>1149</v>
      </c>
      <c r="D636" s="79">
        <v>1199</v>
      </c>
      <c r="E636" s="143"/>
      <c r="F636" s="72" t="s">
        <v>1152</v>
      </c>
    </row>
    <row r="637" spans="2:6">
      <c r="B637" s="71" t="s">
        <v>363</v>
      </c>
      <c r="C637" s="58" t="s">
        <v>1154</v>
      </c>
      <c r="D637" s="79">
        <v>6999</v>
      </c>
      <c r="E637" s="143"/>
      <c r="F637" s="72" t="s">
        <v>1155</v>
      </c>
    </row>
    <row r="638" spans="2:6">
      <c r="B638" s="71" t="s">
        <v>385</v>
      </c>
      <c r="C638" s="58" t="s">
        <v>1156</v>
      </c>
      <c r="D638" s="79">
        <v>4999</v>
      </c>
      <c r="E638" s="143"/>
      <c r="F638" s="72" t="s">
        <v>1160</v>
      </c>
    </row>
    <row r="639" spans="2:6">
      <c r="B639" s="71" t="s">
        <v>363</v>
      </c>
      <c r="C639" s="58" t="s">
        <v>1159</v>
      </c>
      <c r="D639" s="79">
        <v>2499</v>
      </c>
      <c r="E639" s="143"/>
      <c r="F639" s="72" t="s">
        <v>1160</v>
      </c>
    </row>
    <row r="640" spans="2:6">
      <c r="B640" s="71" t="s">
        <v>496</v>
      </c>
      <c r="C640" s="58" t="s">
        <v>1167</v>
      </c>
      <c r="D640" s="79">
        <v>5999</v>
      </c>
      <c r="E640" s="143"/>
      <c r="F640" s="72" t="s">
        <v>1165</v>
      </c>
    </row>
    <row r="641" spans="2:6">
      <c r="B641" s="71" t="s">
        <v>336</v>
      </c>
      <c r="C641" s="58" t="s">
        <v>1161</v>
      </c>
      <c r="D641" s="79">
        <v>24999</v>
      </c>
      <c r="E641" s="143"/>
      <c r="F641" s="72" t="s">
        <v>1166</v>
      </c>
    </row>
    <row r="642" spans="2:6">
      <c r="B642" s="71" t="s">
        <v>336</v>
      </c>
      <c r="C642" s="58" t="s">
        <v>1162</v>
      </c>
      <c r="D642" s="79">
        <v>27999</v>
      </c>
      <c r="E642" s="143"/>
      <c r="F642" s="72" t="s">
        <v>1166</v>
      </c>
    </row>
    <row r="643" spans="2:6">
      <c r="B643" s="71" t="s">
        <v>336</v>
      </c>
      <c r="C643" s="58" t="s">
        <v>1163</v>
      </c>
      <c r="D643" s="79">
        <v>45999</v>
      </c>
      <c r="E643" s="143"/>
      <c r="F643" s="72" t="s">
        <v>1166</v>
      </c>
    </row>
    <row r="644" spans="2:6">
      <c r="B644" s="71" t="s">
        <v>336</v>
      </c>
      <c r="C644" s="58" t="s">
        <v>1164</v>
      </c>
      <c r="D644" s="79">
        <v>51999</v>
      </c>
      <c r="E644" s="143"/>
      <c r="F644" s="72" t="s">
        <v>1166</v>
      </c>
    </row>
    <row r="645" spans="2:6">
      <c r="B645" s="71" t="s">
        <v>496</v>
      </c>
      <c r="C645" s="58" t="s">
        <v>1170</v>
      </c>
      <c r="D645" s="79">
        <v>10999</v>
      </c>
      <c r="E645" s="143"/>
      <c r="F645" s="72" t="s">
        <v>1169</v>
      </c>
    </row>
    <row r="646" spans="2:6">
      <c r="B646" s="71" t="s">
        <v>393</v>
      </c>
      <c r="C646" s="58" t="s">
        <v>1171</v>
      </c>
      <c r="D646" s="79">
        <v>11999</v>
      </c>
      <c r="E646" s="143"/>
      <c r="F646" s="72" t="s">
        <v>1174</v>
      </c>
    </row>
    <row r="647" spans="2:6">
      <c r="B647" s="71" t="s">
        <v>393</v>
      </c>
      <c r="C647" s="58" t="s">
        <v>1172</v>
      </c>
      <c r="D647" s="79">
        <v>9999</v>
      </c>
      <c r="E647" s="143"/>
      <c r="F647" s="72" t="s">
        <v>1174</v>
      </c>
    </row>
    <row r="648" spans="2:6">
      <c r="B648" s="71" t="s">
        <v>363</v>
      </c>
      <c r="C648" s="58" t="s">
        <v>1173</v>
      </c>
      <c r="D648" s="79">
        <v>9999</v>
      </c>
      <c r="E648" s="143"/>
      <c r="F648" s="72" t="s">
        <v>1175</v>
      </c>
    </row>
    <row r="649" spans="2:6">
      <c r="B649" s="71" t="s">
        <v>1177</v>
      </c>
      <c r="C649" s="58" t="s">
        <v>1176</v>
      </c>
      <c r="D649" s="79">
        <v>13999</v>
      </c>
      <c r="E649" s="143"/>
      <c r="F649" s="72" t="s">
        <v>1175</v>
      </c>
    </row>
    <row r="650" spans="2:6">
      <c r="B650" s="71" t="s">
        <v>393</v>
      </c>
      <c r="C650" s="58" t="s">
        <v>1179</v>
      </c>
      <c r="D650" s="79">
        <v>3999</v>
      </c>
      <c r="E650" s="143"/>
      <c r="F650" s="72" t="s">
        <v>1203</v>
      </c>
    </row>
    <row r="651" spans="2:6">
      <c r="B651" s="71" t="s">
        <v>336</v>
      </c>
      <c r="C651" s="58" t="s">
        <v>1180</v>
      </c>
      <c r="D651" s="79">
        <v>13999</v>
      </c>
      <c r="E651" s="143"/>
      <c r="F651" s="72" t="s">
        <v>1203</v>
      </c>
    </row>
    <row r="652" spans="2:6">
      <c r="B652" s="71" t="s">
        <v>336</v>
      </c>
      <c r="C652" s="58" t="s">
        <v>1181</v>
      </c>
      <c r="D652" s="79">
        <v>2599</v>
      </c>
      <c r="E652" s="143"/>
      <c r="F652" s="72" t="s">
        <v>1204</v>
      </c>
    </row>
    <row r="653" spans="2:6">
      <c r="B653" s="71" t="s">
        <v>358</v>
      </c>
      <c r="C653" s="58" t="s">
        <v>1182</v>
      </c>
      <c r="D653" s="79">
        <v>19999</v>
      </c>
      <c r="E653" s="143"/>
      <c r="F653" s="72" t="s">
        <v>1204</v>
      </c>
    </row>
    <row r="654" spans="2:6">
      <c r="B654" s="71" t="s">
        <v>358</v>
      </c>
      <c r="C654" s="58" t="s">
        <v>1183</v>
      </c>
      <c r="D654" s="79">
        <v>30999</v>
      </c>
      <c r="E654" s="143"/>
      <c r="F654" s="72" t="s">
        <v>1204</v>
      </c>
    </row>
    <row r="655" spans="2:6">
      <c r="B655" s="71" t="s">
        <v>358</v>
      </c>
      <c r="C655" s="58" t="s">
        <v>1184</v>
      </c>
      <c r="D655" s="79">
        <v>22499</v>
      </c>
      <c r="E655" s="143"/>
      <c r="F655" s="72" t="s">
        <v>1204</v>
      </c>
    </row>
    <row r="656" spans="2:6">
      <c r="B656" s="71" t="s">
        <v>358</v>
      </c>
      <c r="C656" s="58" t="s">
        <v>1185</v>
      </c>
      <c r="D656" s="79">
        <v>27499</v>
      </c>
      <c r="E656" s="143"/>
      <c r="F656" s="72" t="s">
        <v>1204</v>
      </c>
    </row>
    <row r="657" spans="2:6">
      <c r="B657" s="71" t="s">
        <v>358</v>
      </c>
      <c r="C657" s="58" t="s">
        <v>1186</v>
      </c>
      <c r="D657" s="79">
        <v>22999</v>
      </c>
      <c r="E657" s="143"/>
      <c r="F657" s="72" t="s">
        <v>1204</v>
      </c>
    </row>
    <row r="658" spans="2:6">
      <c r="B658" s="71" t="s">
        <v>358</v>
      </c>
      <c r="C658" s="58" t="s">
        <v>1187</v>
      </c>
      <c r="D658" s="79">
        <v>25499</v>
      </c>
      <c r="E658" s="143"/>
      <c r="F658" s="72" t="s">
        <v>1204</v>
      </c>
    </row>
    <row r="659" spans="2:6">
      <c r="B659" s="71" t="s">
        <v>358</v>
      </c>
      <c r="C659" s="58" t="s">
        <v>1188</v>
      </c>
      <c r="D659" s="79">
        <v>30499</v>
      </c>
      <c r="E659" s="143"/>
      <c r="F659" s="72" t="s">
        <v>1204</v>
      </c>
    </row>
    <row r="660" spans="2:6">
      <c r="B660" s="71" t="s">
        <v>358</v>
      </c>
      <c r="C660" s="58" t="s">
        <v>1189</v>
      </c>
      <c r="D660" s="79">
        <v>25999</v>
      </c>
      <c r="E660" s="143"/>
      <c r="F660" s="72" t="s">
        <v>1204</v>
      </c>
    </row>
    <row r="661" spans="2:6">
      <c r="B661" s="71" t="s">
        <v>358</v>
      </c>
      <c r="C661" s="58" t="s">
        <v>1190</v>
      </c>
      <c r="D661" s="79">
        <v>28499</v>
      </c>
      <c r="E661" s="143"/>
      <c r="F661" s="72" t="s">
        <v>1204</v>
      </c>
    </row>
    <row r="662" spans="2:6">
      <c r="B662" s="71" t="s">
        <v>358</v>
      </c>
      <c r="C662" s="58" t="s">
        <v>1191</v>
      </c>
      <c r="D662" s="79">
        <v>33499</v>
      </c>
      <c r="E662" s="143"/>
      <c r="F662" s="72" t="s">
        <v>1204</v>
      </c>
    </row>
    <row r="663" spans="2:6">
      <c r="B663" s="71" t="s">
        <v>358</v>
      </c>
      <c r="C663" s="58" t="s">
        <v>1192</v>
      </c>
      <c r="D663" s="79">
        <v>38499</v>
      </c>
      <c r="E663" s="143"/>
      <c r="F663" s="72" t="s">
        <v>1204</v>
      </c>
    </row>
    <row r="664" spans="2:6">
      <c r="B664" s="71" t="s">
        <v>358</v>
      </c>
      <c r="C664" s="58" t="s">
        <v>1193</v>
      </c>
      <c r="D664" s="79">
        <v>35999</v>
      </c>
      <c r="E664" s="143"/>
      <c r="F664" s="72" t="s">
        <v>1204</v>
      </c>
    </row>
    <row r="665" spans="2:6">
      <c r="B665" s="71" t="s">
        <v>358</v>
      </c>
      <c r="C665" s="58" t="s">
        <v>1194</v>
      </c>
      <c r="D665" s="79">
        <v>40999</v>
      </c>
      <c r="E665" s="143"/>
      <c r="F665" s="72" t="s">
        <v>1204</v>
      </c>
    </row>
    <row r="666" spans="2:6">
      <c r="B666" s="71" t="s">
        <v>393</v>
      </c>
      <c r="C666" s="58" t="s">
        <v>1196</v>
      </c>
      <c r="D666" s="79">
        <v>6499</v>
      </c>
      <c r="E666" s="143"/>
      <c r="F666" s="72" t="s">
        <v>1205</v>
      </c>
    </row>
    <row r="667" spans="2:6">
      <c r="B667" s="71" t="s">
        <v>496</v>
      </c>
      <c r="C667" s="58" t="s">
        <v>1197</v>
      </c>
      <c r="D667" s="79">
        <v>3699</v>
      </c>
      <c r="E667" s="143"/>
      <c r="F667" s="72" t="s">
        <v>1205</v>
      </c>
    </row>
    <row r="668" spans="2:6">
      <c r="B668" s="71" t="s">
        <v>626</v>
      </c>
      <c r="C668" s="58" t="s">
        <v>1198</v>
      </c>
      <c r="D668" s="79">
        <v>2599</v>
      </c>
      <c r="E668" s="143"/>
      <c r="F668" s="72" t="s">
        <v>1205</v>
      </c>
    </row>
    <row r="669" spans="2:6">
      <c r="B669" s="71" t="s">
        <v>626</v>
      </c>
      <c r="C669" s="58" t="s">
        <v>1202</v>
      </c>
      <c r="D669" s="79">
        <v>12999</v>
      </c>
      <c r="E669" s="143"/>
      <c r="F669" s="72" t="s">
        <v>1205</v>
      </c>
    </row>
    <row r="670" spans="2:6">
      <c r="B670" s="71" t="s">
        <v>385</v>
      </c>
      <c r="C670" s="58" t="s">
        <v>1201</v>
      </c>
      <c r="D670" s="79">
        <v>13999</v>
      </c>
      <c r="E670" s="143"/>
      <c r="F670" s="72" t="s">
        <v>1205</v>
      </c>
    </row>
    <row r="671" spans="2:6">
      <c r="B671" s="71" t="s">
        <v>363</v>
      </c>
      <c r="C671" s="58" t="s">
        <v>1199</v>
      </c>
      <c r="D671" s="79">
        <v>4999</v>
      </c>
      <c r="E671" s="143"/>
      <c r="F671" s="72" t="s">
        <v>1205</v>
      </c>
    </row>
    <row r="672" spans="2:6">
      <c r="B672" s="71" t="s">
        <v>363</v>
      </c>
      <c r="C672" s="58" t="s">
        <v>1200</v>
      </c>
      <c r="D672" s="79">
        <v>24999</v>
      </c>
      <c r="E672" s="143"/>
      <c r="F672" s="72" t="s">
        <v>1205</v>
      </c>
    </row>
    <row r="673" spans="2:6">
      <c r="B673" s="71" t="s">
        <v>299</v>
      </c>
      <c r="C673" s="58" t="s">
        <v>1206</v>
      </c>
      <c r="D673" s="79">
        <v>7996</v>
      </c>
      <c r="E673" s="143"/>
      <c r="F673" s="72" t="s">
        <v>1213</v>
      </c>
    </row>
    <row r="674" spans="2:6">
      <c r="B674" s="71" t="s">
        <v>299</v>
      </c>
      <c r="C674" s="58" t="s">
        <v>1207</v>
      </c>
      <c r="D674" s="79">
        <v>2498</v>
      </c>
      <c r="E674" s="143"/>
      <c r="F674" s="72" t="s">
        <v>1213</v>
      </c>
    </row>
    <row r="675" spans="2:6">
      <c r="B675" s="71" t="s">
        <v>299</v>
      </c>
      <c r="C675" s="58" t="s">
        <v>1208</v>
      </c>
      <c r="D675" s="79">
        <v>8995</v>
      </c>
      <c r="E675" s="143"/>
      <c r="F675" s="72" t="s">
        <v>1213</v>
      </c>
    </row>
    <row r="676" spans="2:6">
      <c r="B676" s="71" t="s">
        <v>299</v>
      </c>
      <c r="C676" s="58" t="s">
        <v>1209</v>
      </c>
      <c r="D676" s="79">
        <v>3897</v>
      </c>
      <c r="E676" s="143"/>
      <c r="F676" s="72" t="s">
        <v>1213</v>
      </c>
    </row>
    <row r="677" spans="2:6">
      <c r="B677" s="71" t="s">
        <v>299</v>
      </c>
      <c r="C677" s="58" t="s">
        <v>1210</v>
      </c>
      <c r="D677" s="79">
        <v>3497</v>
      </c>
      <c r="E677" s="143"/>
      <c r="F677" s="72" t="s">
        <v>1213</v>
      </c>
    </row>
    <row r="678" spans="2:6">
      <c r="B678" s="71" t="s">
        <v>299</v>
      </c>
      <c r="C678" s="58" t="s">
        <v>1211</v>
      </c>
      <c r="D678" s="79">
        <v>6999</v>
      </c>
      <c r="E678" s="143"/>
      <c r="F678" s="72" t="s">
        <v>1213</v>
      </c>
    </row>
    <row r="679" spans="2:6">
      <c r="B679" s="71" t="s">
        <v>299</v>
      </c>
      <c r="C679" s="58" t="s">
        <v>1195</v>
      </c>
      <c r="D679" s="79">
        <v>1999</v>
      </c>
      <c r="E679" s="143"/>
      <c r="F679" s="72" t="s">
        <v>1213</v>
      </c>
    </row>
    <row r="680" spans="2:6">
      <c r="B680" s="71" t="s">
        <v>299</v>
      </c>
      <c r="C680" s="58" t="s">
        <v>1212</v>
      </c>
      <c r="D680" s="79">
        <v>2898</v>
      </c>
      <c r="E680" s="143"/>
      <c r="F680" s="72" t="s">
        <v>1213</v>
      </c>
    </row>
    <row r="681" spans="2:6">
      <c r="B681" s="71" t="s">
        <v>393</v>
      </c>
      <c r="C681" s="58" t="s">
        <v>1214</v>
      </c>
      <c r="D681" s="79">
        <v>7499</v>
      </c>
      <c r="E681" s="143"/>
      <c r="F681" s="72" t="s">
        <v>1217</v>
      </c>
    </row>
    <row r="682" spans="2:6">
      <c r="B682" s="71" t="s">
        <v>496</v>
      </c>
      <c r="C682" s="58" t="s">
        <v>1215</v>
      </c>
      <c r="D682" s="79">
        <v>2999</v>
      </c>
      <c r="E682" s="143"/>
      <c r="F682" s="72" t="s">
        <v>1217</v>
      </c>
    </row>
    <row r="683" spans="2:6">
      <c r="B683" s="71" t="s">
        <v>385</v>
      </c>
      <c r="C683" s="58" t="s">
        <v>1216</v>
      </c>
      <c r="D683" s="79">
        <v>3499</v>
      </c>
      <c r="E683" s="143"/>
      <c r="F683" s="72" t="s">
        <v>1217</v>
      </c>
    </row>
    <row r="684" spans="2:6">
      <c r="B684" s="71" t="s">
        <v>496</v>
      </c>
      <c r="C684" s="58" t="s">
        <v>1218</v>
      </c>
      <c r="D684" s="79">
        <v>5999</v>
      </c>
      <c r="E684" s="143"/>
      <c r="F684" s="72" t="s">
        <v>1219</v>
      </c>
    </row>
    <row r="685" spans="2:6">
      <c r="B685" s="71" t="s">
        <v>393</v>
      </c>
      <c r="C685" s="58" t="s">
        <v>1220</v>
      </c>
      <c r="D685" s="79">
        <v>24999</v>
      </c>
      <c r="E685" s="143"/>
      <c r="F685" s="72" t="s">
        <v>1221</v>
      </c>
    </row>
    <row r="686" spans="2:6">
      <c r="B686" s="71" t="s">
        <v>358</v>
      </c>
      <c r="C686" s="58" t="s">
        <v>463</v>
      </c>
      <c r="D686" s="79">
        <v>14499</v>
      </c>
      <c r="E686" s="143"/>
      <c r="F686" s="72" t="s">
        <v>1226</v>
      </c>
    </row>
    <row r="687" spans="2:6">
      <c r="B687" s="71" t="s">
        <v>358</v>
      </c>
      <c r="C687" s="58" t="s">
        <v>564</v>
      </c>
      <c r="D687" s="79">
        <v>16999</v>
      </c>
      <c r="E687" s="143"/>
      <c r="F687" s="72" t="s">
        <v>1226</v>
      </c>
    </row>
    <row r="688" spans="2:6">
      <c r="B688" s="71" t="s">
        <v>358</v>
      </c>
      <c r="C688" s="58" t="s">
        <v>1064</v>
      </c>
      <c r="D688" s="79">
        <v>19499</v>
      </c>
      <c r="E688" s="143"/>
      <c r="F688" s="72" t="s">
        <v>1226</v>
      </c>
    </row>
    <row r="689" spans="2:6">
      <c r="B689" s="71" t="s">
        <v>363</v>
      </c>
      <c r="C689" s="58" t="s">
        <v>1227</v>
      </c>
      <c r="D689" s="79">
        <v>2999</v>
      </c>
      <c r="E689" s="143"/>
      <c r="F689" s="72" t="s">
        <v>1230</v>
      </c>
    </row>
    <row r="690" spans="2:6">
      <c r="B690" s="71" t="s">
        <v>363</v>
      </c>
      <c r="C690" s="58" t="s">
        <v>1228</v>
      </c>
      <c r="D690" s="79">
        <v>3999</v>
      </c>
      <c r="E690" s="143"/>
      <c r="F690" s="72" t="s">
        <v>1230</v>
      </c>
    </row>
    <row r="691" spans="2:6">
      <c r="B691" s="71" t="s">
        <v>336</v>
      </c>
      <c r="C691" s="58" t="s">
        <v>1229</v>
      </c>
      <c r="D691" s="79">
        <v>4299</v>
      </c>
      <c r="E691" s="143"/>
      <c r="F691" s="72" t="s">
        <v>1238</v>
      </c>
    </row>
    <row r="692" spans="2:6">
      <c r="B692" s="71" t="s">
        <v>496</v>
      </c>
      <c r="C692" s="58" t="s">
        <v>1231</v>
      </c>
      <c r="D692" s="79">
        <v>9999</v>
      </c>
      <c r="E692" s="143"/>
      <c r="F692" s="72" t="s">
        <v>1232</v>
      </c>
    </row>
    <row r="693" spans="2:6">
      <c r="B693" s="71" t="s">
        <v>336</v>
      </c>
      <c r="C693" s="58" t="s">
        <v>1233</v>
      </c>
      <c r="D693" s="79">
        <v>21499</v>
      </c>
      <c r="E693" s="143"/>
      <c r="F693" s="72" t="s">
        <v>1237</v>
      </c>
    </row>
    <row r="694" spans="2:6">
      <c r="B694" s="71" t="s">
        <v>336</v>
      </c>
      <c r="C694" s="58" t="s">
        <v>1234</v>
      </c>
      <c r="D694" s="79">
        <v>32999</v>
      </c>
      <c r="E694" s="143"/>
      <c r="F694" s="72" t="s">
        <v>1237</v>
      </c>
    </row>
    <row r="695" spans="2:6">
      <c r="B695" s="71" t="s">
        <v>336</v>
      </c>
      <c r="C695" s="58" t="s">
        <v>1235</v>
      </c>
      <c r="D695" s="79">
        <v>35999</v>
      </c>
      <c r="E695" s="143"/>
      <c r="F695" s="72" t="s">
        <v>1237</v>
      </c>
    </row>
    <row r="696" spans="2:6">
      <c r="B696" s="71" t="s">
        <v>336</v>
      </c>
      <c r="C696" s="58" t="s">
        <v>1236</v>
      </c>
      <c r="D696" s="79">
        <v>28999</v>
      </c>
      <c r="E696" s="143"/>
      <c r="F696" s="72" t="s">
        <v>1237</v>
      </c>
    </row>
    <row r="697" spans="2:6">
      <c r="B697" s="71" t="s">
        <v>385</v>
      </c>
      <c r="C697" s="58" t="s">
        <v>1239</v>
      </c>
      <c r="D697" s="79">
        <v>5999</v>
      </c>
      <c r="E697" s="143"/>
      <c r="F697" s="72" t="s">
        <v>1242</v>
      </c>
    </row>
    <row r="698" spans="2:6">
      <c r="B698" s="71" t="s">
        <v>385</v>
      </c>
      <c r="C698" s="58" t="s">
        <v>1240</v>
      </c>
      <c r="D698" s="79">
        <v>9999</v>
      </c>
      <c r="E698" s="143"/>
      <c r="F698" s="72" t="s">
        <v>1242</v>
      </c>
    </row>
    <row r="699" spans="2:6">
      <c r="B699" s="71" t="s">
        <v>385</v>
      </c>
      <c r="C699" s="58" t="s">
        <v>1241</v>
      </c>
      <c r="D699" s="79">
        <v>13999</v>
      </c>
      <c r="E699" s="143"/>
      <c r="F699" s="72" t="s">
        <v>1242</v>
      </c>
    </row>
    <row r="700" spans="2:6">
      <c r="B700" s="71" t="s">
        <v>393</v>
      </c>
      <c r="C700" s="58" t="s">
        <v>1243</v>
      </c>
      <c r="D700" s="79">
        <v>14999</v>
      </c>
      <c r="E700" s="143"/>
      <c r="F700" s="72" t="s">
        <v>1245</v>
      </c>
    </row>
    <row r="701" spans="2:6">
      <c r="B701" s="71" t="s">
        <v>393</v>
      </c>
      <c r="C701" s="58" t="s">
        <v>1244</v>
      </c>
      <c r="D701" s="79">
        <v>10999</v>
      </c>
      <c r="E701" s="143"/>
      <c r="F701" s="72" t="s">
        <v>1245</v>
      </c>
    </row>
    <row r="702" spans="2:6">
      <c r="B702" s="71" t="s">
        <v>496</v>
      </c>
      <c r="C702" s="58" t="s">
        <v>1246</v>
      </c>
      <c r="D702" s="79">
        <v>7999</v>
      </c>
      <c r="E702" s="143"/>
      <c r="F702" s="72" t="s">
        <v>1245</v>
      </c>
    </row>
    <row r="703" spans="2:6">
      <c r="B703" s="71" t="s">
        <v>358</v>
      </c>
      <c r="C703" s="58" t="s">
        <v>1247</v>
      </c>
      <c r="D703" s="79">
        <v>14999</v>
      </c>
      <c r="E703" s="143"/>
      <c r="F703" s="72" t="s">
        <v>1251</v>
      </c>
    </row>
    <row r="704" spans="2:6">
      <c r="B704" s="71" t="s">
        <v>358</v>
      </c>
      <c r="C704" s="58" t="s">
        <v>1248</v>
      </c>
      <c r="D704" s="79">
        <v>17499</v>
      </c>
      <c r="E704" s="143"/>
      <c r="F704" s="72" t="s">
        <v>1251</v>
      </c>
    </row>
    <row r="705" spans="2:6">
      <c r="B705" s="71" t="s">
        <v>358</v>
      </c>
      <c r="C705" s="58" t="s">
        <v>1249</v>
      </c>
      <c r="D705" s="79">
        <v>22499</v>
      </c>
      <c r="E705" s="143"/>
      <c r="F705" s="72" t="s">
        <v>1251</v>
      </c>
    </row>
    <row r="706" spans="2:6">
      <c r="B706" s="71" t="s">
        <v>363</v>
      </c>
      <c r="C706" s="58" t="s">
        <v>1250</v>
      </c>
      <c r="D706" s="79">
        <v>2499</v>
      </c>
      <c r="E706" s="143"/>
      <c r="F706" s="72" t="s">
        <v>1252</v>
      </c>
    </row>
    <row r="707" spans="2:6">
      <c r="B707" s="71" t="s">
        <v>496</v>
      </c>
      <c r="C707" s="58" t="s">
        <v>1253</v>
      </c>
      <c r="D707" s="79">
        <v>29999</v>
      </c>
      <c r="E707" s="143"/>
      <c r="F707" s="72" t="s">
        <v>1254</v>
      </c>
    </row>
    <row r="708" spans="2:6">
      <c r="B708" s="71" t="s">
        <v>496</v>
      </c>
      <c r="C708" s="58" t="s">
        <v>1255</v>
      </c>
      <c r="D708" s="79">
        <v>45999</v>
      </c>
      <c r="E708" s="143"/>
      <c r="F708" s="72" t="s">
        <v>1258</v>
      </c>
    </row>
    <row r="709" spans="2:6">
      <c r="B709" s="71" t="s">
        <v>336</v>
      </c>
      <c r="C709" s="58" t="s">
        <v>1256</v>
      </c>
      <c r="D709" s="79">
        <v>7499</v>
      </c>
      <c r="E709" s="143"/>
      <c r="F709" s="72" t="s">
        <v>1258</v>
      </c>
    </row>
    <row r="710" spans="2:6">
      <c r="B710" s="71" t="s">
        <v>336</v>
      </c>
      <c r="C710" s="58" t="s">
        <v>1257</v>
      </c>
      <c r="D710" s="79">
        <v>10999</v>
      </c>
      <c r="E710" s="143"/>
      <c r="F710" s="72" t="s">
        <v>1258</v>
      </c>
    </row>
    <row r="711" spans="2:6">
      <c r="B711" s="71" t="s">
        <v>393</v>
      </c>
      <c r="C711" s="58" t="s">
        <v>1259</v>
      </c>
      <c r="D711" s="79">
        <v>44999</v>
      </c>
      <c r="E711" s="143"/>
      <c r="F711" s="72" t="s">
        <v>1260</v>
      </c>
    </row>
    <row r="712" spans="2:6">
      <c r="B712" s="71" t="s">
        <v>363</v>
      </c>
      <c r="C712" s="58" t="s">
        <v>1261</v>
      </c>
      <c r="D712" s="79">
        <v>8999</v>
      </c>
      <c r="E712" s="143"/>
      <c r="F712" s="72" t="s">
        <v>1260</v>
      </c>
    </row>
    <row r="713" spans="2:6">
      <c r="B713" s="71" t="s">
        <v>385</v>
      </c>
      <c r="C713" s="58" t="s">
        <v>1262</v>
      </c>
      <c r="D713" s="79">
        <v>1999</v>
      </c>
      <c r="E713" s="143"/>
      <c r="F713" s="72" t="s">
        <v>1265</v>
      </c>
    </row>
    <row r="714" spans="2:6">
      <c r="B714" s="71" t="s">
        <v>393</v>
      </c>
      <c r="C714" s="58" t="s">
        <v>1263</v>
      </c>
      <c r="D714" s="79">
        <v>6999</v>
      </c>
      <c r="E714" s="143"/>
      <c r="F714" s="72" t="s">
        <v>1265</v>
      </c>
    </row>
    <row r="715" spans="2:6">
      <c r="B715" s="71" t="s">
        <v>393</v>
      </c>
      <c r="C715" s="58" t="s">
        <v>1264</v>
      </c>
      <c r="D715" s="79">
        <v>19999</v>
      </c>
      <c r="E715" s="143"/>
      <c r="F715" s="72" t="s">
        <v>1265</v>
      </c>
    </row>
    <row r="716" spans="2:6">
      <c r="B716" s="71" t="s">
        <v>338</v>
      </c>
      <c r="C716" s="58" t="s">
        <v>1266</v>
      </c>
      <c r="D716" s="79">
        <v>11999</v>
      </c>
      <c r="E716" s="143"/>
      <c r="F716" s="72" t="s">
        <v>1268</v>
      </c>
    </row>
    <row r="717" spans="2:6">
      <c r="B717" s="71" t="s">
        <v>338</v>
      </c>
      <c r="C717" s="58" t="s">
        <v>1267</v>
      </c>
      <c r="D717" s="79">
        <v>16999</v>
      </c>
      <c r="E717" s="143"/>
      <c r="F717" s="72" t="s">
        <v>1268</v>
      </c>
    </row>
    <row r="718" spans="2:6">
      <c r="B718" s="71" t="s">
        <v>363</v>
      </c>
      <c r="C718" s="58" t="s">
        <v>1269</v>
      </c>
      <c r="D718" s="79">
        <v>5999</v>
      </c>
      <c r="E718" s="143"/>
      <c r="F718" s="72" t="s">
        <v>1273</v>
      </c>
    </row>
    <row r="719" spans="2:6">
      <c r="B719" s="71" t="s">
        <v>393</v>
      </c>
      <c r="C719" s="58" t="s">
        <v>1270</v>
      </c>
      <c r="D719" s="79">
        <v>4499</v>
      </c>
      <c r="E719" s="143"/>
      <c r="F719" s="72" t="s">
        <v>1252</v>
      </c>
    </row>
    <row r="720" spans="2:6">
      <c r="B720" s="71" t="s">
        <v>336</v>
      </c>
      <c r="C720" s="58" t="s">
        <v>1271</v>
      </c>
      <c r="D720" s="79">
        <v>5999</v>
      </c>
      <c r="E720" s="143"/>
      <c r="F720" s="72" t="s">
        <v>1273</v>
      </c>
    </row>
    <row r="721" spans="2:6">
      <c r="B721" s="71" t="s">
        <v>336</v>
      </c>
      <c r="C721" s="58" t="s">
        <v>1272</v>
      </c>
      <c r="D721" s="79">
        <v>28499</v>
      </c>
      <c r="E721" s="143"/>
      <c r="F721" s="72" t="s">
        <v>1273</v>
      </c>
    </row>
    <row r="722" spans="2:6">
      <c r="B722" s="71" t="s">
        <v>496</v>
      </c>
      <c r="C722" s="58" t="s">
        <v>1274</v>
      </c>
      <c r="D722" s="79">
        <v>12999</v>
      </c>
      <c r="E722" s="143"/>
      <c r="F722" s="72" t="s">
        <v>1252</v>
      </c>
    </row>
    <row r="723" spans="2:6">
      <c r="B723" s="71" t="s">
        <v>496</v>
      </c>
      <c r="C723" s="58" t="s">
        <v>1275</v>
      </c>
      <c r="D723" s="79">
        <v>3999</v>
      </c>
      <c r="E723" s="143"/>
      <c r="F723" s="72" t="s">
        <v>1252</v>
      </c>
    </row>
    <row r="724" spans="2:6">
      <c r="B724" s="71" t="s">
        <v>363</v>
      </c>
      <c r="C724" s="58" t="s">
        <v>1276</v>
      </c>
      <c r="D724" s="79">
        <v>14999</v>
      </c>
      <c r="E724" s="143"/>
      <c r="F724" s="72" t="s">
        <v>1252</v>
      </c>
    </row>
    <row r="725" spans="2:6">
      <c r="B725" s="71" t="s">
        <v>363</v>
      </c>
      <c r="C725" s="58" t="s">
        <v>1277</v>
      </c>
      <c r="D725" s="79">
        <v>32999</v>
      </c>
      <c r="E725" s="143"/>
      <c r="F725" s="72" t="s">
        <v>1252</v>
      </c>
    </row>
    <row r="726" spans="2:6">
      <c r="B726" s="71" t="s">
        <v>363</v>
      </c>
      <c r="C726" s="58" t="s">
        <v>1291</v>
      </c>
      <c r="D726" s="79">
        <v>1999</v>
      </c>
      <c r="E726" s="143"/>
      <c r="F726" s="72" t="s">
        <v>1252</v>
      </c>
    </row>
    <row r="727" spans="2:6">
      <c r="B727" s="71" t="s">
        <v>393</v>
      </c>
      <c r="C727" s="58" t="s">
        <v>1292</v>
      </c>
      <c r="D727" s="79">
        <v>9999</v>
      </c>
      <c r="E727" s="143"/>
      <c r="F727" s="72" t="s">
        <v>1304</v>
      </c>
    </row>
    <row r="728" spans="2:6">
      <c r="B728" s="71" t="s">
        <v>336</v>
      </c>
      <c r="C728" s="58" t="s">
        <v>1293</v>
      </c>
      <c r="D728" s="79">
        <v>15499</v>
      </c>
      <c r="E728" s="143"/>
      <c r="F728" s="72" t="s">
        <v>1305</v>
      </c>
    </row>
    <row r="729" spans="2:6">
      <c r="B729" s="71" t="s">
        <v>358</v>
      </c>
      <c r="C729" s="58" t="s">
        <v>1294</v>
      </c>
      <c r="D729" s="79">
        <v>30999</v>
      </c>
      <c r="E729" s="143"/>
      <c r="F729" s="72" t="s">
        <v>1305</v>
      </c>
    </row>
    <row r="730" spans="2:6">
      <c r="B730" s="71" t="s">
        <v>358</v>
      </c>
      <c r="C730" s="58" t="s">
        <v>1295</v>
      </c>
      <c r="D730" s="79">
        <v>19999</v>
      </c>
      <c r="E730" s="143"/>
      <c r="F730" s="72" t="s">
        <v>1305</v>
      </c>
    </row>
    <row r="731" spans="2:6">
      <c r="B731" s="71" t="s">
        <v>358</v>
      </c>
      <c r="C731" s="58" t="s">
        <v>1296</v>
      </c>
      <c r="D731" s="79">
        <v>24999</v>
      </c>
      <c r="E731" s="143"/>
      <c r="F731" s="72" t="s">
        <v>1305</v>
      </c>
    </row>
    <row r="732" spans="2:6">
      <c r="B732" s="71" t="s">
        <v>358</v>
      </c>
      <c r="C732" s="58" t="s">
        <v>1297</v>
      </c>
      <c r="D732" s="79">
        <v>25999</v>
      </c>
      <c r="E732" s="143"/>
      <c r="F732" s="72" t="s">
        <v>1305</v>
      </c>
    </row>
    <row r="733" spans="2:6">
      <c r="B733" s="71" t="s">
        <v>358</v>
      </c>
      <c r="C733" s="58" t="s">
        <v>1298</v>
      </c>
      <c r="D733" s="79">
        <v>30999</v>
      </c>
      <c r="E733" s="143"/>
      <c r="F733" s="72" t="s">
        <v>1305</v>
      </c>
    </row>
    <row r="734" spans="2:6">
      <c r="B734" s="71" t="s">
        <v>358</v>
      </c>
      <c r="C734" s="58" t="s">
        <v>1299</v>
      </c>
      <c r="D734" s="79">
        <v>28499</v>
      </c>
      <c r="E734" s="143"/>
      <c r="F734" s="72" t="s">
        <v>1305</v>
      </c>
    </row>
    <row r="735" spans="2:6">
      <c r="B735" s="71" t="s">
        <v>358</v>
      </c>
      <c r="C735" s="58" t="s">
        <v>1300</v>
      </c>
      <c r="D735" s="79">
        <v>33499</v>
      </c>
      <c r="E735" s="143"/>
      <c r="F735" s="72" t="s">
        <v>1305</v>
      </c>
    </row>
    <row r="736" spans="2:6">
      <c r="B736" s="71" t="s">
        <v>358</v>
      </c>
      <c r="C736" s="58" t="s">
        <v>1301</v>
      </c>
      <c r="D736" s="79">
        <v>38499</v>
      </c>
      <c r="E736" s="143"/>
      <c r="F736" s="72" t="s">
        <v>1305</v>
      </c>
    </row>
    <row r="737" spans="2:6">
      <c r="B737" s="71" t="s">
        <v>358</v>
      </c>
      <c r="C737" s="58" t="s">
        <v>1302</v>
      </c>
      <c r="D737" s="79">
        <v>35999</v>
      </c>
      <c r="E737" s="143"/>
      <c r="F737" s="72" t="s">
        <v>1305</v>
      </c>
    </row>
    <row r="738" spans="2:6">
      <c r="B738" s="71" t="s">
        <v>358</v>
      </c>
      <c r="C738" s="58" t="s">
        <v>1303</v>
      </c>
      <c r="D738" s="79">
        <v>40999</v>
      </c>
      <c r="E738" s="143"/>
      <c r="F738" s="72" t="s">
        <v>1305</v>
      </c>
    </row>
    <row r="739" spans="2:6">
      <c r="B739" s="71" t="s">
        <v>93</v>
      </c>
      <c r="C739" s="58" t="s">
        <v>1306</v>
      </c>
      <c r="D739" s="79">
        <v>2499</v>
      </c>
      <c r="E739" s="143"/>
      <c r="F739" s="72" t="s">
        <v>1307</v>
      </c>
    </row>
    <row r="740" spans="2:6">
      <c r="B740" s="71" t="s">
        <v>93</v>
      </c>
      <c r="C740" s="58" t="s">
        <v>1369</v>
      </c>
      <c r="D740" s="79">
        <v>3499</v>
      </c>
      <c r="E740" s="143"/>
      <c r="F740" s="72" t="s">
        <v>1371</v>
      </c>
    </row>
    <row r="741" spans="2:6">
      <c r="B741" s="71" t="s">
        <v>93</v>
      </c>
      <c r="C741" s="58" t="s">
        <v>1370</v>
      </c>
      <c r="D741" s="79">
        <v>2999</v>
      </c>
      <c r="E741" s="143"/>
      <c r="F741" s="72" t="s">
        <v>1372</v>
      </c>
    </row>
    <row r="742" spans="2:6">
      <c r="B742" s="71" t="s">
        <v>336</v>
      </c>
      <c r="C742" s="58" t="s">
        <v>1308</v>
      </c>
      <c r="D742" s="79">
        <v>2499</v>
      </c>
      <c r="E742" s="143"/>
      <c r="F742" s="72" t="s">
        <v>1310</v>
      </c>
    </row>
    <row r="743" spans="2:6">
      <c r="B743" s="71" t="s">
        <v>385</v>
      </c>
      <c r="C743" s="58" t="s">
        <v>1309</v>
      </c>
      <c r="D743" s="79">
        <v>4499</v>
      </c>
      <c r="E743" s="143"/>
      <c r="F743" s="72" t="s">
        <v>1310</v>
      </c>
    </row>
    <row r="744" spans="2:6">
      <c r="B744" s="71" t="s">
        <v>496</v>
      </c>
      <c r="C744" s="58" t="s">
        <v>1311</v>
      </c>
      <c r="D744" s="79">
        <v>1999</v>
      </c>
      <c r="E744" s="143"/>
      <c r="F744" s="131" t="s">
        <v>1252</v>
      </c>
    </row>
    <row r="745" spans="2:6">
      <c r="B745" s="71" t="s">
        <v>496</v>
      </c>
      <c r="C745" s="58" t="s">
        <v>1312</v>
      </c>
      <c r="D745" s="79">
        <v>2999</v>
      </c>
      <c r="E745" s="143"/>
      <c r="F745" s="131" t="s">
        <v>1252</v>
      </c>
    </row>
    <row r="746" spans="2:6">
      <c r="B746" s="71" t="s">
        <v>496</v>
      </c>
      <c r="C746" s="58" t="s">
        <v>1313</v>
      </c>
      <c r="D746" s="79">
        <v>5999</v>
      </c>
      <c r="E746" s="143"/>
      <c r="F746" s="131" t="s">
        <v>1252</v>
      </c>
    </row>
    <row r="747" spans="2:6">
      <c r="B747" s="71" t="s">
        <v>393</v>
      </c>
      <c r="C747" s="58" t="s">
        <v>1314</v>
      </c>
      <c r="D747" s="79">
        <v>14999</v>
      </c>
      <c r="E747" s="143"/>
      <c r="F747" s="131" t="s">
        <v>1252</v>
      </c>
    </row>
    <row r="748" spans="2:6">
      <c r="B748" s="71" t="s">
        <v>385</v>
      </c>
      <c r="C748" s="58" t="s">
        <v>1315</v>
      </c>
      <c r="D748" s="79">
        <v>13999</v>
      </c>
      <c r="E748" s="143"/>
      <c r="F748" s="131" t="s">
        <v>1252</v>
      </c>
    </row>
    <row r="749" spans="2:6">
      <c r="B749" s="71" t="s">
        <v>385</v>
      </c>
      <c r="C749" s="58" t="s">
        <v>1316</v>
      </c>
      <c r="D749" s="79">
        <v>18999</v>
      </c>
      <c r="E749" s="143"/>
      <c r="F749" s="131" t="s">
        <v>1252</v>
      </c>
    </row>
    <row r="750" spans="2:6">
      <c r="B750" s="71" t="s">
        <v>338</v>
      </c>
      <c r="C750" s="58" t="s">
        <v>1318</v>
      </c>
      <c r="D750" s="79">
        <v>1129</v>
      </c>
      <c r="E750" s="143"/>
      <c r="F750" s="131" t="s">
        <v>1252</v>
      </c>
    </row>
    <row r="751" spans="2:6">
      <c r="B751" s="71" t="s">
        <v>336</v>
      </c>
      <c r="C751" s="58" t="s">
        <v>1319</v>
      </c>
      <c r="D751" s="79">
        <v>3999</v>
      </c>
      <c r="E751" s="143"/>
      <c r="F751" s="131" t="s">
        <v>1252</v>
      </c>
    </row>
    <row r="752" spans="2:6">
      <c r="B752" s="71" t="s">
        <v>363</v>
      </c>
      <c r="C752" s="58" t="s">
        <v>1320</v>
      </c>
      <c r="D752" s="79">
        <v>2499</v>
      </c>
      <c r="E752" s="143"/>
      <c r="F752" s="131" t="s">
        <v>1322</v>
      </c>
    </row>
    <row r="753" spans="2:6">
      <c r="B753" s="71" t="s">
        <v>393</v>
      </c>
      <c r="C753" s="58" t="s">
        <v>1321</v>
      </c>
      <c r="D753" s="79">
        <v>27999</v>
      </c>
      <c r="E753" s="143"/>
      <c r="F753" s="131" t="s">
        <v>1322</v>
      </c>
    </row>
    <row r="754" spans="2:6">
      <c r="B754" s="71" t="s">
        <v>496</v>
      </c>
      <c r="C754" s="58" t="s">
        <v>1323</v>
      </c>
      <c r="D754" s="79">
        <v>9999</v>
      </c>
      <c r="E754" s="143"/>
      <c r="F754" s="131" t="s">
        <v>1324</v>
      </c>
    </row>
    <row r="755" spans="2:6">
      <c r="B755" s="71" t="s">
        <v>336</v>
      </c>
      <c r="C755" s="58" t="s">
        <v>1328</v>
      </c>
      <c r="D755" s="79">
        <v>37999</v>
      </c>
      <c r="E755" s="143"/>
      <c r="F755" s="131" t="s">
        <v>1331</v>
      </c>
    </row>
    <row r="756" spans="2:6">
      <c r="B756" s="71" t="s">
        <v>336</v>
      </c>
      <c r="C756" s="58" t="s">
        <v>1329</v>
      </c>
      <c r="D756" s="79">
        <v>33499</v>
      </c>
      <c r="E756" s="143"/>
      <c r="F756" s="131" t="s">
        <v>1331</v>
      </c>
    </row>
    <row r="757" spans="2:6">
      <c r="B757" s="71" t="s">
        <v>336</v>
      </c>
      <c r="C757" s="58" t="s">
        <v>1330</v>
      </c>
      <c r="D757" s="79">
        <v>22499</v>
      </c>
      <c r="E757" s="143"/>
      <c r="F757" s="131" t="s">
        <v>1331</v>
      </c>
    </row>
    <row r="758" spans="2:6">
      <c r="B758" s="71" t="s">
        <v>496</v>
      </c>
      <c r="C758" s="58" t="s">
        <v>1332</v>
      </c>
      <c r="D758" s="79">
        <v>6999</v>
      </c>
      <c r="E758" s="143"/>
      <c r="F758" s="131" t="s">
        <v>1252</v>
      </c>
    </row>
    <row r="759" spans="2:6">
      <c r="B759" s="71" t="s">
        <v>393</v>
      </c>
      <c r="C759" s="58" t="s">
        <v>1333</v>
      </c>
      <c r="D759" s="79">
        <v>3699</v>
      </c>
      <c r="E759" s="143"/>
      <c r="F759" s="131" t="s">
        <v>1338</v>
      </c>
    </row>
    <row r="760" spans="2:6">
      <c r="B760" s="71" t="s">
        <v>299</v>
      </c>
      <c r="C760" s="58" t="s">
        <v>1334</v>
      </c>
      <c r="D760" s="79">
        <v>2498</v>
      </c>
      <c r="E760" s="143"/>
      <c r="F760" s="131" t="s">
        <v>1339</v>
      </c>
    </row>
    <row r="761" spans="2:6">
      <c r="B761" s="71" t="s">
        <v>299</v>
      </c>
      <c r="C761" s="58" t="s">
        <v>1335</v>
      </c>
      <c r="D761" s="79">
        <v>4097</v>
      </c>
      <c r="E761" s="143"/>
      <c r="F761" s="131" t="s">
        <v>1339</v>
      </c>
    </row>
    <row r="762" spans="2:6">
      <c r="B762" s="71" t="s">
        <v>299</v>
      </c>
      <c r="C762" s="58" t="s">
        <v>1336</v>
      </c>
      <c r="D762" s="79">
        <v>3697</v>
      </c>
      <c r="E762" s="143"/>
      <c r="F762" s="131" t="s">
        <v>1339</v>
      </c>
    </row>
    <row r="763" spans="2:6">
      <c r="B763" s="71" t="s">
        <v>299</v>
      </c>
      <c r="C763" s="58" t="s">
        <v>1337</v>
      </c>
      <c r="D763" s="79">
        <v>1999</v>
      </c>
      <c r="E763" s="143"/>
      <c r="F763" s="131" t="s">
        <v>1339</v>
      </c>
    </row>
    <row r="764" spans="2:6">
      <c r="B764" s="71" t="s">
        <v>299</v>
      </c>
      <c r="C764" s="58" t="s">
        <v>1340</v>
      </c>
      <c r="D764" s="79">
        <v>2898</v>
      </c>
      <c r="E764" s="143"/>
      <c r="F764" s="131" t="s">
        <v>1339</v>
      </c>
    </row>
    <row r="765" spans="2:6">
      <c r="B765" s="71" t="s">
        <v>393</v>
      </c>
      <c r="C765" s="58" t="s">
        <v>1344</v>
      </c>
      <c r="D765" s="79">
        <v>7499</v>
      </c>
      <c r="E765" s="143"/>
      <c r="F765" s="131" t="s">
        <v>1348</v>
      </c>
    </row>
    <row r="766" spans="2:6">
      <c r="B766" s="71" t="s">
        <v>336</v>
      </c>
      <c r="C766" s="58" t="s">
        <v>1345</v>
      </c>
      <c r="D766" s="79">
        <v>9999</v>
      </c>
      <c r="E766" s="143"/>
      <c r="F766" s="131" t="s">
        <v>1347</v>
      </c>
    </row>
    <row r="767" spans="2:6">
      <c r="B767" s="71" t="s">
        <v>336</v>
      </c>
      <c r="C767" s="58" t="s">
        <v>1346</v>
      </c>
      <c r="D767" s="79">
        <v>11999</v>
      </c>
      <c r="E767" s="143"/>
      <c r="F767" s="131" t="s">
        <v>1347</v>
      </c>
    </row>
    <row r="768" spans="2:6">
      <c r="B768" s="71" t="s">
        <v>336</v>
      </c>
      <c r="C768" s="58" t="s">
        <v>1319</v>
      </c>
      <c r="D768" s="79">
        <v>4499</v>
      </c>
      <c r="E768" s="143"/>
      <c r="F768" s="131" t="s">
        <v>1349</v>
      </c>
    </row>
    <row r="769" spans="2:6">
      <c r="B769" s="71" t="s">
        <v>385</v>
      </c>
      <c r="C769" s="58" t="s">
        <v>1350</v>
      </c>
      <c r="D769" s="79">
        <v>3299</v>
      </c>
      <c r="E769" s="143"/>
      <c r="F769" s="131" t="s">
        <v>1351</v>
      </c>
    </row>
    <row r="770" spans="2:6">
      <c r="B770" s="71" t="s">
        <v>1367</v>
      </c>
      <c r="C770" s="58" t="s">
        <v>1360</v>
      </c>
      <c r="D770" s="79">
        <v>11999</v>
      </c>
      <c r="E770" s="143"/>
      <c r="F770" s="131" t="s">
        <v>1368</v>
      </c>
    </row>
    <row r="771" spans="2:6">
      <c r="B771" s="71" t="s">
        <v>1367</v>
      </c>
      <c r="C771" s="58" t="s">
        <v>1361</v>
      </c>
      <c r="D771" s="79">
        <v>19999</v>
      </c>
      <c r="E771" s="143"/>
      <c r="F771" s="131" t="s">
        <v>1368</v>
      </c>
    </row>
    <row r="772" spans="2:6">
      <c r="B772" s="71" t="s">
        <v>1367</v>
      </c>
      <c r="C772" s="58" t="s">
        <v>1362</v>
      </c>
      <c r="D772" s="79">
        <v>22499</v>
      </c>
      <c r="E772" s="143"/>
      <c r="F772" s="131" t="s">
        <v>1368</v>
      </c>
    </row>
    <row r="773" spans="2:6">
      <c r="B773" s="71" t="s">
        <v>1367</v>
      </c>
      <c r="C773" s="58" t="s">
        <v>1363</v>
      </c>
      <c r="D773" s="79">
        <v>28499</v>
      </c>
      <c r="E773" s="143"/>
      <c r="F773" s="131" t="s">
        <v>1368</v>
      </c>
    </row>
    <row r="774" spans="2:6">
      <c r="B774" s="71" t="s">
        <v>1367</v>
      </c>
      <c r="C774" s="58" t="s">
        <v>1364</v>
      </c>
      <c r="D774" s="79">
        <v>31499</v>
      </c>
      <c r="E774" s="143"/>
      <c r="F774" s="131" t="s">
        <v>1368</v>
      </c>
    </row>
    <row r="775" spans="2:6">
      <c r="B775" s="71" t="s">
        <v>1367</v>
      </c>
      <c r="C775" s="58" t="s">
        <v>1365</v>
      </c>
      <c r="D775" s="79">
        <v>30999</v>
      </c>
      <c r="E775" s="143"/>
      <c r="F775" s="131" t="s">
        <v>1368</v>
      </c>
    </row>
    <row r="776" spans="2:6">
      <c r="B776" s="71" t="s">
        <v>1367</v>
      </c>
      <c r="C776" s="58" t="s">
        <v>1366</v>
      </c>
      <c r="D776" s="79">
        <v>33999</v>
      </c>
      <c r="E776" s="143"/>
      <c r="F776" s="131" t="s">
        <v>1368</v>
      </c>
    </row>
    <row r="777" spans="2:6">
      <c r="B777" s="71" t="s">
        <v>393</v>
      </c>
      <c r="C777" s="58" t="s">
        <v>1383</v>
      </c>
      <c r="D777" s="79">
        <v>18999</v>
      </c>
      <c r="E777" s="143"/>
      <c r="F777" s="131" t="s">
        <v>1388</v>
      </c>
    </row>
    <row r="778" spans="2:6">
      <c r="B778" s="71" t="s">
        <v>496</v>
      </c>
      <c r="C778" s="58" t="s">
        <v>1384</v>
      </c>
      <c r="D778" s="79">
        <v>5499</v>
      </c>
      <c r="E778" s="143"/>
      <c r="F778" s="131" t="s">
        <v>1387</v>
      </c>
    </row>
    <row r="779" spans="2:6">
      <c r="B779" s="71" t="s">
        <v>496</v>
      </c>
      <c r="C779" s="58" t="s">
        <v>1385</v>
      </c>
      <c r="D779" s="79">
        <v>6499</v>
      </c>
      <c r="E779" s="143"/>
      <c r="F779" s="131" t="s">
        <v>1387</v>
      </c>
    </row>
    <row r="780" spans="2:6">
      <c r="B780" s="71" t="s">
        <v>336</v>
      </c>
      <c r="C780" s="58" t="s">
        <v>1386</v>
      </c>
      <c r="D780" s="79">
        <v>19299</v>
      </c>
      <c r="E780" s="143"/>
      <c r="F780" s="131" t="s">
        <v>1387</v>
      </c>
    </row>
    <row r="781" spans="2:6">
      <c r="B781" s="71" t="s">
        <v>385</v>
      </c>
      <c r="C781" s="58" t="s">
        <v>1393</v>
      </c>
      <c r="D781" s="79">
        <v>4999</v>
      </c>
      <c r="E781" s="143"/>
      <c r="F781" s="131" t="s">
        <v>1388</v>
      </c>
    </row>
    <row r="782" spans="2:6">
      <c r="B782" s="71" t="s">
        <v>358</v>
      </c>
      <c r="C782" s="58" t="s">
        <v>1389</v>
      </c>
      <c r="D782" s="79">
        <v>29999</v>
      </c>
      <c r="E782" s="143"/>
      <c r="F782" s="131" t="s">
        <v>1387</v>
      </c>
    </row>
    <row r="783" spans="2:6">
      <c r="B783" s="71" t="s">
        <v>358</v>
      </c>
      <c r="C783" s="58" t="s">
        <v>1390</v>
      </c>
      <c r="D783" s="79">
        <v>34999</v>
      </c>
      <c r="E783" s="143"/>
      <c r="F783" s="131" t="s">
        <v>1387</v>
      </c>
    </row>
    <row r="784" spans="2:6">
      <c r="B784" s="71" t="s">
        <v>358</v>
      </c>
      <c r="C784" s="58" t="s">
        <v>1391</v>
      </c>
      <c r="D784" s="79">
        <v>31999</v>
      </c>
      <c r="E784" s="143"/>
      <c r="F784" s="131" t="s">
        <v>1387</v>
      </c>
    </row>
    <row r="785" spans="2:6">
      <c r="B785" s="71" t="s">
        <v>358</v>
      </c>
      <c r="C785" s="58" t="s">
        <v>1392</v>
      </c>
      <c r="D785" s="79">
        <v>36999</v>
      </c>
      <c r="E785" s="143"/>
      <c r="F785" s="131" t="s">
        <v>1387</v>
      </c>
    </row>
    <row r="786" spans="2:6">
      <c r="B786" s="71" t="s">
        <v>496</v>
      </c>
      <c r="C786" s="58" t="s">
        <v>1394</v>
      </c>
      <c r="D786" s="79">
        <v>7499</v>
      </c>
      <c r="E786" s="143"/>
      <c r="F786" s="131" t="s">
        <v>1395</v>
      </c>
    </row>
  </sheetData>
  <autoFilter ref="B3:AK3" xr:uid="{00000000-0001-0000-0100-000000000000}"/>
  <sortState xmlns:xlrd2="http://schemas.microsoft.com/office/spreadsheetml/2017/richdata2" ref="AC4:AC61">
    <sortCondition ref="AC4:AC61"/>
  </sortState>
  <phoneticPr fontId="20" type="noConversion"/>
  <conditionalFormatting sqref="D500:E501">
    <cfRule type="expression" dxfId="0" priority="1">
      <formula>MOD(ROW(),2)=1</formula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dfbeaed-91c2-4689-ad8f-2817b5af5638}" enabled="1" method="Standard" siteId="{2e716fbe-24c8-4fce-9588-dcb5ff25b0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32</vt:i4>
      </vt:variant>
    </vt:vector>
  </HeadingPairs>
  <TitlesOfParts>
    <vt:vector size="33" baseType="lpstr">
      <vt:lpstr>Calculadora MPE</vt:lpstr>
      <vt:lpstr>Affix</vt:lpstr>
      <vt:lpstr>Alcatel</vt:lpstr>
      <vt:lpstr>Apple</vt:lpstr>
      <vt:lpstr>BlackBerry</vt:lpstr>
      <vt:lpstr>Blu</vt:lpstr>
      <vt:lpstr>BMobile</vt:lpstr>
      <vt:lpstr>CAT</vt:lpstr>
      <vt:lpstr>GEOTAB</vt:lpstr>
      <vt:lpstr>Google</vt:lpstr>
      <vt:lpstr>Hisense</vt:lpstr>
      <vt:lpstr>Honor</vt:lpstr>
      <vt:lpstr>HTC</vt:lpstr>
      <vt:lpstr>Huawei</vt:lpstr>
      <vt:lpstr>Lanix</vt:lpstr>
      <vt:lpstr>Lenovo</vt:lpstr>
      <vt:lpstr>LG</vt:lpstr>
      <vt:lpstr>Catalogo!Marca</vt:lpstr>
      <vt:lpstr>Borrador!Mes</vt:lpstr>
      <vt:lpstr>Master!Mes</vt:lpstr>
      <vt:lpstr>Meses</vt:lpstr>
      <vt:lpstr>Motorola</vt:lpstr>
      <vt:lpstr>Nokia</vt:lpstr>
      <vt:lpstr>Nubia</vt:lpstr>
      <vt:lpstr>Oppo</vt:lpstr>
      <vt:lpstr>Quamtum</vt:lpstr>
      <vt:lpstr>REALME</vt:lpstr>
      <vt:lpstr>Samsung</vt:lpstr>
      <vt:lpstr>Sony</vt:lpstr>
      <vt:lpstr>UBIQO</vt:lpstr>
      <vt:lpstr>VSN</vt:lpstr>
      <vt:lpstr>Xiaomi</vt:lpstr>
      <vt:lpstr>ZTE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QUIROZ GALINDO, GUADALUPE SARAHI</cp:lastModifiedBy>
  <cp:lastPrinted>2019-07-08T17:22:41Z</cp:lastPrinted>
  <dcterms:created xsi:type="dcterms:W3CDTF">2016-02-09T15:59:03Z</dcterms:created>
  <dcterms:modified xsi:type="dcterms:W3CDTF">2026-09-21T23:25:13Z</dcterms:modified>
</cp:coreProperties>
</file>